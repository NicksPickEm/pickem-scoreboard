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ickPicaut\Downloads\"/>
    </mc:Choice>
  </mc:AlternateContent>
  <xr:revisionPtr revIDLastSave="0" documentId="13_ncr:1_{8DD73FC1-C009-4291-BE04-91115B0C3990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Players" sheetId="1" r:id="rId1"/>
    <sheet name="Games" sheetId="2" r:id="rId2"/>
    <sheet name="Picks_W1" sheetId="3" r:id="rId3"/>
    <sheet name="Picks_W2" sheetId="4" r:id="rId4"/>
    <sheet name="Picks_W3" sheetId="5" r:id="rId5"/>
    <sheet name="Picks_W4" sheetId="6" r:id="rId6"/>
    <sheet name="Picks_W5" sheetId="7" r:id="rId7"/>
    <sheet name="Picks_W6" sheetId="8" r:id="rId8"/>
    <sheet name="Picks_W7" sheetId="9" r:id="rId9"/>
    <sheet name="Picks_W8" sheetId="10" r:id="rId10"/>
    <sheet name="Picks_W9" sheetId="11" r:id="rId11"/>
    <sheet name="Picks_W10" sheetId="12" r:id="rId12"/>
    <sheet name="Picks_W11" sheetId="13" r:id="rId13"/>
    <sheet name="Picks_W12" sheetId="14" r:id="rId14"/>
    <sheet name="Picks_W13" sheetId="15" r:id="rId15"/>
    <sheet name="Results" sheetId="16" r:id="rId16"/>
    <sheet name="Scoring" sheetId="17" r:id="rId17"/>
    <sheet name="Standing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B17" i="16" l="1"/>
  <c r="AA17" i="16"/>
  <c r="Z17" i="16"/>
  <c r="Y17" i="16"/>
  <c r="X17" i="16"/>
  <c r="W17" i="16"/>
  <c r="V17" i="16"/>
  <c r="U17" i="16"/>
  <c r="T17" i="16"/>
  <c r="S17" i="16"/>
  <c r="R17" i="16"/>
  <c r="Q17" i="16"/>
  <c r="P17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AB9" i="16"/>
  <c r="AA9" i="16"/>
  <c r="Z9" i="16"/>
  <c r="Y9" i="16"/>
  <c r="X9" i="16"/>
  <c r="W9" i="16"/>
  <c r="V9" i="16"/>
  <c r="U9" i="16"/>
  <c r="T9" i="16"/>
  <c r="S9" i="16"/>
  <c r="R9" i="16"/>
  <c r="Q9" i="16"/>
  <c r="P9" i="16"/>
  <c r="AB8" i="16"/>
  <c r="AA8" i="16"/>
  <c r="Z8" i="16"/>
  <c r="Y8" i="16"/>
  <c r="X8" i="16"/>
  <c r="W8" i="16"/>
  <c r="V8" i="16"/>
  <c r="U8" i="16"/>
  <c r="T8" i="16"/>
  <c r="S8" i="16"/>
  <c r="R8" i="16"/>
  <c r="Q8" i="16"/>
  <c r="P8" i="16"/>
  <c r="AB7" i="16"/>
  <c r="AA7" i="16"/>
  <c r="Z7" i="16"/>
  <c r="Y7" i="16"/>
  <c r="X7" i="16"/>
  <c r="W7" i="16"/>
  <c r="V7" i="16"/>
  <c r="U7" i="16"/>
  <c r="T7" i="16"/>
  <c r="S7" i="16"/>
  <c r="R7" i="16"/>
  <c r="Q7" i="16"/>
  <c r="P7" i="16"/>
  <c r="AB6" i="16"/>
  <c r="AA6" i="16"/>
  <c r="Z6" i="16"/>
  <c r="Y6" i="16"/>
  <c r="X6" i="16"/>
  <c r="W6" i="16"/>
  <c r="V6" i="16"/>
  <c r="U6" i="16"/>
  <c r="T6" i="16"/>
  <c r="S6" i="16"/>
  <c r="R6" i="16"/>
  <c r="Q6" i="16"/>
  <c r="P6" i="16"/>
  <c r="AB5" i="16"/>
  <c r="AA5" i="16"/>
  <c r="Z5" i="16"/>
  <c r="Y5" i="16"/>
  <c r="X5" i="16"/>
  <c r="W5" i="16"/>
  <c r="V5" i="16"/>
  <c r="U5" i="16"/>
  <c r="T5" i="16"/>
  <c r="S5" i="16"/>
  <c r="R5" i="16"/>
  <c r="Q5" i="16"/>
  <c r="P5" i="16"/>
  <c r="AU65" i="15"/>
  <c r="AT65" i="15"/>
  <c r="AS65" i="15"/>
  <c r="AR65" i="15"/>
  <c r="AQ65" i="15"/>
  <c r="AP65" i="15"/>
  <c r="AO65" i="15"/>
  <c r="AN65" i="15"/>
  <c r="AM65" i="15"/>
  <c r="AL65" i="15"/>
  <c r="AK65" i="15"/>
  <c r="AJ65" i="15"/>
  <c r="AI65" i="15"/>
  <c r="AG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S65" i="15"/>
  <c r="AU64" i="15"/>
  <c r="AT64" i="15"/>
  <c r="AS64" i="15"/>
  <c r="AR64" i="15"/>
  <c r="AQ64" i="15"/>
  <c r="AP64" i="15"/>
  <c r="AO64" i="15"/>
  <c r="AN64" i="15"/>
  <c r="AM64" i="15"/>
  <c r="AL64" i="15"/>
  <c r="AK64" i="15"/>
  <c r="AJ64" i="15"/>
  <c r="AI64" i="15"/>
  <c r="AG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S64" i="15"/>
  <c r="AU63" i="15"/>
  <c r="AT63" i="15"/>
  <c r="AS63" i="15"/>
  <c r="AR63" i="15"/>
  <c r="AQ63" i="15"/>
  <c r="AP63" i="15"/>
  <c r="AO63" i="15"/>
  <c r="AN63" i="15"/>
  <c r="AM63" i="15"/>
  <c r="AL63" i="15"/>
  <c r="AK63" i="15"/>
  <c r="AJ63" i="15"/>
  <c r="AI63" i="15"/>
  <c r="AG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AF63" i="15" s="1"/>
  <c r="N63" i="17" s="1"/>
  <c r="S63" i="15"/>
  <c r="AU62" i="15"/>
  <c r="AT62" i="15"/>
  <c r="AS62" i="15"/>
  <c r="AR62" i="15"/>
  <c r="AQ62" i="15"/>
  <c r="AP62" i="15"/>
  <c r="AO62" i="15"/>
  <c r="AN62" i="15"/>
  <c r="AM62" i="15"/>
  <c r="AL62" i="15"/>
  <c r="AK62" i="15"/>
  <c r="AJ62" i="15"/>
  <c r="AI62" i="15"/>
  <c r="AG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AU61" i="15"/>
  <c r="AT61" i="15"/>
  <c r="AS61" i="15"/>
  <c r="AR61" i="15"/>
  <c r="AQ61" i="15"/>
  <c r="AP61" i="15"/>
  <c r="AO61" i="15"/>
  <c r="AN61" i="15"/>
  <c r="AM61" i="15"/>
  <c r="AL61" i="15"/>
  <c r="AK61" i="15"/>
  <c r="AJ61" i="15"/>
  <c r="AI61" i="15"/>
  <c r="AG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S61" i="15"/>
  <c r="AU60" i="15"/>
  <c r="AT60" i="15"/>
  <c r="AS60" i="15"/>
  <c r="AR60" i="15"/>
  <c r="AQ60" i="15"/>
  <c r="AP60" i="15"/>
  <c r="AO60" i="15"/>
  <c r="AN60" i="15"/>
  <c r="AM60" i="15"/>
  <c r="AL60" i="15"/>
  <c r="AK60" i="15"/>
  <c r="AJ60" i="15"/>
  <c r="AI60" i="15"/>
  <c r="AG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S60" i="15"/>
  <c r="AU59" i="15"/>
  <c r="AT59" i="15"/>
  <c r="AS59" i="15"/>
  <c r="AR59" i="15"/>
  <c r="AQ59" i="15"/>
  <c r="AP59" i="15"/>
  <c r="AO59" i="15"/>
  <c r="AN59" i="15"/>
  <c r="AM59" i="15"/>
  <c r="AL59" i="15"/>
  <c r="AK59" i="15"/>
  <c r="AJ59" i="15"/>
  <c r="AI59" i="15"/>
  <c r="AG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AU58" i="15"/>
  <c r="AT58" i="15"/>
  <c r="AS58" i="15"/>
  <c r="AR58" i="15"/>
  <c r="AQ58" i="15"/>
  <c r="AP58" i="15"/>
  <c r="AO58" i="15"/>
  <c r="AN58" i="15"/>
  <c r="AM58" i="15"/>
  <c r="AL58" i="15"/>
  <c r="AK58" i="15"/>
  <c r="AJ58" i="15"/>
  <c r="AI58" i="15"/>
  <c r="AG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AU57" i="15"/>
  <c r="AT57" i="15"/>
  <c r="AS57" i="15"/>
  <c r="AR57" i="15"/>
  <c r="AQ57" i="15"/>
  <c r="AP57" i="15"/>
  <c r="AO57" i="15"/>
  <c r="AN57" i="15"/>
  <c r="AM57" i="15"/>
  <c r="AL57" i="15"/>
  <c r="AK57" i="15"/>
  <c r="AJ57" i="15"/>
  <c r="AI57" i="15"/>
  <c r="AG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G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G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G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G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G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G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G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G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AU48" i="15"/>
  <c r="AT48" i="15"/>
  <c r="AS48" i="15"/>
  <c r="AR48" i="15"/>
  <c r="AQ48" i="15"/>
  <c r="AP48" i="15"/>
  <c r="AO48" i="15"/>
  <c r="AN48" i="15"/>
  <c r="AM48" i="15"/>
  <c r="AL48" i="15"/>
  <c r="AK48" i="15"/>
  <c r="AJ48" i="15"/>
  <c r="AI48" i="15"/>
  <c r="AG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AU47" i="15"/>
  <c r="AT47" i="15"/>
  <c r="AS47" i="15"/>
  <c r="AR47" i="15"/>
  <c r="AQ47" i="15"/>
  <c r="AP47" i="15"/>
  <c r="AO47" i="15"/>
  <c r="AN47" i="15"/>
  <c r="AM47" i="15"/>
  <c r="AL47" i="15"/>
  <c r="AK47" i="15"/>
  <c r="AJ47" i="15"/>
  <c r="AI47" i="15"/>
  <c r="AG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AU46" i="15"/>
  <c r="AT46" i="15"/>
  <c r="AS46" i="15"/>
  <c r="AR46" i="15"/>
  <c r="AQ46" i="15"/>
  <c r="AP46" i="15"/>
  <c r="AO46" i="15"/>
  <c r="AN46" i="15"/>
  <c r="AM46" i="15"/>
  <c r="AL46" i="15"/>
  <c r="AK46" i="15"/>
  <c r="AJ46" i="15"/>
  <c r="AI46" i="15"/>
  <c r="AG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G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G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G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AF43" i="15" s="1"/>
  <c r="N43" i="17" s="1"/>
  <c r="S43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G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G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G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G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AF39" i="15" s="1"/>
  <c r="N39" i="17" s="1"/>
  <c r="S39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G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AU37" i="15"/>
  <c r="AT37" i="15"/>
  <c r="AS37" i="15"/>
  <c r="AR37" i="15"/>
  <c r="AQ37" i="15"/>
  <c r="AP37" i="15"/>
  <c r="AO37" i="15"/>
  <c r="AN37" i="15"/>
  <c r="AM37" i="15"/>
  <c r="AL37" i="15"/>
  <c r="AK37" i="15"/>
  <c r="AJ37" i="15"/>
  <c r="AI37" i="15"/>
  <c r="AG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AU36" i="15"/>
  <c r="AT36" i="15"/>
  <c r="AS36" i="15"/>
  <c r="AR36" i="15"/>
  <c r="AQ36" i="15"/>
  <c r="AP36" i="15"/>
  <c r="AO36" i="15"/>
  <c r="AN36" i="15"/>
  <c r="AM36" i="15"/>
  <c r="AL36" i="15"/>
  <c r="AK36" i="15"/>
  <c r="AJ36" i="15"/>
  <c r="AI36" i="15"/>
  <c r="AG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AU35" i="15"/>
  <c r="AT35" i="15"/>
  <c r="AS35" i="15"/>
  <c r="AR35" i="15"/>
  <c r="AQ35" i="15"/>
  <c r="AP35" i="15"/>
  <c r="AO35" i="15"/>
  <c r="AN35" i="15"/>
  <c r="AM35" i="15"/>
  <c r="AL35" i="15"/>
  <c r="AK35" i="15"/>
  <c r="AJ35" i="15"/>
  <c r="AI35" i="15"/>
  <c r="AG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AF35" i="15" s="1"/>
  <c r="N35" i="17" s="1"/>
  <c r="S35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G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G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G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G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AF31" i="15" s="1"/>
  <c r="N31" i="17" s="1"/>
  <c r="S31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G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G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G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G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AU26" i="15"/>
  <c r="AT26" i="15"/>
  <c r="AS26" i="15"/>
  <c r="AR26" i="15"/>
  <c r="AQ26" i="15"/>
  <c r="AP26" i="15"/>
  <c r="AO26" i="15"/>
  <c r="AN26" i="15"/>
  <c r="AM26" i="15"/>
  <c r="AL26" i="15"/>
  <c r="AK26" i="15"/>
  <c r="AJ26" i="15"/>
  <c r="AI26" i="15"/>
  <c r="AG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S26" i="15"/>
  <c r="AU25" i="15"/>
  <c r="AT25" i="15"/>
  <c r="AS25" i="15"/>
  <c r="AR25" i="15"/>
  <c r="AQ25" i="15"/>
  <c r="AP25" i="15"/>
  <c r="AO25" i="15"/>
  <c r="AN25" i="15"/>
  <c r="AM25" i="15"/>
  <c r="AL25" i="15"/>
  <c r="AK25" i="15"/>
  <c r="AJ25" i="15"/>
  <c r="AI25" i="15"/>
  <c r="AG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AU24" i="15"/>
  <c r="AT24" i="15"/>
  <c r="AS24" i="15"/>
  <c r="AR24" i="15"/>
  <c r="AQ24" i="15"/>
  <c r="AP24" i="15"/>
  <c r="AO24" i="15"/>
  <c r="AN24" i="15"/>
  <c r="AM24" i="15"/>
  <c r="AL24" i="15"/>
  <c r="AK24" i="15"/>
  <c r="AJ24" i="15"/>
  <c r="AI24" i="15"/>
  <c r="AG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G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G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G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G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G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G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G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V16" i="15" s="1"/>
  <c r="AG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AU15" i="15"/>
  <c r="AT15" i="15"/>
  <c r="AS15" i="15"/>
  <c r="AR15" i="15"/>
  <c r="AQ15" i="15"/>
  <c r="AP15" i="15"/>
  <c r="AO15" i="15"/>
  <c r="AN15" i="15"/>
  <c r="AM15" i="15"/>
  <c r="AL15" i="15"/>
  <c r="AK15" i="15"/>
  <c r="AJ15" i="15"/>
  <c r="AI15" i="15"/>
  <c r="AG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S15" i="15"/>
  <c r="AU14" i="15"/>
  <c r="AT14" i="15"/>
  <c r="AS14" i="15"/>
  <c r="AR14" i="15"/>
  <c r="AQ14" i="15"/>
  <c r="AP14" i="15"/>
  <c r="AO14" i="15"/>
  <c r="AN14" i="15"/>
  <c r="AM14" i="15"/>
  <c r="AL14" i="15"/>
  <c r="AK14" i="15"/>
  <c r="AJ14" i="15"/>
  <c r="AI14" i="15"/>
  <c r="AG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S14" i="15"/>
  <c r="AU13" i="15"/>
  <c r="AT13" i="15"/>
  <c r="AS13" i="15"/>
  <c r="AR13" i="15"/>
  <c r="AQ13" i="15"/>
  <c r="AP13" i="15"/>
  <c r="AO13" i="15"/>
  <c r="AN13" i="15"/>
  <c r="AM13" i="15"/>
  <c r="AL13" i="15"/>
  <c r="AK13" i="15"/>
  <c r="AJ13" i="15"/>
  <c r="AI13" i="15"/>
  <c r="AG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V12" i="15" s="1"/>
  <c r="AG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AU11" i="15"/>
  <c r="AT11" i="15"/>
  <c r="AS11" i="15"/>
  <c r="AR11" i="15"/>
  <c r="AQ11" i="15"/>
  <c r="AP11" i="15"/>
  <c r="AO11" i="15"/>
  <c r="AN11" i="15"/>
  <c r="AM11" i="15"/>
  <c r="AL11" i="15"/>
  <c r="AK11" i="15"/>
  <c r="AJ11" i="15"/>
  <c r="AI11" i="15"/>
  <c r="AG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S11" i="15"/>
  <c r="AU10" i="15"/>
  <c r="AT10" i="15"/>
  <c r="AS10" i="15"/>
  <c r="AR10" i="15"/>
  <c r="AQ10" i="15"/>
  <c r="AP10" i="15"/>
  <c r="AO10" i="15"/>
  <c r="AN10" i="15"/>
  <c r="AM10" i="15"/>
  <c r="AL10" i="15"/>
  <c r="AK10" i="15"/>
  <c r="AJ10" i="15"/>
  <c r="AI10" i="15"/>
  <c r="AG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AU9" i="15"/>
  <c r="AT9" i="15"/>
  <c r="AS9" i="15"/>
  <c r="AR9" i="15"/>
  <c r="AQ9" i="15"/>
  <c r="AP9" i="15"/>
  <c r="AO9" i="15"/>
  <c r="AN9" i="15"/>
  <c r="AM9" i="15"/>
  <c r="AL9" i="15"/>
  <c r="AK9" i="15"/>
  <c r="AJ9" i="15"/>
  <c r="AI9" i="15"/>
  <c r="AG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AU8" i="15"/>
  <c r="AT8" i="15"/>
  <c r="AS8" i="15"/>
  <c r="AR8" i="15"/>
  <c r="AQ8" i="15"/>
  <c r="AP8" i="15"/>
  <c r="AO8" i="15"/>
  <c r="AN8" i="15"/>
  <c r="AM8" i="15"/>
  <c r="AL8" i="15"/>
  <c r="AK8" i="15"/>
  <c r="AJ8" i="15"/>
  <c r="AI8" i="15"/>
  <c r="AV8" i="15" s="1"/>
  <c r="AG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G7" i="15"/>
  <c r="AE7" i="15"/>
  <c r="AD7" i="15"/>
  <c r="AC7" i="15"/>
  <c r="AB7" i="15"/>
  <c r="AA7" i="15"/>
  <c r="Z7" i="15"/>
  <c r="Y7" i="15"/>
  <c r="X7" i="15"/>
  <c r="W7" i="15"/>
  <c r="V7" i="15"/>
  <c r="U7" i="15"/>
  <c r="T7" i="15"/>
  <c r="S7" i="15"/>
  <c r="AU6" i="15"/>
  <c r="AT6" i="15"/>
  <c r="AS6" i="15"/>
  <c r="AR6" i="15"/>
  <c r="AQ6" i="15"/>
  <c r="AP6" i="15"/>
  <c r="AO6" i="15"/>
  <c r="AN6" i="15"/>
  <c r="AM6" i="15"/>
  <c r="AL6" i="15"/>
  <c r="AK6" i="15"/>
  <c r="AJ6" i="15"/>
  <c r="AI6" i="15"/>
  <c r="AG6" i="15"/>
  <c r="AE6" i="15"/>
  <c r="AD6" i="15"/>
  <c r="AC6" i="15"/>
  <c r="AB6" i="15"/>
  <c r="AA6" i="15"/>
  <c r="Z6" i="15"/>
  <c r="Y6" i="15"/>
  <c r="X6" i="15"/>
  <c r="W6" i="15"/>
  <c r="V6" i="15"/>
  <c r="U6" i="15"/>
  <c r="T6" i="15"/>
  <c r="S6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U65" i="14"/>
  <c r="AT65" i="14"/>
  <c r="AS65" i="14"/>
  <c r="AR65" i="14"/>
  <c r="AQ65" i="14"/>
  <c r="AP65" i="14"/>
  <c r="AO65" i="14"/>
  <c r="AN65" i="14"/>
  <c r="AM65" i="14"/>
  <c r="AL65" i="14"/>
  <c r="AK65" i="14"/>
  <c r="AJ65" i="14"/>
  <c r="AI65" i="14"/>
  <c r="AG65" i="14"/>
  <c r="AE65" i="14"/>
  <c r="AD65" i="14"/>
  <c r="AC65" i="14"/>
  <c r="AB65" i="14"/>
  <c r="AA65" i="14"/>
  <c r="Z65" i="14"/>
  <c r="Y65" i="14"/>
  <c r="X65" i="14"/>
  <c r="W65" i="14"/>
  <c r="V65" i="14"/>
  <c r="U65" i="14"/>
  <c r="T65" i="14"/>
  <c r="S65" i="14"/>
  <c r="AU64" i="14"/>
  <c r="AT64" i="14"/>
  <c r="AS64" i="14"/>
  <c r="AR64" i="14"/>
  <c r="AQ64" i="14"/>
  <c r="AP64" i="14"/>
  <c r="AO64" i="14"/>
  <c r="AN64" i="14"/>
  <c r="AM64" i="14"/>
  <c r="AL64" i="14"/>
  <c r="AK64" i="14"/>
  <c r="AJ64" i="14"/>
  <c r="AI64" i="14"/>
  <c r="AG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S64" i="14"/>
  <c r="AU63" i="14"/>
  <c r="AT63" i="14"/>
  <c r="AS63" i="14"/>
  <c r="AR63" i="14"/>
  <c r="AQ63" i="14"/>
  <c r="AP63" i="14"/>
  <c r="AO63" i="14"/>
  <c r="AN63" i="14"/>
  <c r="AM63" i="14"/>
  <c r="AL63" i="14"/>
  <c r="AK63" i="14"/>
  <c r="AJ63" i="14"/>
  <c r="AI63" i="14"/>
  <c r="AV63" i="14" s="1"/>
  <c r="AG63" i="14"/>
  <c r="AE63" i="14"/>
  <c r="AD63" i="14"/>
  <c r="AC63" i="14"/>
  <c r="AB63" i="14"/>
  <c r="AA63" i="14"/>
  <c r="Z63" i="14"/>
  <c r="Y63" i="14"/>
  <c r="X63" i="14"/>
  <c r="W63" i="14"/>
  <c r="V63" i="14"/>
  <c r="U63" i="14"/>
  <c r="T63" i="14"/>
  <c r="S63" i="14"/>
  <c r="AU62" i="14"/>
  <c r="AT62" i="14"/>
  <c r="AS62" i="14"/>
  <c r="AR62" i="14"/>
  <c r="AQ62" i="14"/>
  <c r="AP62" i="14"/>
  <c r="AO62" i="14"/>
  <c r="AN62" i="14"/>
  <c r="AM62" i="14"/>
  <c r="AL62" i="14"/>
  <c r="AK62" i="14"/>
  <c r="AJ62" i="14"/>
  <c r="AI62" i="14"/>
  <c r="AG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AF62" i="14" s="1"/>
  <c r="M62" i="17" s="1"/>
  <c r="S62" i="14"/>
  <c r="AU61" i="14"/>
  <c r="AT61" i="14"/>
  <c r="AS61" i="14"/>
  <c r="AR61" i="14"/>
  <c r="AQ61" i="14"/>
  <c r="AP61" i="14"/>
  <c r="AO61" i="14"/>
  <c r="AN61" i="14"/>
  <c r="AM61" i="14"/>
  <c r="AL61" i="14"/>
  <c r="AK61" i="14"/>
  <c r="AJ61" i="14"/>
  <c r="AI61" i="14"/>
  <c r="AG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S61" i="14"/>
  <c r="AU60" i="14"/>
  <c r="AT60" i="14"/>
  <c r="AS60" i="14"/>
  <c r="AR60" i="14"/>
  <c r="AQ60" i="14"/>
  <c r="AP60" i="14"/>
  <c r="AO60" i="14"/>
  <c r="AN60" i="14"/>
  <c r="AM60" i="14"/>
  <c r="AL60" i="14"/>
  <c r="AK60" i="14"/>
  <c r="AJ60" i="14"/>
  <c r="AI60" i="14"/>
  <c r="AG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S60" i="14"/>
  <c r="AU59" i="14"/>
  <c r="AT59" i="14"/>
  <c r="AS59" i="14"/>
  <c r="AR59" i="14"/>
  <c r="AQ59" i="14"/>
  <c r="AP59" i="14"/>
  <c r="AO59" i="14"/>
  <c r="AN59" i="14"/>
  <c r="AM59" i="14"/>
  <c r="AL59" i="14"/>
  <c r="AK59" i="14"/>
  <c r="AJ59" i="14"/>
  <c r="AI59" i="14"/>
  <c r="AV59" i="14" s="1"/>
  <c r="AG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AU58" i="14"/>
  <c r="AT58" i="14"/>
  <c r="AS58" i="14"/>
  <c r="AR58" i="14"/>
  <c r="AQ58" i="14"/>
  <c r="AP58" i="14"/>
  <c r="AO58" i="14"/>
  <c r="AN58" i="14"/>
  <c r="AM58" i="14"/>
  <c r="AL58" i="14"/>
  <c r="AK58" i="14"/>
  <c r="AJ58" i="14"/>
  <c r="AI58" i="14"/>
  <c r="AG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AF58" i="14" s="1"/>
  <c r="M58" i="17" s="1"/>
  <c r="S58" i="14"/>
  <c r="AU57" i="14"/>
  <c r="AT57" i="14"/>
  <c r="AS57" i="14"/>
  <c r="AR57" i="14"/>
  <c r="AQ57" i="14"/>
  <c r="AP57" i="14"/>
  <c r="AO57" i="14"/>
  <c r="AN57" i="14"/>
  <c r="AM57" i="14"/>
  <c r="AL57" i="14"/>
  <c r="AK57" i="14"/>
  <c r="AJ57" i="14"/>
  <c r="AI57" i="14"/>
  <c r="AG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G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V55" i="14" s="1"/>
  <c r="AG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G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AF54" i="14" s="1"/>
  <c r="M54" i="17" s="1"/>
  <c r="S54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G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G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V51" i="14" s="1"/>
  <c r="AG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G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AF50" i="14" s="1"/>
  <c r="M50" i="17" s="1"/>
  <c r="S50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G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AU48" i="14"/>
  <c r="AT48" i="14"/>
  <c r="AS48" i="14"/>
  <c r="AR48" i="14"/>
  <c r="AQ48" i="14"/>
  <c r="AP48" i="14"/>
  <c r="AO48" i="14"/>
  <c r="AN48" i="14"/>
  <c r="AM48" i="14"/>
  <c r="AL48" i="14"/>
  <c r="AK48" i="14"/>
  <c r="AJ48" i="14"/>
  <c r="AI48" i="14"/>
  <c r="AG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AU47" i="14"/>
  <c r="AT47" i="14"/>
  <c r="AS47" i="14"/>
  <c r="AR47" i="14"/>
  <c r="AQ47" i="14"/>
  <c r="AP47" i="14"/>
  <c r="AO47" i="14"/>
  <c r="AN47" i="14"/>
  <c r="AM47" i="14"/>
  <c r="AL47" i="14"/>
  <c r="AK47" i="14"/>
  <c r="AJ47" i="14"/>
  <c r="AI47" i="14"/>
  <c r="AV47" i="14" s="1"/>
  <c r="AG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S47" i="14"/>
  <c r="AU46" i="14"/>
  <c r="AT46" i="14"/>
  <c r="AS46" i="14"/>
  <c r="AR46" i="14"/>
  <c r="AQ46" i="14"/>
  <c r="AP46" i="14"/>
  <c r="AO46" i="14"/>
  <c r="AN46" i="14"/>
  <c r="AM46" i="14"/>
  <c r="AL46" i="14"/>
  <c r="AK46" i="14"/>
  <c r="AJ46" i="14"/>
  <c r="AI46" i="14"/>
  <c r="AG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AF46" i="14" s="1"/>
  <c r="M46" i="17" s="1"/>
  <c r="S46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G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G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V43" i="14" s="1"/>
  <c r="AG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G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AF42" i="14" s="1"/>
  <c r="M42" i="17" s="1"/>
  <c r="S42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G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G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V39" i="14" s="1"/>
  <c r="AG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G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AF38" i="14" s="1"/>
  <c r="M38" i="17" s="1"/>
  <c r="S38" i="14"/>
  <c r="AU37" i="14"/>
  <c r="AT37" i="14"/>
  <c r="AS37" i="14"/>
  <c r="AR37" i="14"/>
  <c r="AQ37" i="14"/>
  <c r="AP37" i="14"/>
  <c r="AO37" i="14"/>
  <c r="AN37" i="14"/>
  <c r="AM37" i="14"/>
  <c r="AL37" i="14"/>
  <c r="AK37" i="14"/>
  <c r="AJ37" i="14"/>
  <c r="AI37" i="14"/>
  <c r="AG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AU36" i="14"/>
  <c r="AT36" i="14"/>
  <c r="AS36" i="14"/>
  <c r="AR36" i="14"/>
  <c r="AQ36" i="14"/>
  <c r="AP36" i="14"/>
  <c r="AO36" i="14"/>
  <c r="AN36" i="14"/>
  <c r="AM36" i="14"/>
  <c r="AL36" i="14"/>
  <c r="AK36" i="14"/>
  <c r="AJ36" i="14"/>
  <c r="AI36" i="14"/>
  <c r="AG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S36" i="14"/>
  <c r="AU35" i="14"/>
  <c r="AT35" i="14"/>
  <c r="AS35" i="14"/>
  <c r="AR35" i="14"/>
  <c r="AQ35" i="14"/>
  <c r="AP35" i="14"/>
  <c r="AO35" i="14"/>
  <c r="AN35" i="14"/>
  <c r="AM35" i="14"/>
  <c r="AL35" i="14"/>
  <c r="AK35" i="14"/>
  <c r="AJ35" i="14"/>
  <c r="AI35" i="14"/>
  <c r="AV35" i="14" s="1"/>
  <c r="AG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S35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G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AF34" i="14" s="1"/>
  <c r="M34" i="17" s="1"/>
  <c r="S34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G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G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V31" i="14" s="1"/>
  <c r="AG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G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AF30" i="14" s="1"/>
  <c r="M30" i="17" s="1"/>
  <c r="S30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G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G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V27" i="14" s="1"/>
  <c r="AG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AU26" i="14"/>
  <c r="AT26" i="14"/>
  <c r="AS26" i="14"/>
  <c r="AR26" i="14"/>
  <c r="AQ26" i="14"/>
  <c r="AP26" i="14"/>
  <c r="AO26" i="14"/>
  <c r="AN26" i="14"/>
  <c r="AM26" i="14"/>
  <c r="AL26" i="14"/>
  <c r="AK26" i="14"/>
  <c r="AJ26" i="14"/>
  <c r="AI26" i="14"/>
  <c r="AG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AF26" i="14" s="1"/>
  <c r="M26" i="17" s="1"/>
  <c r="S26" i="14"/>
  <c r="AU25" i="14"/>
  <c r="AT25" i="14"/>
  <c r="AS25" i="14"/>
  <c r="AR25" i="14"/>
  <c r="AQ25" i="14"/>
  <c r="AP25" i="14"/>
  <c r="AO25" i="14"/>
  <c r="AN25" i="14"/>
  <c r="AM25" i="14"/>
  <c r="AL25" i="14"/>
  <c r="AK25" i="14"/>
  <c r="AJ25" i="14"/>
  <c r="AI25" i="14"/>
  <c r="AG25" i="14"/>
  <c r="AE25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AU24" i="14"/>
  <c r="AT24" i="14"/>
  <c r="AS24" i="14"/>
  <c r="AR24" i="14"/>
  <c r="AQ24" i="14"/>
  <c r="AP24" i="14"/>
  <c r="AO24" i="14"/>
  <c r="AN24" i="14"/>
  <c r="AM24" i="14"/>
  <c r="AL24" i="14"/>
  <c r="AK24" i="14"/>
  <c r="AJ24" i="14"/>
  <c r="AI24" i="14"/>
  <c r="AG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V23" i="14" s="1"/>
  <c r="AG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G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AF22" i="14" s="1"/>
  <c r="M22" i="17" s="1"/>
  <c r="S22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G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AF21" i="14" s="1"/>
  <c r="M21" i="17" s="1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G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V19" i="14" s="1"/>
  <c r="AG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G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AF18" i="14" s="1"/>
  <c r="M18" i="17" s="1"/>
  <c r="S18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G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AF17" i="14" s="1"/>
  <c r="M17" i="17" s="1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G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AU15" i="14"/>
  <c r="AT15" i="14"/>
  <c r="AS15" i="14"/>
  <c r="AR15" i="14"/>
  <c r="AQ15" i="14"/>
  <c r="AP15" i="14"/>
  <c r="AO15" i="14"/>
  <c r="AN15" i="14"/>
  <c r="AM15" i="14"/>
  <c r="AL15" i="14"/>
  <c r="AK15" i="14"/>
  <c r="AJ15" i="14"/>
  <c r="AI15" i="14"/>
  <c r="AV15" i="14" s="1"/>
  <c r="AG15" i="14"/>
  <c r="AE15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AU14" i="14"/>
  <c r="AT14" i="14"/>
  <c r="AS14" i="14"/>
  <c r="AR14" i="14"/>
  <c r="AQ14" i="14"/>
  <c r="AP14" i="14"/>
  <c r="AO14" i="14"/>
  <c r="AN14" i="14"/>
  <c r="AM14" i="14"/>
  <c r="AL14" i="14"/>
  <c r="AK14" i="14"/>
  <c r="AJ14" i="14"/>
  <c r="AI14" i="14"/>
  <c r="AG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AF14" i="14" s="1"/>
  <c r="M14" i="17" s="1"/>
  <c r="S14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G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AF13" i="14" s="1"/>
  <c r="M13" i="17" s="1"/>
  <c r="AU12" i="14"/>
  <c r="AT12" i="14"/>
  <c r="AS12" i="14"/>
  <c r="AR12" i="14"/>
  <c r="AQ12" i="14"/>
  <c r="AP12" i="14"/>
  <c r="AO12" i="14"/>
  <c r="AN12" i="14"/>
  <c r="AM12" i="14"/>
  <c r="AL12" i="14"/>
  <c r="AK12" i="14"/>
  <c r="AJ12" i="14"/>
  <c r="AI12" i="14"/>
  <c r="AG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AU11" i="14"/>
  <c r="AT11" i="14"/>
  <c r="AS11" i="14"/>
  <c r="AR11" i="14"/>
  <c r="AQ11" i="14"/>
  <c r="AP11" i="14"/>
  <c r="AO11" i="14"/>
  <c r="AN11" i="14"/>
  <c r="AM11" i="14"/>
  <c r="AL11" i="14"/>
  <c r="AK11" i="14"/>
  <c r="AJ11" i="14"/>
  <c r="AI11" i="14"/>
  <c r="AV11" i="14" s="1"/>
  <c r="AG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AU10" i="14"/>
  <c r="AT10" i="14"/>
  <c r="AS10" i="14"/>
  <c r="AR10" i="14"/>
  <c r="AQ10" i="14"/>
  <c r="AP10" i="14"/>
  <c r="AO10" i="14"/>
  <c r="AN10" i="14"/>
  <c r="AM10" i="14"/>
  <c r="AL10" i="14"/>
  <c r="AK10" i="14"/>
  <c r="AJ10" i="14"/>
  <c r="AI10" i="14"/>
  <c r="AG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AF10" i="14" s="1"/>
  <c r="M10" i="17" s="1"/>
  <c r="S10" i="14"/>
  <c r="AU9" i="14"/>
  <c r="AT9" i="14"/>
  <c r="AS9" i="14"/>
  <c r="AR9" i="14"/>
  <c r="AQ9" i="14"/>
  <c r="AP9" i="14"/>
  <c r="AO9" i="14"/>
  <c r="AN9" i="14"/>
  <c r="AM9" i="14"/>
  <c r="AL9" i="14"/>
  <c r="AK9" i="14"/>
  <c r="AJ9" i="14"/>
  <c r="AI9" i="14"/>
  <c r="AG9" i="14"/>
  <c r="AE9" i="14"/>
  <c r="AD9" i="14"/>
  <c r="AC9" i="14"/>
  <c r="AB9" i="14"/>
  <c r="AA9" i="14"/>
  <c r="Z9" i="14"/>
  <c r="Y9" i="14"/>
  <c r="X9" i="14"/>
  <c r="W9" i="14"/>
  <c r="V9" i="14"/>
  <c r="U9" i="14"/>
  <c r="T9" i="14"/>
  <c r="S9" i="14"/>
  <c r="AU8" i="14"/>
  <c r="AT8" i="14"/>
  <c r="AS8" i="14"/>
  <c r="AR8" i="14"/>
  <c r="AQ8" i="14"/>
  <c r="AP8" i="14"/>
  <c r="AO8" i="14"/>
  <c r="AN8" i="14"/>
  <c r="AM8" i="14"/>
  <c r="AL8" i="14"/>
  <c r="AK8" i="14"/>
  <c r="AJ8" i="14"/>
  <c r="AI8" i="14"/>
  <c r="AG8" i="14"/>
  <c r="AE8" i="14"/>
  <c r="AD8" i="14"/>
  <c r="AC8" i="14"/>
  <c r="AB8" i="14"/>
  <c r="AA8" i="14"/>
  <c r="Z8" i="14"/>
  <c r="Y8" i="14"/>
  <c r="X8" i="14"/>
  <c r="W8" i="14"/>
  <c r="V8" i="14"/>
  <c r="U8" i="14"/>
  <c r="T8" i="14"/>
  <c r="S8" i="14"/>
  <c r="AU7" i="14"/>
  <c r="AT7" i="14"/>
  <c r="AS7" i="14"/>
  <c r="AR7" i="14"/>
  <c r="AQ7" i="14"/>
  <c r="AP7" i="14"/>
  <c r="AO7" i="14"/>
  <c r="AN7" i="14"/>
  <c r="AM7" i="14"/>
  <c r="AL7" i="14"/>
  <c r="AK7" i="14"/>
  <c r="AJ7" i="14"/>
  <c r="AI7" i="14"/>
  <c r="AV7" i="14" s="1"/>
  <c r="AG7" i="14"/>
  <c r="AE7" i="14"/>
  <c r="AD7" i="14"/>
  <c r="AC7" i="14"/>
  <c r="AB7" i="14"/>
  <c r="AA7" i="14"/>
  <c r="Z7" i="14"/>
  <c r="Y7" i="14"/>
  <c r="X7" i="14"/>
  <c r="W7" i="14"/>
  <c r="V7" i="14"/>
  <c r="U7" i="14"/>
  <c r="T7" i="14"/>
  <c r="S7" i="14"/>
  <c r="AU6" i="14"/>
  <c r="AT6" i="14"/>
  <c r="AS6" i="14"/>
  <c r="AR6" i="14"/>
  <c r="AQ6" i="14"/>
  <c r="AP6" i="14"/>
  <c r="AO6" i="14"/>
  <c r="AN6" i="14"/>
  <c r="AM6" i="14"/>
  <c r="AL6" i="14"/>
  <c r="AK6" i="14"/>
  <c r="AJ6" i="14"/>
  <c r="AI6" i="14"/>
  <c r="AG6" i="14"/>
  <c r="AE6" i="14"/>
  <c r="AD6" i="14"/>
  <c r="AC6" i="14"/>
  <c r="AB6" i="14"/>
  <c r="AA6" i="14"/>
  <c r="Z6" i="14"/>
  <c r="Y6" i="14"/>
  <c r="X6" i="14"/>
  <c r="W6" i="14"/>
  <c r="V6" i="14"/>
  <c r="U6" i="14"/>
  <c r="T6" i="14"/>
  <c r="AF6" i="14" s="1"/>
  <c r="S6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U65" i="13"/>
  <c r="AT65" i="13"/>
  <c r="AS65" i="13"/>
  <c r="AR65" i="13"/>
  <c r="AQ65" i="13"/>
  <c r="AP65" i="13"/>
  <c r="AO65" i="13"/>
  <c r="AN65" i="13"/>
  <c r="AM65" i="13"/>
  <c r="AL65" i="13"/>
  <c r="AK65" i="13"/>
  <c r="AJ65" i="13"/>
  <c r="AI65" i="13"/>
  <c r="AG65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S65" i="13"/>
  <c r="AU64" i="13"/>
  <c r="AT64" i="13"/>
  <c r="AS64" i="13"/>
  <c r="AR64" i="13"/>
  <c r="AQ64" i="13"/>
  <c r="AP64" i="13"/>
  <c r="AO64" i="13"/>
  <c r="AN64" i="13"/>
  <c r="AM64" i="13"/>
  <c r="AL64" i="13"/>
  <c r="AK64" i="13"/>
  <c r="AJ64" i="13"/>
  <c r="AI64" i="13"/>
  <c r="AG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S64" i="13"/>
  <c r="AF64" i="13" s="1"/>
  <c r="L64" i="17" s="1"/>
  <c r="AU63" i="13"/>
  <c r="AT63" i="13"/>
  <c r="AS63" i="13"/>
  <c r="AR63" i="13"/>
  <c r="AQ63" i="13"/>
  <c r="AP63" i="13"/>
  <c r="AO63" i="13"/>
  <c r="AN63" i="13"/>
  <c r="AM63" i="13"/>
  <c r="AL63" i="13"/>
  <c r="AK63" i="13"/>
  <c r="AJ63" i="13"/>
  <c r="AV63" i="13" s="1"/>
  <c r="AI63" i="13"/>
  <c r="AG63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S63" i="13"/>
  <c r="AU62" i="13"/>
  <c r="AT62" i="13"/>
  <c r="AS62" i="13"/>
  <c r="AR62" i="13"/>
  <c r="AQ62" i="13"/>
  <c r="AP62" i="13"/>
  <c r="AO62" i="13"/>
  <c r="AN62" i="13"/>
  <c r="AM62" i="13"/>
  <c r="AL62" i="13"/>
  <c r="AK62" i="13"/>
  <c r="AJ62" i="13"/>
  <c r="AI62" i="13"/>
  <c r="AV62" i="13" s="1"/>
  <c r="AG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AU61" i="13"/>
  <c r="AT61" i="13"/>
  <c r="AS61" i="13"/>
  <c r="AR61" i="13"/>
  <c r="AQ61" i="13"/>
  <c r="AP61" i="13"/>
  <c r="AO61" i="13"/>
  <c r="AN61" i="13"/>
  <c r="AM61" i="13"/>
  <c r="AL61" i="13"/>
  <c r="AK61" i="13"/>
  <c r="AJ61" i="13"/>
  <c r="AI61" i="13"/>
  <c r="AG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S61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G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AU59" i="13"/>
  <c r="AT59" i="13"/>
  <c r="AS59" i="13"/>
  <c r="AR59" i="13"/>
  <c r="AQ59" i="13"/>
  <c r="AP59" i="13"/>
  <c r="AO59" i="13"/>
  <c r="AN59" i="13"/>
  <c r="AM59" i="13"/>
  <c r="AL59" i="13"/>
  <c r="AK59" i="13"/>
  <c r="AJ59" i="13"/>
  <c r="AV59" i="13" s="1"/>
  <c r="AI59" i="13"/>
  <c r="AG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AU58" i="13"/>
  <c r="AT58" i="13"/>
  <c r="AS58" i="13"/>
  <c r="AR58" i="13"/>
  <c r="AQ58" i="13"/>
  <c r="AP58" i="13"/>
  <c r="AO58" i="13"/>
  <c r="AN58" i="13"/>
  <c r="AM58" i="13"/>
  <c r="AL58" i="13"/>
  <c r="AK58" i="13"/>
  <c r="AJ58" i="13"/>
  <c r="AI58" i="13"/>
  <c r="AV58" i="13" s="1"/>
  <c r="AG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AU57" i="13"/>
  <c r="AT57" i="13"/>
  <c r="AS57" i="13"/>
  <c r="AR57" i="13"/>
  <c r="AQ57" i="13"/>
  <c r="AP57" i="13"/>
  <c r="AO57" i="13"/>
  <c r="AN57" i="13"/>
  <c r="AM57" i="13"/>
  <c r="AL57" i="13"/>
  <c r="AK57" i="13"/>
  <c r="AJ57" i="13"/>
  <c r="AI57" i="13"/>
  <c r="AG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G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V55" i="13" s="1"/>
  <c r="AI55" i="13"/>
  <c r="AG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G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G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G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V51" i="13" s="1"/>
  <c r="AI51" i="13"/>
  <c r="AG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G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G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AU48" i="13"/>
  <c r="AT48" i="13"/>
  <c r="AS48" i="13"/>
  <c r="AR48" i="13"/>
  <c r="AQ48" i="13"/>
  <c r="AP48" i="13"/>
  <c r="AO48" i="13"/>
  <c r="AN48" i="13"/>
  <c r="AM48" i="13"/>
  <c r="AL48" i="13"/>
  <c r="AK48" i="13"/>
  <c r="AJ48" i="13"/>
  <c r="AI48" i="13"/>
  <c r="AG48" i="13"/>
  <c r="AE48" i="13"/>
  <c r="AD48" i="13"/>
  <c r="AC48" i="13"/>
  <c r="AB48" i="13"/>
  <c r="AA48" i="13"/>
  <c r="Z48" i="13"/>
  <c r="Y48" i="13"/>
  <c r="X48" i="13"/>
  <c r="W48" i="13"/>
  <c r="V48" i="13"/>
  <c r="U48" i="13"/>
  <c r="T48" i="13"/>
  <c r="S48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V47" i="13" s="1"/>
  <c r="AI47" i="13"/>
  <c r="AG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AU46" i="13"/>
  <c r="AT46" i="13"/>
  <c r="AS46" i="13"/>
  <c r="AR46" i="13"/>
  <c r="AQ46" i="13"/>
  <c r="AP46" i="13"/>
  <c r="AO46" i="13"/>
  <c r="AN46" i="13"/>
  <c r="AM46" i="13"/>
  <c r="AL46" i="13"/>
  <c r="AK46" i="13"/>
  <c r="AJ46" i="13"/>
  <c r="AI46" i="13"/>
  <c r="AG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G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G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V43" i="13" s="1"/>
  <c r="AI43" i="13"/>
  <c r="AG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G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G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G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V39" i="13" s="1"/>
  <c r="AI39" i="13"/>
  <c r="AG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G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AU37" i="13"/>
  <c r="AT37" i="13"/>
  <c r="AS37" i="13"/>
  <c r="AR37" i="13"/>
  <c r="AQ37" i="13"/>
  <c r="AP37" i="13"/>
  <c r="AO37" i="13"/>
  <c r="AN37" i="13"/>
  <c r="AM37" i="13"/>
  <c r="AL37" i="13"/>
  <c r="AK37" i="13"/>
  <c r="AJ37" i="13"/>
  <c r="AI37" i="13"/>
  <c r="AG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AG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S36" i="13"/>
  <c r="AU35" i="13"/>
  <c r="AT35" i="13"/>
  <c r="AS35" i="13"/>
  <c r="AR35" i="13"/>
  <c r="AQ35" i="13"/>
  <c r="AP35" i="13"/>
  <c r="AO35" i="13"/>
  <c r="AN35" i="13"/>
  <c r="AM35" i="13"/>
  <c r="AL35" i="13"/>
  <c r="AK35" i="13"/>
  <c r="AJ35" i="13"/>
  <c r="AV35" i="13" s="1"/>
  <c r="AI35" i="13"/>
  <c r="AG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G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G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G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V31" i="13" s="1"/>
  <c r="AI31" i="13"/>
  <c r="AG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G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G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G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V27" i="13" s="1"/>
  <c r="AI27" i="13"/>
  <c r="AG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G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G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G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AF24" i="13" s="1"/>
  <c r="L24" i="17" s="1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V23" i="13" s="1"/>
  <c r="AI23" i="13"/>
  <c r="AG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G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G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G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AF20" i="13" s="1"/>
  <c r="L20" i="17" s="1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V19" i="13" s="1"/>
  <c r="AI19" i="13"/>
  <c r="AG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G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G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G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AF16" i="13" s="1"/>
  <c r="L16" i="17" s="1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V15" i="13" s="1"/>
  <c r="AI15" i="13"/>
  <c r="AG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G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G13" i="13"/>
  <c r="AE13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G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AF12" i="13" s="1"/>
  <c r="L12" i="17" s="1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V11" i="13" s="1"/>
  <c r="AI11" i="13"/>
  <c r="AG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G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G9" i="13"/>
  <c r="AE9" i="13"/>
  <c r="AD9" i="13"/>
  <c r="AC9" i="13"/>
  <c r="AB9" i="13"/>
  <c r="AA9" i="13"/>
  <c r="Z9" i="13"/>
  <c r="Y9" i="13"/>
  <c r="X9" i="13"/>
  <c r="W9" i="13"/>
  <c r="V9" i="13"/>
  <c r="U9" i="13"/>
  <c r="T9" i="13"/>
  <c r="S9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G8" i="13"/>
  <c r="AE8" i="13"/>
  <c r="AD8" i="13"/>
  <c r="AC8" i="13"/>
  <c r="AB8" i="13"/>
  <c r="AA8" i="13"/>
  <c r="Z8" i="13"/>
  <c r="Y8" i="13"/>
  <c r="X8" i="13"/>
  <c r="W8" i="13"/>
  <c r="V8" i="13"/>
  <c r="U8" i="13"/>
  <c r="T8" i="13"/>
  <c r="S8" i="13"/>
  <c r="AF8" i="13" s="1"/>
  <c r="L8" i="17" s="1"/>
  <c r="AU7" i="13"/>
  <c r="AT7" i="13"/>
  <c r="AS7" i="13"/>
  <c r="AR7" i="13"/>
  <c r="AQ7" i="13"/>
  <c r="AP7" i="13"/>
  <c r="AO7" i="13"/>
  <c r="AN7" i="13"/>
  <c r="AM7" i="13"/>
  <c r="AL7" i="13"/>
  <c r="AK7" i="13"/>
  <c r="AJ7" i="13"/>
  <c r="AV7" i="13" s="1"/>
  <c r="AI7" i="13"/>
  <c r="AG7" i="13"/>
  <c r="AE7" i="13"/>
  <c r="AD7" i="13"/>
  <c r="AC7" i="13"/>
  <c r="AB7" i="13"/>
  <c r="AA7" i="13"/>
  <c r="Z7" i="13"/>
  <c r="Y7" i="13"/>
  <c r="X7" i="13"/>
  <c r="W7" i="13"/>
  <c r="V7" i="13"/>
  <c r="U7" i="13"/>
  <c r="T7" i="13"/>
  <c r="S7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G6" i="13"/>
  <c r="AE6" i="13"/>
  <c r="AD6" i="13"/>
  <c r="AC6" i="13"/>
  <c r="AB6" i="13"/>
  <c r="AA6" i="13"/>
  <c r="Z6" i="13"/>
  <c r="Y6" i="13"/>
  <c r="X6" i="13"/>
  <c r="W6" i="13"/>
  <c r="V6" i="13"/>
  <c r="U6" i="13"/>
  <c r="T6" i="13"/>
  <c r="S6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U65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AV65" i="12" s="1"/>
  <c r="AG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AU64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AG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AF64" i="12" s="1"/>
  <c r="K64" i="17" s="1"/>
  <c r="S64" i="12"/>
  <c r="AU63" i="12"/>
  <c r="AT63" i="12"/>
  <c r="AS63" i="12"/>
  <c r="AR63" i="12"/>
  <c r="AQ63" i="12"/>
  <c r="AP63" i="12"/>
  <c r="AO63" i="12"/>
  <c r="AN63" i="12"/>
  <c r="AM63" i="12"/>
  <c r="AL63" i="12"/>
  <c r="AK63" i="12"/>
  <c r="AJ63" i="12"/>
  <c r="AI63" i="12"/>
  <c r="AG63" i="12"/>
  <c r="AE63" i="12"/>
  <c r="AD63" i="12"/>
  <c r="AC63" i="12"/>
  <c r="AB63" i="12"/>
  <c r="AA63" i="12"/>
  <c r="Z63" i="12"/>
  <c r="Y63" i="12"/>
  <c r="X63" i="12"/>
  <c r="W63" i="12"/>
  <c r="V63" i="12"/>
  <c r="U63" i="12"/>
  <c r="T63" i="12"/>
  <c r="S63" i="12"/>
  <c r="AU62" i="12"/>
  <c r="AT62" i="12"/>
  <c r="AS62" i="12"/>
  <c r="AR62" i="12"/>
  <c r="AQ62" i="12"/>
  <c r="AP62" i="12"/>
  <c r="AO62" i="12"/>
  <c r="AN62" i="12"/>
  <c r="AM62" i="12"/>
  <c r="AL62" i="12"/>
  <c r="AK62" i="12"/>
  <c r="AJ62" i="12"/>
  <c r="AI62" i="12"/>
  <c r="AG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AU61" i="12"/>
  <c r="AT61" i="12"/>
  <c r="AS61" i="12"/>
  <c r="AR61" i="12"/>
  <c r="AQ61" i="12"/>
  <c r="AP61" i="12"/>
  <c r="AO61" i="12"/>
  <c r="AN61" i="12"/>
  <c r="AM61" i="12"/>
  <c r="AL61" i="12"/>
  <c r="AK61" i="12"/>
  <c r="AJ61" i="12"/>
  <c r="AI61" i="12"/>
  <c r="AV61" i="12" s="1"/>
  <c r="AG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AU60" i="12"/>
  <c r="AT60" i="12"/>
  <c r="AS60" i="12"/>
  <c r="AR60" i="12"/>
  <c r="AQ60" i="12"/>
  <c r="AP60" i="12"/>
  <c r="AO60" i="12"/>
  <c r="AN60" i="12"/>
  <c r="AM60" i="12"/>
  <c r="AL60" i="12"/>
  <c r="AK60" i="12"/>
  <c r="AJ60" i="12"/>
  <c r="AI60" i="12"/>
  <c r="AG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AF60" i="12" s="1"/>
  <c r="K60" i="17" s="1"/>
  <c r="S60" i="12"/>
  <c r="AU59" i="12"/>
  <c r="AT59" i="12"/>
  <c r="AS59" i="12"/>
  <c r="AR59" i="12"/>
  <c r="AQ59" i="12"/>
  <c r="AP59" i="12"/>
  <c r="AO59" i="12"/>
  <c r="AN59" i="12"/>
  <c r="AM59" i="12"/>
  <c r="AL59" i="12"/>
  <c r="AK59" i="12"/>
  <c r="AJ59" i="12"/>
  <c r="AI59" i="12"/>
  <c r="AG59" i="12"/>
  <c r="AE59" i="12"/>
  <c r="AD59" i="12"/>
  <c r="AC59" i="12"/>
  <c r="AB59" i="12"/>
  <c r="AA59" i="12"/>
  <c r="Z59" i="12"/>
  <c r="Y59" i="12"/>
  <c r="X59" i="12"/>
  <c r="W59" i="12"/>
  <c r="V59" i="12"/>
  <c r="U59" i="12"/>
  <c r="T59" i="12"/>
  <c r="S59" i="12"/>
  <c r="AU58" i="12"/>
  <c r="AT58" i="12"/>
  <c r="AS58" i="12"/>
  <c r="AR58" i="12"/>
  <c r="AQ58" i="12"/>
  <c r="AP58" i="12"/>
  <c r="AO58" i="12"/>
  <c r="AN58" i="12"/>
  <c r="AM58" i="12"/>
  <c r="AL58" i="12"/>
  <c r="AK58" i="12"/>
  <c r="AJ58" i="12"/>
  <c r="AI58" i="12"/>
  <c r="AG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AU57" i="12"/>
  <c r="AT57" i="12"/>
  <c r="AS57" i="12"/>
  <c r="AR57" i="12"/>
  <c r="AQ57" i="12"/>
  <c r="AP57" i="12"/>
  <c r="AO57" i="12"/>
  <c r="AN57" i="12"/>
  <c r="AM57" i="12"/>
  <c r="AL57" i="12"/>
  <c r="AK57" i="12"/>
  <c r="AJ57" i="12"/>
  <c r="AI57" i="12"/>
  <c r="AV57" i="12" s="1"/>
  <c r="AG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AU56" i="12"/>
  <c r="AT56" i="12"/>
  <c r="AS56" i="12"/>
  <c r="AR56" i="12"/>
  <c r="AQ56" i="12"/>
  <c r="AP56" i="12"/>
  <c r="AO56" i="12"/>
  <c r="AN56" i="12"/>
  <c r="AM56" i="12"/>
  <c r="AL56" i="12"/>
  <c r="AK56" i="12"/>
  <c r="AJ56" i="12"/>
  <c r="AI56" i="12"/>
  <c r="AG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AF56" i="12" s="1"/>
  <c r="K56" i="17" s="1"/>
  <c r="S56" i="12"/>
  <c r="AU55" i="12"/>
  <c r="AT55" i="12"/>
  <c r="AS55" i="12"/>
  <c r="AR55" i="12"/>
  <c r="AQ55" i="12"/>
  <c r="AP55" i="12"/>
  <c r="AO55" i="12"/>
  <c r="AN55" i="12"/>
  <c r="AM55" i="12"/>
  <c r="AL55" i="12"/>
  <c r="AK55" i="12"/>
  <c r="AJ55" i="12"/>
  <c r="AI55" i="12"/>
  <c r="AG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AU54" i="12"/>
  <c r="AT54" i="12"/>
  <c r="AS54" i="12"/>
  <c r="AR54" i="12"/>
  <c r="AQ54" i="12"/>
  <c r="AP54" i="12"/>
  <c r="AO54" i="12"/>
  <c r="AN54" i="12"/>
  <c r="AM54" i="12"/>
  <c r="AL54" i="12"/>
  <c r="AK54" i="12"/>
  <c r="AJ54" i="12"/>
  <c r="AI54" i="12"/>
  <c r="AG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AU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V53" i="12" s="1"/>
  <c r="AG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AU52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AG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AF52" i="12" s="1"/>
  <c r="K52" i="17" s="1"/>
  <c r="S52" i="12"/>
  <c r="AU51" i="12"/>
  <c r="AT51" i="12"/>
  <c r="AS51" i="12"/>
  <c r="AR51" i="12"/>
  <c r="AQ51" i="12"/>
  <c r="AP51" i="12"/>
  <c r="AO51" i="12"/>
  <c r="AN51" i="12"/>
  <c r="AM51" i="12"/>
  <c r="AL51" i="12"/>
  <c r="AK51" i="12"/>
  <c r="AJ51" i="12"/>
  <c r="AI51" i="12"/>
  <c r="AG51" i="12"/>
  <c r="AE51" i="12"/>
  <c r="AD51" i="12"/>
  <c r="AC51" i="12"/>
  <c r="AB51" i="12"/>
  <c r="AA51" i="12"/>
  <c r="Z51" i="12"/>
  <c r="Y51" i="12"/>
  <c r="X51" i="12"/>
  <c r="W51" i="12"/>
  <c r="V51" i="12"/>
  <c r="U51" i="12"/>
  <c r="T51" i="12"/>
  <c r="S51" i="12"/>
  <c r="AU50" i="12"/>
  <c r="AT50" i="12"/>
  <c r="AS50" i="12"/>
  <c r="AR50" i="12"/>
  <c r="AQ50" i="12"/>
  <c r="AP50" i="12"/>
  <c r="AO50" i="12"/>
  <c r="AN50" i="12"/>
  <c r="AM50" i="12"/>
  <c r="AL50" i="12"/>
  <c r="AK50" i="12"/>
  <c r="AJ50" i="12"/>
  <c r="AI50" i="12"/>
  <c r="AG50" i="12"/>
  <c r="AE50" i="12"/>
  <c r="AD50" i="12"/>
  <c r="AC50" i="12"/>
  <c r="AB50" i="12"/>
  <c r="AA50" i="12"/>
  <c r="Z50" i="12"/>
  <c r="Y50" i="12"/>
  <c r="X50" i="12"/>
  <c r="W50" i="12"/>
  <c r="V50" i="12"/>
  <c r="U50" i="12"/>
  <c r="T50" i="12"/>
  <c r="S50" i="12"/>
  <c r="AU49" i="12"/>
  <c r="AT49" i="12"/>
  <c r="AS49" i="12"/>
  <c r="AR49" i="12"/>
  <c r="AQ49" i="12"/>
  <c r="AP49" i="12"/>
  <c r="AO49" i="12"/>
  <c r="AN49" i="12"/>
  <c r="AM49" i="12"/>
  <c r="AL49" i="12"/>
  <c r="AK49" i="12"/>
  <c r="AJ49" i="12"/>
  <c r="AI49" i="12"/>
  <c r="AV49" i="12" s="1"/>
  <c r="AG49" i="12"/>
  <c r="AE49" i="12"/>
  <c r="AD49" i="12"/>
  <c r="AC49" i="12"/>
  <c r="AB49" i="12"/>
  <c r="AA49" i="12"/>
  <c r="Z49" i="12"/>
  <c r="Y49" i="12"/>
  <c r="X49" i="12"/>
  <c r="W49" i="12"/>
  <c r="V49" i="12"/>
  <c r="U49" i="12"/>
  <c r="T49" i="12"/>
  <c r="S49" i="12"/>
  <c r="AU48" i="12"/>
  <c r="AT48" i="12"/>
  <c r="AS48" i="12"/>
  <c r="AR48" i="12"/>
  <c r="AQ48" i="12"/>
  <c r="AP48" i="12"/>
  <c r="AO48" i="12"/>
  <c r="AN48" i="12"/>
  <c r="AM48" i="12"/>
  <c r="AL48" i="12"/>
  <c r="AK48" i="12"/>
  <c r="AJ48" i="12"/>
  <c r="AI48" i="12"/>
  <c r="AG48" i="12"/>
  <c r="AE48" i="12"/>
  <c r="AD48" i="12"/>
  <c r="AC48" i="12"/>
  <c r="AB48" i="12"/>
  <c r="AA48" i="12"/>
  <c r="Z48" i="12"/>
  <c r="Y48" i="12"/>
  <c r="X48" i="12"/>
  <c r="W48" i="12"/>
  <c r="V48" i="12"/>
  <c r="U48" i="12"/>
  <c r="T48" i="12"/>
  <c r="AF48" i="12" s="1"/>
  <c r="K48" i="17" s="1"/>
  <c r="S48" i="12"/>
  <c r="AU47" i="12"/>
  <c r="AT47" i="12"/>
  <c r="AS47" i="12"/>
  <c r="AR47" i="12"/>
  <c r="AQ47" i="12"/>
  <c r="AP47" i="12"/>
  <c r="AO47" i="12"/>
  <c r="AN47" i="12"/>
  <c r="AM47" i="12"/>
  <c r="AL47" i="12"/>
  <c r="AK47" i="12"/>
  <c r="AJ47" i="12"/>
  <c r="AI47" i="12"/>
  <c r="AG47" i="12"/>
  <c r="AE47" i="12"/>
  <c r="AD47" i="12"/>
  <c r="AC47" i="12"/>
  <c r="AB47" i="12"/>
  <c r="AA47" i="12"/>
  <c r="Z47" i="12"/>
  <c r="Y47" i="12"/>
  <c r="X47" i="12"/>
  <c r="W47" i="12"/>
  <c r="V47" i="12"/>
  <c r="U47" i="12"/>
  <c r="T47" i="12"/>
  <c r="S47" i="12"/>
  <c r="AU46" i="12"/>
  <c r="AT46" i="12"/>
  <c r="AS46" i="12"/>
  <c r="AR46" i="12"/>
  <c r="AQ46" i="12"/>
  <c r="AP46" i="12"/>
  <c r="AO46" i="12"/>
  <c r="AN46" i="12"/>
  <c r="AM46" i="12"/>
  <c r="AL46" i="12"/>
  <c r="AK46" i="12"/>
  <c r="AJ46" i="12"/>
  <c r="AI46" i="12"/>
  <c r="AG46" i="12"/>
  <c r="AE46" i="12"/>
  <c r="AD46" i="12"/>
  <c r="AC46" i="12"/>
  <c r="AB46" i="12"/>
  <c r="AA46" i="12"/>
  <c r="Z46" i="12"/>
  <c r="Y46" i="12"/>
  <c r="X46" i="12"/>
  <c r="W46" i="12"/>
  <c r="V46" i="12"/>
  <c r="U46" i="12"/>
  <c r="T46" i="12"/>
  <c r="S46" i="12"/>
  <c r="AU45" i="12"/>
  <c r="AT45" i="12"/>
  <c r="AS45" i="12"/>
  <c r="AR45" i="12"/>
  <c r="AQ45" i="12"/>
  <c r="AP45" i="12"/>
  <c r="AO45" i="12"/>
  <c r="AN45" i="12"/>
  <c r="AM45" i="12"/>
  <c r="AL45" i="12"/>
  <c r="AK45" i="12"/>
  <c r="AJ45" i="12"/>
  <c r="AI45" i="12"/>
  <c r="AV45" i="12" s="1"/>
  <c r="AG45" i="12"/>
  <c r="AE45" i="12"/>
  <c r="AD45" i="12"/>
  <c r="AC45" i="12"/>
  <c r="AB45" i="12"/>
  <c r="AA45" i="12"/>
  <c r="Z45" i="12"/>
  <c r="Y45" i="12"/>
  <c r="X45" i="12"/>
  <c r="W45" i="12"/>
  <c r="V45" i="12"/>
  <c r="U45" i="12"/>
  <c r="T45" i="12"/>
  <c r="S45" i="12"/>
  <c r="AU44" i="12"/>
  <c r="AT44" i="12"/>
  <c r="AS44" i="12"/>
  <c r="AR44" i="12"/>
  <c r="AQ44" i="12"/>
  <c r="AP44" i="12"/>
  <c r="AO44" i="12"/>
  <c r="AN44" i="12"/>
  <c r="AM44" i="12"/>
  <c r="AL44" i="12"/>
  <c r="AK44" i="12"/>
  <c r="AJ44" i="12"/>
  <c r="AI44" i="12"/>
  <c r="AG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AF44" i="12" s="1"/>
  <c r="K44" i="17" s="1"/>
  <c r="S44" i="12"/>
  <c r="AU43" i="12"/>
  <c r="AT43" i="12"/>
  <c r="AS43" i="12"/>
  <c r="AR43" i="12"/>
  <c r="AQ43" i="12"/>
  <c r="AP43" i="12"/>
  <c r="AO43" i="12"/>
  <c r="AN43" i="12"/>
  <c r="AM43" i="12"/>
  <c r="AL43" i="12"/>
  <c r="AK43" i="12"/>
  <c r="AJ43" i="12"/>
  <c r="AI43" i="12"/>
  <c r="AG43" i="12"/>
  <c r="AE43" i="12"/>
  <c r="AD43" i="12"/>
  <c r="AC43" i="12"/>
  <c r="AB43" i="12"/>
  <c r="AA43" i="12"/>
  <c r="Z43" i="12"/>
  <c r="Y43" i="12"/>
  <c r="X43" i="12"/>
  <c r="W43" i="12"/>
  <c r="V43" i="12"/>
  <c r="U43" i="12"/>
  <c r="T43" i="12"/>
  <c r="S43" i="12"/>
  <c r="AU42" i="12"/>
  <c r="AT42" i="12"/>
  <c r="AS42" i="12"/>
  <c r="AR42" i="12"/>
  <c r="AQ42" i="12"/>
  <c r="AP42" i="12"/>
  <c r="AO42" i="12"/>
  <c r="AN42" i="12"/>
  <c r="AM42" i="12"/>
  <c r="AL42" i="12"/>
  <c r="AK42" i="12"/>
  <c r="AJ42" i="12"/>
  <c r="AI42" i="12"/>
  <c r="AG42" i="12"/>
  <c r="AE42" i="12"/>
  <c r="AD42" i="12"/>
  <c r="AC42" i="12"/>
  <c r="AB42" i="12"/>
  <c r="AA42" i="12"/>
  <c r="Z42" i="12"/>
  <c r="Y42" i="12"/>
  <c r="X42" i="12"/>
  <c r="W42" i="12"/>
  <c r="V42" i="12"/>
  <c r="U42" i="12"/>
  <c r="T42" i="12"/>
  <c r="S42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V41" i="12" s="1"/>
  <c r="AG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AU40" i="12"/>
  <c r="AT40" i="12"/>
  <c r="AS40" i="12"/>
  <c r="AR40" i="12"/>
  <c r="AQ40" i="12"/>
  <c r="AP40" i="12"/>
  <c r="AO40" i="12"/>
  <c r="AN40" i="12"/>
  <c r="AM40" i="12"/>
  <c r="AL40" i="12"/>
  <c r="AK40" i="12"/>
  <c r="AJ40" i="12"/>
  <c r="AI40" i="12"/>
  <c r="AG40" i="12"/>
  <c r="AE40" i="12"/>
  <c r="AD40" i="12"/>
  <c r="AC40" i="12"/>
  <c r="AB40" i="12"/>
  <c r="AA40" i="12"/>
  <c r="Z40" i="12"/>
  <c r="Y40" i="12"/>
  <c r="X40" i="12"/>
  <c r="W40" i="12"/>
  <c r="V40" i="12"/>
  <c r="U40" i="12"/>
  <c r="T40" i="12"/>
  <c r="AF40" i="12" s="1"/>
  <c r="K40" i="17" s="1"/>
  <c r="S40" i="12"/>
  <c r="AU39" i="12"/>
  <c r="AT39" i="12"/>
  <c r="AS39" i="12"/>
  <c r="AR39" i="12"/>
  <c r="AQ39" i="12"/>
  <c r="AP39" i="12"/>
  <c r="AO39" i="12"/>
  <c r="AN39" i="12"/>
  <c r="AM39" i="12"/>
  <c r="AL39" i="12"/>
  <c r="AK39" i="12"/>
  <c r="AJ39" i="12"/>
  <c r="AI39" i="12"/>
  <c r="AG39" i="12"/>
  <c r="AE39" i="12"/>
  <c r="AD39" i="12"/>
  <c r="AC39" i="12"/>
  <c r="AB39" i="12"/>
  <c r="AA39" i="12"/>
  <c r="Z39" i="12"/>
  <c r="Y39" i="12"/>
  <c r="X39" i="12"/>
  <c r="W39" i="12"/>
  <c r="V39" i="12"/>
  <c r="U39" i="12"/>
  <c r="T39" i="12"/>
  <c r="S39" i="12"/>
  <c r="AU38" i="12"/>
  <c r="AT38" i="12"/>
  <c r="AS38" i="12"/>
  <c r="AR38" i="12"/>
  <c r="AQ38" i="12"/>
  <c r="AP38" i="12"/>
  <c r="AO38" i="12"/>
  <c r="AN38" i="12"/>
  <c r="AM38" i="12"/>
  <c r="AL38" i="12"/>
  <c r="AK38" i="12"/>
  <c r="AJ38" i="12"/>
  <c r="AI38" i="12"/>
  <c r="AG38" i="12"/>
  <c r="AE38" i="12"/>
  <c r="AD38" i="12"/>
  <c r="AC38" i="12"/>
  <c r="AB38" i="12"/>
  <c r="AA38" i="12"/>
  <c r="Z38" i="12"/>
  <c r="Y38" i="12"/>
  <c r="X38" i="12"/>
  <c r="W38" i="12"/>
  <c r="V38" i="12"/>
  <c r="U38" i="12"/>
  <c r="T38" i="12"/>
  <c r="S38" i="12"/>
  <c r="AU37" i="12"/>
  <c r="AT37" i="12"/>
  <c r="AS37" i="12"/>
  <c r="AR37" i="12"/>
  <c r="AQ37" i="12"/>
  <c r="AP37" i="12"/>
  <c r="AO37" i="12"/>
  <c r="AN37" i="12"/>
  <c r="AM37" i="12"/>
  <c r="AL37" i="12"/>
  <c r="AK37" i="12"/>
  <c r="AJ37" i="12"/>
  <c r="AI37" i="12"/>
  <c r="AV37" i="12" s="1"/>
  <c r="AG37" i="12"/>
  <c r="AE37" i="12"/>
  <c r="AD37" i="12"/>
  <c r="AC37" i="12"/>
  <c r="AB37" i="12"/>
  <c r="AA37" i="12"/>
  <c r="Z37" i="12"/>
  <c r="Y37" i="12"/>
  <c r="X37" i="12"/>
  <c r="W37" i="12"/>
  <c r="V37" i="12"/>
  <c r="U37" i="12"/>
  <c r="T37" i="12"/>
  <c r="S37" i="12"/>
  <c r="AU36" i="12"/>
  <c r="AT36" i="12"/>
  <c r="AS36" i="12"/>
  <c r="AR36" i="12"/>
  <c r="AQ36" i="12"/>
  <c r="AP36" i="12"/>
  <c r="AO36" i="12"/>
  <c r="AN36" i="12"/>
  <c r="AM36" i="12"/>
  <c r="AL36" i="12"/>
  <c r="AK36" i="12"/>
  <c r="AJ36" i="12"/>
  <c r="AI36" i="12"/>
  <c r="AG36" i="12"/>
  <c r="AE36" i="12"/>
  <c r="AD36" i="12"/>
  <c r="AC36" i="12"/>
  <c r="AB36" i="12"/>
  <c r="AA36" i="12"/>
  <c r="Z36" i="12"/>
  <c r="Y36" i="12"/>
  <c r="X36" i="12"/>
  <c r="W36" i="12"/>
  <c r="V36" i="12"/>
  <c r="U36" i="12"/>
  <c r="T36" i="12"/>
  <c r="AF36" i="12" s="1"/>
  <c r="K36" i="17" s="1"/>
  <c r="S36" i="12"/>
  <c r="AU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G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AU34" i="12"/>
  <c r="AT34" i="12"/>
  <c r="AS34" i="12"/>
  <c r="AR34" i="12"/>
  <c r="AQ34" i="12"/>
  <c r="AP34" i="12"/>
  <c r="AO34" i="12"/>
  <c r="AN34" i="12"/>
  <c r="AM34" i="12"/>
  <c r="AL34" i="12"/>
  <c r="AK34" i="12"/>
  <c r="AJ34" i="12"/>
  <c r="AI34" i="12"/>
  <c r="AG34" i="12"/>
  <c r="AE34" i="12"/>
  <c r="AD34" i="12"/>
  <c r="AC34" i="12"/>
  <c r="AB34" i="12"/>
  <c r="AA34" i="12"/>
  <c r="Z34" i="12"/>
  <c r="Y34" i="12"/>
  <c r="X34" i="12"/>
  <c r="W34" i="12"/>
  <c r="V34" i="12"/>
  <c r="U34" i="12"/>
  <c r="T34" i="12"/>
  <c r="S34" i="12"/>
  <c r="AU33" i="12"/>
  <c r="AT33" i="12"/>
  <c r="AS33" i="12"/>
  <c r="AR33" i="12"/>
  <c r="AQ33" i="12"/>
  <c r="AP33" i="12"/>
  <c r="AO33" i="12"/>
  <c r="AN33" i="12"/>
  <c r="AM33" i="12"/>
  <c r="AL33" i="12"/>
  <c r="AK33" i="12"/>
  <c r="AJ33" i="12"/>
  <c r="AI33" i="12"/>
  <c r="AV33" i="12" s="1"/>
  <c r="AG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S33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AG32" i="12"/>
  <c r="AE32" i="12"/>
  <c r="AD32" i="12"/>
  <c r="AC32" i="12"/>
  <c r="AB32" i="12"/>
  <c r="AA32" i="12"/>
  <c r="Z32" i="12"/>
  <c r="Y32" i="12"/>
  <c r="X32" i="12"/>
  <c r="W32" i="12"/>
  <c r="V32" i="12"/>
  <c r="U32" i="12"/>
  <c r="T32" i="12"/>
  <c r="AF32" i="12" s="1"/>
  <c r="K32" i="17" s="1"/>
  <c r="S32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G31" i="12"/>
  <c r="AE31" i="12"/>
  <c r="AD31" i="12"/>
  <c r="AC31" i="12"/>
  <c r="AB31" i="12"/>
  <c r="AA31" i="12"/>
  <c r="Z31" i="12"/>
  <c r="Y31" i="12"/>
  <c r="X31" i="12"/>
  <c r="W31" i="12"/>
  <c r="V31" i="12"/>
  <c r="U31" i="12"/>
  <c r="T31" i="12"/>
  <c r="S31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G30" i="12"/>
  <c r="AE30" i="12"/>
  <c r="AD30" i="12"/>
  <c r="AC30" i="12"/>
  <c r="AB30" i="12"/>
  <c r="AA30" i="12"/>
  <c r="Z30" i="12"/>
  <c r="Y30" i="12"/>
  <c r="X30" i="12"/>
  <c r="W30" i="12"/>
  <c r="V30" i="12"/>
  <c r="U30" i="12"/>
  <c r="T30" i="12"/>
  <c r="S30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V29" i="12" s="1"/>
  <c r="AG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G28" i="12"/>
  <c r="AE28" i="12"/>
  <c r="AD28" i="12"/>
  <c r="AC28" i="12"/>
  <c r="AB28" i="12"/>
  <c r="AA28" i="12"/>
  <c r="Z28" i="12"/>
  <c r="Y28" i="12"/>
  <c r="X28" i="12"/>
  <c r="W28" i="12"/>
  <c r="V28" i="12"/>
  <c r="U28" i="12"/>
  <c r="T28" i="12"/>
  <c r="AF28" i="12" s="1"/>
  <c r="K28" i="17" s="1"/>
  <c r="S28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G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S27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G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S26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V25" i="12" s="1"/>
  <c r="AG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S25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G24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AF24" i="12" s="1"/>
  <c r="K24" i="17" s="1"/>
  <c r="S24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G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G22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V21" i="12" s="1"/>
  <c r="AG21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G20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AF20" i="12" s="1"/>
  <c r="K20" i="17" s="1"/>
  <c r="S20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G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G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V17" i="12" s="1"/>
  <c r="AG17" i="12"/>
  <c r="AE17" i="12"/>
  <c r="AD17" i="12"/>
  <c r="AC17" i="12"/>
  <c r="AB17" i="12"/>
  <c r="AA17" i="12"/>
  <c r="Z17" i="12"/>
  <c r="Y17" i="12"/>
  <c r="X17" i="12"/>
  <c r="W17" i="12"/>
  <c r="V17" i="12"/>
  <c r="U17" i="12"/>
  <c r="T17" i="12"/>
  <c r="S17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G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AF16" i="12" s="1"/>
  <c r="K16" i="17" s="1"/>
  <c r="S16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G15" i="12"/>
  <c r="AE15" i="12"/>
  <c r="AD15" i="12"/>
  <c r="AC15" i="12"/>
  <c r="AB15" i="12"/>
  <c r="AA15" i="12"/>
  <c r="Z15" i="12"/>
  <c r="Y15" i="12"/>
  <c r="X15" i="12"/>
  <c r="W15" i="12"/>
  <c r="V15" i="12"/>
  <c r="U15" i="12"/>
  <c r="T15" i="12"/>
  <c r="S15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G14" i="12"/>
  <c r="AE14" i="12"/>
  <c r="AD14" i="12"/>
  <c r="AC14" i="12"/>
  <c r="AB14" i="12"/>
  <c r="AA14" i="12"/>
  <c r="Z14" i="12"/>
  <c r="Y14" i="12"/>
  <c r="X14" i="12"/>
  <c r="W14" i="12"/>
  <c r="V14" i="12"/>
  <c r="U14" i="12"/>
  <c r="T14" i="12"/>
  <c r="S14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V13" i="12" s="1"/>
  <c r="AG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S13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G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AF12" i="12" s="1"/>
  <c r="K12" i="17" s="1"/>
  <c r="S12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G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S11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G10" i="12"/>
  <c r="AE10" i="12"/>
  <c r="AD10" i="12"/>
  <c r="AC10" i="12"/>
  <c r="AB10" i="12"/>
  <c r="AA10" i="12"/>
  <c r="Z10" i="12"/>
  <c r="Y10" i="12"/>
  <c r="X10" i="12"/>
  <c r="W10" i="12"/>
  <c r="V10" i="12"/>
  <c r="U10" i="12"/>
  <c r="T10" i="12"/>
  <c r="S10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V9" i="12" s="1"/>
  <c r="AG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G8" i="12"/>
  <c r="AE8" i="12"/>
  <c r="AD8" i="12"/>
  <c r="AC8" i="12"/>
  <c r="AB8" i="12"/>
  <c r="AA8" i="12"/>
  <c r="Z8" i="12"/>
  <c r="Y8" i="12"/>
  <c r="X8" i="12"/>
  <c r="W8" i="12"/>
  <c r="V8" i="12"/>
  <c r="U8" i="12"/>
  <c r="T8" i="12"/>
  <c r="AF8" i="12" s="1"/>
  <c r="K8" i="17" s="1"/>
  <c r="S8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G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G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U65" i="11"/>
  <c r="AT65" i="11"/>
  <c r="AS65" i="11"/>
  <c r="AR65" i="11"/>
  <c r="AQ65" i="11"/>
  <c r="AP65" i="11"/>
  <c r="AO65" i="11"/>
  <c r="AN65" i="11"/>
  <c r="AM65" i="11"/>
  <c r="AL65" i="11"/>
  <c r="AK65" i="11"/>
  <c r="AJ65" i="11"/>
  <c r="AV65" i="11" s="1"/>
  <c r="AI65" i="11"/>
  <c r="AG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G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AU63" i="11"/>
  <c r="AT63" i="11"/>
  <c r="AS63" i="11"/>
  <c r="AR63" i="11"/>
  <c r="AQ63" i="11"/>
  <c r="AP63" i="11"/>
  <c r="AO63" i="11"/>
  <c r="AN63" i="11"/>
  <c r="AM63" i="11"/>
  <c r="AL63" i="11"/>
  <c r="AK63" i="11"/>
  <c r="AJ63" i="11"/>
  <c r="AI63" i="11"/>
  <c r="AG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AU62" i="11"/>
  <c r="AT62" i="11"/>
  <c r="AS62" i="11"/>
  <c r="AR62" i="11"/>
  <c r="AQ62" i="11"/>
  <c r="AP62" i="11"/>
  <c r="AO62" i="11"/>
  <c r="AN62" i="11"/>
  <c r="AM62" i="11"/>
  <c r="AL62" i="11"/>
  <c r="AK62" i="11"/>
  <c r="AJ62" i="11"/>
  <c r="AI62" i="11"/>
  <c r="AG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AF62" i="11" s="1"/>
  <c r="J62" i="17" s="1"/>
  <c r="AU61" i="11"/>
  <c r="AT61" i="11"/>
  <c r="AS61" i="11"/>
  <c r="AR61" i="11"/>
  <c r="AQ61" i="11"/>
  <c r="AP61" i="11"/>
  <c r="AO61" i="11"/>
  <c r="AN61" i="11"/>
  <c r="AM61" i="11"/>
  <c r="AL61" i="11"/>
  <c r="AK61" i="11"/>
  <c r="AJ61" i="11"/>
  <c r="AV61" i="11" s="1"/>
  <c r="AI61" i="11"/>
  <c r="AG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AU60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G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AU59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G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AU58" i="11"/>
  <c r="AT58" i="11"/>
  <c r="AS58" i="11"/>
  <c r="AR58" i="11"/>
  <c r="AQ58" i="11"/>
  <c r="AP58" i="11"/>
  <c r="AO58" i="11"/>
  <c r="AN58" i="11"/>
  <c r="AM58" i="11"/>
  <c r="AL58" i="11"/>
  <c r="AK58" i="11"/>
  <c r="AJ58" i="11"/>
  <c r="AI58" i="11"/>
  <c r="AG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AF58" i="11" s="1"/>
  <c r="J58" i="17" s="1"/>
  <c r="AU57" i="11"/>
  <c r="AT57" i="11"/>
  <c r="AS57" i="11"/>
  <c r="AR57" i="11"/>
  <c r="AQ57" i="11"/>
  <c r="AP57" i="11"/>
  <c r="AO57" i="11"/>
  <c r="AN57" i="11"/>
  <c r="AM57" i="11"/>
  <c r="AL57" i="11"/>
  <c r="AK57" i="11"/>
  <c r="AJ57" i="11"/>
  <c r="AI57" i="11"/>
  <c r="AG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AU56" i="11"/>
  <c r="AT56" i="11"/>
  <c r="AS56" i="11"/>
  <c r="AR56" i="11"/>
  <c r="AQ56" i="11"/>
  <c r="AP56" i="11"/>
  <c r="AO56" i="11"/>
  <c r="AN56" i="11"/>
  <c r="AM56" i="11"/>
  <c r="AL56" i="11"/>
  <c r="AK56" i="11"/>
  <c r="AJ56" i="11"/>
  <c r="AI56" i="11"/>
  <c r="AG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AU55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G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AU54" i="11"/>
  <c r="AT54" i="11"/>
  <c r="AS54" i="11"/>
  <c r="AR54" i="11"/>
  <c r="AQ54" i="11"/>
  <c r="AP54" i="11"/>
  <c r="AO54" i="11"/>
  <c r="AN54" i="11"/>
  <c r="AM54" i="11"/>
  <c r="AL54" i="11"/>
  <c r="AK54" i="11"/>
  <c r="AJ54" i="11"/>
  <c r="AI54" i="11"/>
  <c r="AG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AF54" i="11" s="1"/>
  <c r="J54" i="17" s="1"/>
  <c r="AU53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G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AU52" i="11"/>
  <c r="AT52" i="11"/>
  <c r="AS52" i="11"/>
  <c r="AR52" i="11"/>
  <c r="AQ52" i="11"/>
  <c r="AP52" i="11"/>
  <c r="AO52" i="11"/>
  <c r="AN52" i="11"/>
  <c r="AM52" i="11"/>
  <c r="AL52" i="11"/>
  <c r="AK52" i="11"/>
  <c r="AJ52" i="11"/>
  <c r="AI52" i="11"/>
  <c r="AG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AU51" i="11"/>
  <c r="AT51" i="11"/>
  <c r="AS51" i="11"/>
  <c r="AR51" i="11"/>
  <c r="AQ51" i="11"/>
  <c r="AP51" i="11"/>
  <c r="AO51" i="11"/>
  <c r="AN51" i="11"/>
  <c r="AM51" i="11"/>
  <c r="AL51" i="11"/>
  <c r="AK51" i="11"/>
  <c r="AJ51" i="11"/>
  <c r="AI51" i="11"/>
  <c r="AG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AU50" i="11"/>
  <c r="AT50" i="11"/>
  <c r="AS50" i="11"/>
  <c r="AR50" i="11"/>
  <c r="AQ50" i="11"/>
  <c r="AP50" i="11"/>
  <c r="AO50" i="11"/>
  <c r="AN50" i="11"/>
  <c r="AM50" i="11"/>
  <c r="AL50" i="11"/>
  <c r="AK50" i="11"/>
  <c r="AJ50" i="11"/>
  <c r="AI50" i="11"/>
  <c r="AG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AF50" i="11" s="1"/>
  <c r="J50" i="17" s="1"/>
  <c r="AU49" i="11"/>
  <c r="AT49" i="11"/>
  <c r="AS49" i="11"/>
  <c r="AR49" i="11"/>
  <c r="AQ49" i="11"/>
  <c r="AP49" i="11"/>
  <c r="AO49" i="11"/>
  <c r="AN49" i="11"/>
  <c r="AM49" i="11"/>
  <c r="AL49" i="11"/>
  <c r="AK49" i="11"/>
  <c r="AJ49" i="11"/>
  <c r="AI49" i="11"/>
  <c r="AG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AU48" i="11"/>
  <c r="AT48" i="11"/>
  <c r="AS48" i="11"/>
  <c r="AR48" i="11"/>
  <c r="AQ48" i="11"/>
  <c r="AP48" i="11"/>
  <c r="AO48" i="11"/>
  <c r="AN48" i="11"/>
  <c r="AM48" i="11"/>
  <c r="AL48" i="11"/>
  <c r="AK48" i="11"/>
  <c r="AJ48" i="11"/>
  <c r="AI48" i="11"/>
  <c r="AG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AU47" i="11"/>
  <c r="AT47" i="11"/>
  <c r="AS47" i="11"/>
  <c r="AR47" i="11"/>
  <c r="AQ47" i="11"/>
  <c r="AP47" i="11"/>
  <c r="AO47" i="11"/>
  <c r="AN47" i="11"/>
  <c r="AM47" i="11"/>
  <c r="AL47" i="11"/>
  <c r="AK47" i="11"/>
  <c r="AJ47" i="11"/>
  <c r="AI47" i="11"/>
  <c r="AG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AF47" i="11" s="1"/>
  <c r="J47" i="17" s="1"/>
  <c r="S47" i="11"/>
  <c r="AU46" i="11"/>
  <c r="AT46" i="11"/>
  <c r="AS46" i="11"/>
  <c r="AR46" i="11"/>
  <c r="AQ46" i="11"/>
  <c r="AP46" i="11"/>
  <c r="AO46" i="11"/>
  <c r="AN46" i="11"/>
  <c r="AM46" i="11"/>
  <c r="AL46" i="11"/>
  <c r="AK46" i="11"/>
  <c r="AJ46" i="11"/>
  <c r="AI46" i="11"/>
  <c r="AG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AF46" i="11" s="1"/>
  <c r="J46" i="17" s="1"/>
  <c r="AU45" i="11"/>
  <c r="AT45" i="11"/>
  <c r="AS45" i="11"/>
  <c r="AR45" i="11"/>
  <c r="AQ45" i="11"/>
  <c r="AP45" i="11"/>
  <c r="AO45" i="11"/>
  <c r="AN45" i="11"/>
  <c r="AM45" i="11"/>
  <c r="AL45" i="11"/>
  <c r="AK45" i="11"/>
  <c r="AJ45" i="11"/>
  <c r="AI45" i="11"/>
  <c r="AG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AU44" i="11"/>
  <c r="AT44" i="11"/>
  <c r="AS44" i="11"/>
  <c r="AR44" i="11"/>
  <c r="AQ44" i="11"/>
  <c r="AP44" i="11"/>
  <c r="AO44" i="11"/>
  <c r="AN44" i="11"/>
  <c r="AM44" i="11"/>
  <c r="AL44" i="11"/>
  <c r="AK44" i="11"/>
  <c r="AJ44" i="11"/>
  <c r="AI44" i="11"/>
  <c r="AG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AU43" i="11"/>
  <c r="AT43" i="11"/>
  <c r="AS43" i="11"/>
  <c r="AR43" i="11"/>
  <c r="AQ43" i="11"/>
  <c r="AP43" i="11"/>
  <c r="AO43" i="11"/>
  <c r="AN43" i="11"/>
  <c r="AM43" i="11"/>
  <c r="AL43" i="11"/>
  <c r="AK43" i="11"/>
  <c r="AJ43" i="11"/>
  <c r="AI43" i="11"/>
  <c r="AG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AF43" i="11" s="1"/>
  <c r="J43" i="17" s="1"/>
  <c r="S43" i="11"/>
  <c r="AU42" i="11"/>
  <c r="AT42" i="11"/>
  <c r="AS42" i="11"/>
  <c r="AR42" i="11"/>
  <c r="AQ42" i="11"/>
  <c r="AP42" i="11"/>
  <c r="AO42" i="11"/>
  <c r="AN42" i="11"/>
  <c r="AM42" i="11"/>
  <c r="AL42" i="11"/>
  <c r="AK42" i="11"/>
  <c r="AJ42" i="11"/>
  <c r="AI42" i="11"/>
  <c r="AG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AF42" i="11" s="1"/>
  <c r="J42" i="17" s="1"/>
  <c r="AU41" i="11"/>
  <c r="AT41" i="11"/>
  <c r="AS41" i="11"/>
  <c r="AR41" i="11"/>
  <c r="AQ41" i="11"/>
  <c r="AP41" i="11"/>
  <c r="AO41" i="11"/>
  <c r="AN41" i="11"/>
  <c r="AM41" i="11"/>
  <c r="AL41" i="11"/>
  <c r="AK41" i="11"/>
  <c r="AJ41" i="11"/>
  <c r="AI41" i="11"/>
  <c r="AG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G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AU39" i="11"/>
  <c r="AT39" i="11"/>
  <c r="AS39" i="11"/>
  <c r="AR39" i="11"/>
  <c r="AQ39" i="11"/>
  <c r="AP39" i="11"/>
  <c r="AO39" i="11"/>
  <c r="AN39" i="11"/>
  <c r="AM39" i="11"/>
  <c r="AL39" i="11"/>
  <c r="AK39" i="11"/>
  <c r="AJ39" i="11"/>
  <c r="AI39" i="11"/>
  <c r="AG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AF39" i="11" s="1"/>
  <c r="J39" i="17" s="1"/>
  <c r="S39" i="11"/>
  <c r="AU38" i="11"/>
  <c r="AT38" i="11"/>
  <c r="AS38" i="11"/>
  <c r="AR38" i="11"/>
  <c r="AQ38" i="11"/>
  <c r="AP38" i="11"/>
  <c r="AO38" i="11"/>
  <c r="AN38" i="11"/>
  <c r="AM38" i="11"/>
  <c r="AL38" i="11"/>
  <c r="AK38" i="11"/>
  <c r="AJ38" i="11"/>
  <c r="AI38" i="11"/>
  <c r="AG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AF38" i="11" s="1"/>
  <c r="J38" i="17" s="1"/>
  <c r="AU37" i="11"/>
  <c r="AT37" i="11"/>
  <c r="AS37" i="11"/>
  <c r="AR37" i="11"/>
  <c r="AQ37" i="11"/>
  <c r="AP37" i="11"/>
  <c r="AO37" i="11"/>
  <c r="AN37" i="11"/>
  <c r="AM37" i="11"/>
  <c r="AL37" i="11"/>
  <c r="AK37" i="11"/>
  <c r="AJ37" i="11"/>
  <c r="AI37" i="11"/>
  <c r="AG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G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AU35" i="11"/>
  <c r="AT35" i="11"/>
  <c r="AS35" i="11"/>
  <c r="AR35" i="11"/>
  <c r="AQ35" i="11"/>
  <c r="AP35" i="11"/>
  <c r="AO35" i="11"/>
  <c r="AN35" i="11"/>
  <c r="AM35" i="11"/>
  <c r="AL35" i="11"/>
  <c r="AK35" i="11"/>
  <c r="AJ35" i="11"/>
  <c r="AI35" i="11"/>
  <c r="AG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AF35" i="11" s="1"/>
  <c r="J35" i="17" s="1"/>
  <c r="S35" i="11"/>
  <c r="AU34" i="11"/>
  <c r="AT34" i="11"/>
  <c r="AS34" i="11"/>
  <c r="AR34" i="11"/>
  <c r="AQ34" i="11"/>
  <c r="AP34" i="11"/>
  <c r="AO34" i="11"/>
  <c r="AN34" i="11"/>
  <c r="AM34" i="11"/>
  <c r="AL34" i="11"/>
  <c r="AK34" i="11"/>
  <c r="AJ34" i="11"/>
  <c r="AI34" i="11"/>
  <c r="AG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AF34" i="11" s="1"/>
  <c r="J34" i="17" s="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G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G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G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AF31" i="11" s="1"/>
  <c r="J31" i="17" s="1"/>
  <c r="S31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G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AF30" i="11" s="1"/>
  <c r="J30" i="17" s="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G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G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G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AF27" i="11" s="1"/>
  <c r="J27" i="17" s="1"/>
  <c r="S27" i="11"/>
  <c r="AU26" i="11"/>
  <c r="AT26" i="11"/>
  <c r="AS26" i="11"/>
  <c r="AR26" i="11"/>
  <c r="AQ26" i="11"/>
  <c r="AP26" i="11"/>
  <c r="AO26" i="11"/>
  <c r="AN26" i="11"/>
  <c r="AM26" i="11"/>
  <c r="AL26" i="11"/>
  <c r="AK26" i="11"/>
  <c r="AJ26" i="11"/>
  <c r="AI26" i="11"/>
  <c r="AG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AF26" i="11" s="1"/>
  <c r="J26" i="17" s="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G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V24" i="11" s="1"/>
  <c r="AG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G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AF23" i="11" s="1"/>
  <c r="J23" i="17" s="1"/>
  <c r="S23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G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AF22" i="11" s="1"/>
  <c r="J22" i="17" s="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G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V20" i="11" s="1"/>
  <c r="AG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G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AF19" i="11" s="1"/>
  <c r="J19" i="17" s="1"/>
  <c r="S19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G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AF18" i="11" s="1"/>
  <c r="J18" i="17" s="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G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V16" i="11" s="1"/>
  <c r="AG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G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AF15" i="11" s="1"/>
  <c r="J15" i="17" s="1"/>
  <c r="S15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G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AF14" i="11" s="1"/>
  <c r="J14" i="17" s="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G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V12" i="11" s="1"/>
  <c r="AG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G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AF11" i="11" s="1"/>
  <c r="J11" i="17" s="1"/>
  <c r="S11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G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G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V8" i="11" s="1"/>
  <c r="AG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G7" i="11"/>
  <c r="AE7" i="11"/>
  <c r="AD7" i="11"/>
  <c r="AC7" i="11"/>
  <c r="AB7" i="11"/>
  <c r="AA7" i="11"/>
  <c r="Z7" i="11"/>
  <c r="Y7" i="11"/>
  <c r="X7" i="11"/>
  <c r="W7" i="11"/>
  <c r="V7" i="11"/>
  <c r="U7" i="11"/>
  <c r="T7" i="11"/>
  <c r="AF7" i="11" s="1"/>
  <c r="J7" i="17" s="1"/>
  <c r="S7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G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U65" i="10"/>
  <c r="AT65" i="10"/>
  <c r="AS65" i="10"/>
  <c r="AR65" i="10"/>
  <c r="AQ65" i="10"/>
  <c r="AP65" i="10"/>
  <c r="AO65" i="10"/>
  <c r="AN65" i="10"/>
  <c r="AM65" i="10"/>
  <c r="AL65" i="10"/>
  <c r="AK65" i="10"/>
  <c r="AJ65" i="10"/>
  <c r="AI65" i="10"/>
  <c r="AG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AF65" i="10" s="1"/>
  <c r="I65" i="17" s="1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V64" i="10" s="1"/>
  <c r="AI64" i="10"/>
  <c r="AG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AU63" i="10"/>
  <c r="AT63" i="10"/>
  <c r="AS63" i="10"/>
  <c r="AR63" i="10"/>
  <c r="AQ63" i="10"/>
  <c r="AP63" i="10"/>
  <c r="AO63" i="10"/>
  <c r="AN63" i="10"/>
  <c r="AM63" i="10"/>
  <c r="AL63" i="10"/>
  <c r="AK63" i="10"/>
  <c r="AJ63" i="10"/>
  <c r="AI63" i="10"/>
  <c r="AV63" i="10" s="1"/>
  <c r="AG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AU62" i="10"/>
  <c r="AT62" i="10"/>
  <c r="AS62" i="10"/>
  <c r="AR62" i="10"/>
  <c r="AQ62" i="10"/>
  <c r="AP62" i="10"/>
  <c r="AO62" i="10"/>
  <c r="AN62" i="10"/>
  <c r="AM62" i="10"/>
  <c r="AL62" i="10"/>
  <c r="AK62" i="10"/>
  <c r="AJ62" i="10"/>
  <c r="AI62" i="10"/>
  <c r="AG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G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AF61" i="10" s="1"/>
  <c r="I61" i="17" s="1"/>
  <c r="AU60" i="10"/>
  <c r="AT60" i="10"/>
  <c r="AS60" i="10"/>
  <c r="AR60" i="10"/>
  <c r="AQ60" i="10"/>
  <c r="AP60" i="10"/>
  <c r="AO60" i="10"/>
  <c r="AN60" i="10"/>
  <c r="AM60" i="10"/>
  <c r="AL60" i="10"/>
  <c r="AK60" i="10"/>
  <c r="AJ60" i="10"/>
  <c r="AV60" i="10" s="1"/>
  <c r="AI60" i="10"/>
  <c r="AG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AU59" i="10"/>
  <c r="AT59" i="10"/>
  <c r="AS59" i="10"/>
  <c r="AR59" i="10"/>
  <c r="AQ59" i="10"/>
  <c r="AP59" i="10"/>
  <c r="AO59" i="10"/>
  <c r="AN59" i="10"/>
  <c r="AM59" i="10"/>
  <c r="AL59" i="10"/>
  <c r="AK59" i="10"/>
  <c r="AJ59" i="10"/>
  <c r="AI59" i="10"/>
  <c r="AV59" i="10" s="1"/>
  <c r="AG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G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AU57" i="10"/>
  <c r="AT57" i="10"/>
  <c r="AS57" i="10"/>
  <c r="AR57" i="10"/>
  <c r="AQ57" i="10"/>
  <c r="AP57" i="10"/>
  <c r="AO57" i="10"/>
  <c r="AN57" i="10"/>
  <c r="AM57" i="10"/>
  <c r="AL57" i="10"/>
  <c r="AK57" i="10"/>
  <c r="AJ57" i="10"/>
  <c r="AI57" i="10"/>
  <c r="AG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AF57" i="10" s="1"/>
  <c r="I57" i="17" s="1"/>
  <c r="AU56" i="10"/>
  <c r="AT56" i="10"/>
  <c r="AS56" i="10"/>
  <c r="AR56" i="10"/>
  <c r="AQ56" i="10"/>
  <c r="AP56" i="10"/>
  <c r="AO56" i="10"/>
  <c r="AN56" i="10"/>
  <c r="AM56" i="10"/>
  <c r="AL56" i="10"/>
  <c r="AK56" i="10"/>
  <c r="AJ56" i="10"/>
  <c r="AV56" i="10" s="1"/>
  <c r="AI56" i="10"/>
  <c r="AG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AU55" i="10"/>
  <c r="AT55" i="10"/>
  <c r="AS55" i="10"/>
  <c r="AR55" i="10"/>
  <c r="AQ55" i="10"/>
  <c r="AP55" i="10"/>
  <c r="AO55" i="10"/>
  <c r="AN55" i="10"/>
  <c r="AM55" i="10"/>
  <c r="AL55" i="10"/>
  <c r="AK55" i="10"/>
  <c r="AJ55" i="10"/>
  <c r="AI55" i="10"/>
  <c r="AV55" i="10" s="1"/>
  <c r="AG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AU54" i="10"/>
  <c r="AT54" i="10"/>
  <c r="AS54" i="10"/>
  <c r="AR54" i="10"/>
  <c r="AQ54" i="10"/>
  <c r="AP54" i="10"/>
  <c r="AO54" i="10"/>
  <c r="AN54" i="10"/>
  <c r="AM54" i="10"/>
  <c r="AL54" i="10"/>
  <c r="AK54" i="10"/>
  <c r="AJ54" i="10"/>
  <c r="AI54" i="10"/>
  <c r="AG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G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V52" i="10" s="1"/>
  <c r="AI52" i="10"/>
  <c r="AG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V51" i="10" s="1"/>
  <c r="AG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G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G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V48" i="10" s="1"/>
  <c r="AI48" i="10"/>
  <c r="AG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V47" i="10" s="1"/>
  <c r="AG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G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G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V44" i="10" s="1"/>
  <c r="AI44" i="10"/>
  <c r="AG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V43" i="10" s="1"/>
  <c r="AG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G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AF42" i="10" s="1"/>
  <c r="I42" i="17" s="1"/>
  <c r="S42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G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V40" i="10" s="1"/>
  <c r="AI40" i="10"/>
  <c r="AG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V39" i="10" s="1"/>
  <c r="AG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G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AF38" i="10" s="1"/>
  <c r="I38" i="17" s="1"/>
  <c r="S38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G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G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V35" i="10" s="1"/>
  <c r="AG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G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AF34" i="10" s="1"/>
  <c r="I34" i="17" s="1"/>
  <c r="S34" i="10"/>
  <c r="AU33" i="10"/>
  <c r="AT33" i="10"/>
  <c r="AS33" i="10"/>
  <c r="AR33" i="10"/>
  <c r="AQ33" i="10"/>
  <c r="AP33" i="10"/>
  <c r="AO33" i="10"/>
  <c r="AN33" i="10"/>
  <c r="AM33" i="10"/>
  <c r="AL33" i="10"/>
  <c r="AK33" i="10"/>
  <c r="AJ33" i="10"/>
  <c r="AI33" i="10"/>
  <c r="AG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AG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V31" i="10" s="1"/>
  <c r="AG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G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AF30" i="10" s="1"/>
  <c r="I30" i="17" s="1"/>
  <c r="S30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G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G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V27" i="10" s="1"/>
  <c r="AG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G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AF26" i="10" s="1"/>
  <c r="I26" i="17" s="1"/>
  <c r="S26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G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G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V23" i="10" s="1"/>
  <c r="AG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G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AF22" i="10" s="1"/>
  <c r="I22" i="17" s="1"/>
  <c r="S22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G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G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V19" i="10" s="1"/>
  <c r="AG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G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AF18" i="10" s="1"/>
  <c r="I18" i="17" s="1"/>
  <c r="S18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G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G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V15" i="10" s="1"/>
  <c r="AG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G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AF14" i="10" s="1"/>
  <c r="I14" i="17" s="1"/>
  <c r="S14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G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G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V11" i="10" s="1"/>
  <c r="AG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G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AF10" i="10" s="1"/>
  <c r="I10" i="17" s="1"/>
  <c r="S10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G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G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V7" i="10" s="1"/>
  <c r="AG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G6" i="10"/>
  <c r="AE6" i="10"/>
  <c r="AD6" i="10"/>
  <c r="AC6" i="10"/>
  <c r="AB6" i="10"/>
  <c r="AA6" i="10"/>
  <c r="Z6" i="10"/>
  <c r="Y6" i="10"/>
  <c r="X6" i="10"/>
  <c r="W6" i="10"/>
  <c r="V6" i="10"/>
  <c r="U6" i="10"/>
  <c r="T6" i="10"/>
  <c r="AF6" i="10" s="1"/>
  <c r="S6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U65" i="9"/>
  <c r="AT65" i="9"/>
  <c r="AS65" i="9"/>
  <c r="AR65" i="9"/>
  <c r="AQ65" i="9"/>
  <c r="AP65" i="9"/>
  <c r="AO65" i="9"/>
  <c r="AN65" i="9"/>
  <c r="AM65" i="9"/>
  <c r="AL65" i="9"/>
  <c r="AK65" i="9"/>
  <c r="AJ65" i="9"/>
  <c r="AI65" i="9"/>
  <c r="AG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G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AF64" i="9" s="1"/>
  <c r="H64" i="17" s="1"/>
  <c r="AU63" i="9"/>
  <c r="AT63" i="9"/>
  <c r="AS63" i="9"/>
  <c r="AR63" i="9"/>
  <c r="AQ63" i="9"/>
  <c r="AP63" i="9"/>
  <c r="AO63" i="9"/>
  <c r="AN63" i="9"/>
  <c r="AM63" i="9"/>
  <c r="AL63" i="9"/>
  <c r="AK63" i="9"/>
  <c r="AJ63" i="9"/>
  <c r="AV63" i="9" s="1"/>
  <c r="AI63" i="9"/>
  <c r="AG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G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G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G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AF60" i="9" s="1"/>
  <c r="H60" i="17" s="1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G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G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G57" i="9"/>
  <c r="AE57" i="9"/>
  <c r="AD57" i="9"/>
  <c r="AC57" i="9"/>
  <c r="AB57" i="9"/>
  <c r="AA57" i="9"/>
  <c r="Z57" i="9"/>
  <c r="Y57" i="9"/>
  <c r="X57" i="9"/>
  <c r="W57" i="9"/>
  <c r="V57" i="9"/>
  <c r="U57" i="9"/>
  <c r="T57" i="9"/>
  <c r="AF57" i="9" s="1"/>
  <c r="H57" i="17" s="1"/>
  <c r="S57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G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AF56" i="9" s="1"/>
  <c r="H56" i="17" s="1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G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G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G53" i="9"/>
  <c r="AE53" i="9"/>
  <c r="AD53" i="9"/>
  <c r="AC53" i="9"/>
  <c r="AB53" i="9"/>
  <c r="AA53" i="9"/>
  <c r="Z53" i="9"/>
  <c r="Y53" i="9"/>
  <c r="X53" i="9"/>
  <c r="W53" i="9"/>
  <c r="V53" i="9"/>
  <c r="U53" i="9"/>
  <c r="T53" i="9"/>
  <c r="AF53" i="9" s="1"/>
  <c r="H53" i="17" s="1"/>
  <c r="S53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G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AF52" i="9" s="1"/>
  <c r="H52" i="17" s="1"/>
  <c r="AU51" i="9"/>
  <c r="AT51" i="9"/>
  <c r="AS51" i="9"/>
  <c r="AR51" i="9"/>
  <c r="AQ51" i="9"/>
  <c r="AP51" i="9"/>
  <c r="AO51" i="9"/>
  <c r="AN51" i="9"/>
  <c r="AM51" i="9"/>
  <c r="AL51" i="9"/>
  <c r="AK51" i="9"/>
  <c r="AJ51" i="9"/>
  <c r="AI51" i="9"/>
  <c r="AG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AU50" i="9"/>
  <c r="AT50" i="9"/>
  <c r="AS50" i="9"/>
  <c r="AR50" i="9"/>
  <c r="AQ50" i="9"/>
  <c r="AP50" i="9"/>
  <c r="AO50" i="9"/>
  <c r="AN50" i="9"/>
  <c r="AM50" i="9"/>
  <c r="AL50" i="9"/>
  <c r="AK50" i="9"/>
  <c r="AJ50" i="9"/>
  <c r="AI50" i="9"/>
  <c r="AG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G49" i="9"/>
  <c r="AE49" i="9"/>
  <c r="AD49" i="9"/>
  <c r="AC49" i="9"/>
  <c r="AB49" i="9"/>
  <c r="AA49" i="9"/>
  <c r="Z49" i="9"/>
  <c r="Y49" i="9"/>
  <c r="X49" i="9"/>
  <c r="W49" i="9"/>
  <c r="V49" i="9"/>
  <c r="U49" i="9"/>
  <c r="T49" i="9"/>
  <c r="AF49" i="9" s="1"/>
  <c r="H49" i="17" s="1"/>
  <c r="S49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G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AF48" i="9" s="1"/>
  <c r="H48" i="17" s="1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G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V46" i="9" s="1"/>
  <c r="AG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G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G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AF44" i="9" s="1"/>
  <c r="H44" i="17" s="1"/>
  <c r="AU43" i="9"/>
  <c r="AT43" i="9"/>
  <c r="AS43" i="9"/>
  <c r="AR43" i="9"/>
  <c r="AQ43" i="9"/>
  <c r="AP43" i="9"/>
  <c r="AO43" i="9"/>
  <c r="AN43" i="9"/>
  <c r="AM43" i="9"/>
  <c r="AL43" i="9"/>
  <c r="AK43" i="9"/>
  <c r="AJ43" i="9"/>
  <c r="AV43" i="9" s="1"/>
  <c r="AI43" i="9"/>
  <c r="AG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G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G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G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AF40" i="9" s="1"/>
  <c r="H40" i="17" s="1"/>
  <c r="AU39" i="9"/>
  <c r="AT39" i="9"/>
  <c r="AS39" i="9"/>
  <c r="AR39" i="9"/>
  <c r="AQ39" i="9"/>
  <c r="AP39" i="9"/>
  <c r="AO39" i="9"/>
  <c r="AN39" i="9"/>
  <c r="AM39" i="9"/>
  <c r="AL39" i="9"/>
  <c r="AK39" i="9"/>
  <c r="AJ39" i="9"/>
  <c r="AV39" i="9" s="1"/>
  <c r="AI39" i="9"/>
  <c r="AG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G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G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G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AF36" i="9" s="1"/>
  <c r="H36" i="17" s="1"/>
  <c r="AU35" i="9"/>
  <c r="AT35" i="9"/>
  <c r="AS35" i="9"/>
  <c r="AR35" i="9"/>
  <c r="AQ35" i="9"/>
  <c r="AP35" i="9"/>
  <c r="AO35" i="9"/>
  <c r="AN35" i="9"/>
  <c r="AM35" i="9"/>
  <c r="AL35" i="9"/>
  <c r="AK35" i="9"/>
  <c r="AJ35" i="9"/>
  <c r="AV35" i="9" s="1"/>
  <c r="AI35" i="9"/>
  <c r="AG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G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G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G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AF32" i="9" s="1"/>
  <c r="H32" i="17" s="1"/>
  <c r="AU31" i="9"/>
  <c r="AT31" i="9"/>
  <c r="AS31" i="9"/>
  <c r="AR31" i="9"/>
  <c r="AQ31" i="9"/>
  <c r="AP31" i="9"/>
  <c r="AO31" i="9"/>
  <c r="AN31" i="9"/>
  <c r="AM31" i="9"/>
  <c r="AL31" i="9"/>
  <c r="AK31" i="9"/>
  <c r="AJ31" i="9"/>
  <c r="AV31" i="9" s="1"/>
  <c r="AI31" i="9"/>
  <c r="AG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G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G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G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AF28" i="9" s="1"/>
  <c r="H28" i="17" s="1"/>
  <c r="AU27" i="9"/>
  <c r="AT27" i="9"/>
  <c r="AS27" i="9"/>
  <c r="AR27" i="9"/>
  <c r="AQ27" i="9"/>
  <c r="AP27" i="9"/>
  <c r="AO27" i="9"/>
  <c r="AN27" i="9"/>
  <c r="AM27" i="9"/>
  <c r="AL27" i="9"/>
  <c r="AK27" i="9"/>
  <c r="AJ27" i="9"/>
  <c r="AV27" i="9" s="1"/>
  <c r="AI27" i="9"/>
  <c r="AG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G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G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G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AF24" i="9" s="1"/>
  <c r="H24" i="17" s="1"/>
  <c r="AU23" i="9"/>
  <c r="AT23" i="9"/>
  <c r="AS23" i="9"/>
  <c r="AR23" i="9"/>
  <c r="AQ23" i="9"/>
  <c r="AP23" i="9"/>
  <c r="AO23" i="9"/>
  <c r="AN23" i="9"/>
  <c r="AM23" i="9"/>
  <c r="AL23" i="9"/>
  <c r="AK23" i="9"/>
  <c r="AJ23" i="9"/>
  <c r="AV23" i="9" s="1"/>
  <c r="AI23" i="9"/>
  <c r="AG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G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G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G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AF20" i="9" s="1"/>
  <c r="H20" i="17" s="1"/>
  <c r="AU19" i="9"/>
  <c r="AT19" i="9"/>
  <c r="AS19" i="9"/>
  <c r="AR19" i="9"/>
  <c r="AQ19" i="9"/>
  <c r="AP19" i="9"/>
  <c r="AO19" i="9"/>
  <c r="AN19" i="9"/>
  <c r="AM19" i="9"/>
  <c r="AL19" i="9"/>
  <c r="AK19" i="9"/>
  <c r="AJ19" i="9"/>
  <c r="AV19" i="9" s="1"/>
  <c r="AI19" i="9"/>
  <c r="AG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G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G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G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AF16" i="9" s="1"/>
  <c r="H16" i="17" s="1"/>
  <c r="AU15" i="9"/>
  <c r="AT15" i="9"/>
  <c r="AS15" i="9"/>
  <c r="AR15" i="9"/>
  <c r="AQ15" i="9"/>
  <c r="AP15" i="9"/>
  <c r="AO15" i="9"/>
  <c r="AN15" i="9"/>
  <c r="AM15" i="9"/>
  <c r="AL15" i="9"/>
  <c r="AK15" i="9"/>
  <c r="AJ15" i="9"/>
  <c r="AV15" i="9" s="1"/>
  <c r="AI15" i="9"/>
  <c r="AG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G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G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G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AF12" i="9" s="1"/>
  <c r="H12" i="17" s="1"/>
  <c r="AU11" i="9"/>
  <c r="AT11" i="9"/>
  <c r="AS11" i="9"/>
  <c r="AR11" i="9"/>
  <c r="AQ11" i="9"/>
  <c r="AP11" i="9"/>
  <c r="AO11" i="9"/>
  <c r="AN11" i="9"/>
  <c r="AM11" i="9"/>
  <c r="AL11" i="9"/>
  <c r="AK11" i="9"/>
  <c r="AJ11" i="9"/>
  <c r="AV11" i="9" s="1"/>
  <c r="AI11" i="9"/>
  <c r="AG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G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G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G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AF8" i="9" s="1"/>
  <c r="H8" i="17" s="1"/>
  <c r="AU7" i="9"/>
  <c r="AT7" i="9"/>
  <c r="AS7" i="9"/>
  <c r="AR7" i="9"/>
  <c r="AQ7" i="9"/>
  <c r="AP7" i="9"/>
  <c r="AO7" i="9"/>
  <c r="AN7" i="9"/>
  <c r="AM7" i="9"/>
  <c r="AL7" i="9"/>
  <c r="AK7" i="9"/>
  <c r="AJ7" i="9"/>
  <c r="AV7" i="9" s="1"/>
  <c r="AI7" i="9"/>
  <c r="AG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G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N4" i="9"/>
  <c r="M4" i="9"/>
  <c r="L4" i="9"/>
  <c r="K4" i="9"/>
  <c r="J4" i="9"/>
  <c r="I4" i="9"/>
  <c r="H4" i="9"/>
  <c r="G4" i="9"/>
  <c r="F4" i="9"/>
  <c r="E4" i="9"/>
  <c r="D4" i="9"/>
  <c r="C4" i="9"/>
  <c r="B4" i="9"/>
  <c r="AU65" i="8"/>
  <c r="AT65" i="8"/>
  <c r="AS65" i="8"/>
  <c r="AR65" i="8"/>
  <c r="AQ65" i="8"/>
  <c r="AP65" i="8"/>
  <c r="AO65" i="8"/>
  <c r="AN65" i="8"/>
  <c r="AM65" i="8"/>
  <c r="AL65" i="8"/>
  <c r="AK65" i="8"/>
  <c r="AJ65" i="8"/>
  <c r="AI65" i="8"/>
  <c r="AV65" i="8" s="1"/>
  <c r="AG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AU64" i="8"/>
  <c r="AT64" i="8"/>
  <c r="AS64" i="8"/>
  <c r="AR64" i="8"/>
  <c r="AQ64" i="8"/>
  <c r="AP64" i="8"/>
  <c r="AO64" i="8"/>
  <c r="AN64" i="8"/>
  <c r="AM64" i="8"/>
  <c r="AL64" i="8"/>
  <c r="AK64" i="8"/>
  <c r="AJ64" i="8"/>
  <c r="AI64" i="8"/>
  <c r="AG64" i="8"/>
  <c r="AE64" i="8"/>
  <c r="AD64" i="8"/>
  <c r="AC64" i="8"/>
  <c r="AB64" i="8"/>
  <c r="AA64" i="8"/>
  <c r="Z64" i="8"/>
  <c r="Y64" i="8"/>
  <c r="X64" i="8"/>
  <c r="W64" i="8"/>
  <c r="V64" i="8"/>
  <c r="U64" i="8"/>
  <c r="T64" i="8"/>
  <c r="AF64" i="8" s="1"/>
  <c r="G64" i="17" s="1"/>
  <c r="S64" i="8"/>
  <c r="AU63" i="8"/>
  <c r="AT63" i="8"/>
  <c r="AS63" i="8"/>
  <c r="AR63" i="8"/>
  <c r="AQ63" i="8"/>
  <c r="AP63" i="8"/>
  <c r="AO63" i="8"/>
  <c r="AN63" i="8"/>
  <c r="AM63" i="8"/>
  <c r="AL63" i="8"/>
  <c r="AK63" i="8"/>
  <c r="AJ63" i="8"/>
  <c r="AI63" i="8"/>
  <c r="AG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AU62" i="8"/>
  <c r="AT62" i="8"/>
  <c r="AS62" i="8"/>
  <c r="AR62" i="8"/>
  <c r="AQ62" i="8"/>
  <c r="AP62" i="8"/>
  <c r="AO62" i="8"/>
  <c r="AN62" i="8"/>
  <c r="AM62" i="8"/>
  <c r="AL62" i="8"/>
  <c r="AK62" i="8"/>
  <c r="AJ62" i="8"/>
  <c r="AI62" i="8"/>
  <c r="AG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AU61" i="8"/>
  <c r="AT61" i="8"/>
  <c r="AS61" i="8"/>
  <c r="AR61" i="8"/>
  <c r="AQ61" i="8"/>
  <c r="AP61" i="8"/>
  <c r="AO61" i="8"/>
  <c r="AN61" i="8"/>
  <c r="AM61" i="8"/>
  <c r="AL61" i="8"/>
  <c r="AK61" i="8"/>
  <c r="AJ61" i="8"/>
  <c r="AI61" i="8"/>
  <c r="AV61" i="8" s="1"/>
  <c r="AG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AU60" i="8"/>
  <c r="AT60" i="8"/>
  <c r="AS60" i="8"/>
  <c r="AR60" i="8"/>
  <c r="AQ60" i="8"/>
  <c r="AP60" i="8"/>
  <c r="AO60" i="8"/>
  <c r="AN60" i="8"/>
  <c r="AM60" i="8"/>
  <c r="AL60" i="8"/>
  <c r="AK60" i="8"/>
  <c r="AJ60" i="8"/>
  <c r="AI60" i="8"/>
  <c r="AG60" i="8"/>
  <c r="AE60" i="8"/>
  <c r="AD60" i="8"/>
  <c r="AC60" i="8"/>
  <c r="AB60" i="8"/>
  <c r="AA60" i="8"/>
  <c r="Z60" i="8"/>
  <c r="Y60" i="8"/>
  <c r="X60" i="8"/>
  <c r="W60" i="8"/>
  <c r="V60" i="8"/>
  <c r="U60" i="8"/>
  <c r="T60" i="8"/>
  <c r="AF60" i="8" s="1"/>
  <c r="G60" i="17" s="1"/>
  <c r="S60" i="8"/>
  <c r="AU59" i="8"/>
  <c r="AT59" i="8"/>
  <c r="AS59" i="8"/>
  <c r="AR59" i="8"/>
  <c r="AQ59" i="8"/>
  <c r="AP59" i="8"/>
  <c r="AO59" i="8"/>
  <c r="AN59" i="8"/>
  <c r="AM59" i="8"/>
  <c r="AL59" i="8"/>
  <c r="AK59" i="8"/>
  <c r="AJ59" i="8"/>
  <c r="AI59" i="8"/>
  <c r="AG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AU58" i="8"/>
  <c r="AT58" i="8"/>
  <c r="AS58" i="8"/>
  <c r="AR58" i="8"/>
  <c r="AQ58" i="8"/>
  <c r="AP58" i="8"/>
  <c r="AO58" i="8"/>
  <c r="AN58" i="8"/>
  <c r="AM58" i="8"/>
  <c r="AL58" i="8"/>
  <c r="AK58" i="8"/>
  <c r="AJ58" i="8"/>
  <c r="AI58" i="8"/>
  <c r="AG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AU57" i="8"/>
  <c r="AT57" i="8"/>
  <c r="AS57" i="8"/>
  <c r="AR57" i="8"/>
  <c r="AQ57" i="8"/>
  <c r="AP57" i="8"/>
  <c r="AO57" i="8"/>
  <c r="AN57" i="8"/>
  <c r="AM57" i="8"/>
  <c r="AL57" i="8"/>
  <c r="AK57" i="8"/>
  <c r="AJ57" i="8"/>
  <c r="AI57" i="8"/>
  <c r="AV57" i="8" s="1"/>
  <c r="AG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AU56" i="8"/>
  <c r="AT56" i="8"/>
  <c r="AS56" i="8"/>
  <c r="AR56" i="8"/>
  <c r="AQ56" i="8"/>
  <c r="AP56" i="8"/>
  <c r="AO56" i="8"/>
  <c r="AN56" i="8"/>
  <c r="AM56" i="8"/>
  <c r="AL56" i="8"/>
  <c r="AK56" i="8"/>
  <c r="AJ56" i="8"/>
  <c r="AI56" i="8"/>
  <c r="AG56" i="8"/>
  <c r="AE56" i="8"/>
  <c r="AD56" i="8"/>
  <c r="AC56" i="8"/>
  <c r="AB56" i="8"/>
  <c r="AA56" i="8"/>
  <c r="Z56" i="8"/>
  <c r="Y56" i="8"/>
  <c r="X56" i="8"/>
  <c r="W56" i="8"/>
  <c r="V56" i="8"/>
  <c r="U56" i="8"/>
  <c r="T56" i="8"/>
  <c r="AF56" i="8" s="1"/>
  <c r="G56" i="17" s="1"/>
  <c r="S56" i="8"/>
  <c r="AU55" i="8"/>
  <c r="AT55" i="8"/>
  <c r="AS55" i="8"/>
  <c r="AR55" i="8"/>
  <c r="AQ55" i="8"/>
  <c r="AP55" i="8"/>
  <c r="AO55" i="8"/>
  <c r="AN55" i="8"/>
  <c r="AM55" i="8"/>
  <c r="AL55" i="8"/>
  <c r="AK55" i="8"/>
  <c r="AJ55" i="8"/>
  <c r="AI55" i="8"/>
  <c r="AG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AU54" i="8"/>
  <c r="AT54" i="8"/>
  <c r="AS54" i="8"/>
  <c r="AR54" i="8"/>
  <c r="AQ54" i="8"/>
  <c r="AP54" i="8"/>
  <c r="AO54" i="8"/>
  <c r="AN54" i="8"/>
  <c r="AM54" i="8"/>
  <c r="AL54" i="8"/>
  <c r="AK54" i="8"/>
  <c r="AJ54" i="8"/>
  <c r="AI54" i="8"/>
  <c r="AG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AU53" i="8"/>
  <c r="AT53" i="8"/>
  <c r="AS53" i="8"/>
  <c r="AR53" i="8"/>
  <c r="AQ53" i="8"/>
  <c r="AP53" i="8"/>
  <c r="AO53" i="8"/>
  <c r="AN53" i="8"/>
  <c r="AM53" i="8"/>
  <c r="AL53" i="8"/>
  <c r="AK53" i="8"/>
  <c r="AJ53" i="8"/>
  <c r="AI53" i="8"/>
  <c r="AV53" i="8" s="1"/>
  <c r="AG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AU52" i="8"/>
  <c r="AT52" i="8"/>
  <c r="AS52" i="8"/>
  <c r="AR52" i="8"/>
  <c r="AQ52" i="8"/>
  <c r="AP52" i="8"/>
  <c r="AO52" i="8"/>
  <c r="AN52" i="8"/>
  <c r="AM52" i="8"/>
  <c r="AL52" i="8"/>
  <c r="AK52" i="8"/>
  <c r="AJ52" i="8"/>
  <c r="AI52" i="8"/>
  <c r="AG52" i="8"/>
  <c r="AE52" i="8"/>
  <c r="AD52" i="8"/>
  <c r="AC52" i="8"/>
  <c r="AB52" i="8"/>
  <c r="AA52" i="8"/>
  <c r="Z52" i="8"/>
  <c r="Y52" i="8"/>
  <c r="X52" i="8"/>
  <c r="W52" i="8"/>
  <c r="V52" i="8"/>
  <c r="U52" i="8"/>
  <c r="T52" i="8"/>
  <c r="AF52" i="8" s="1"/>
  <c r="G52" i="17" s="1"/>
  <c r="S52" i="8"/>
  <c r="AU51" i="8"/>
  <c r="AT51" i="8"/>
  <c r="AS51" i="8"/>
  <c r="AR51" i="8"/>
  <c r="AQ51" i="8"/>
  <c r="AP51" i="8"/>
  <c r="AO51" i="8"/>
  <c r="AN51" i="8"/>
  <c r="AM51" i="8"/>
  <c r="AL51" i="8"/>
  <c r="AK51" i="8"/>
  <c r="AJ51" i="8"/>
  <c r="AI51" i="8"/>
  <c r="AG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AU50" i="8"/>
  <c r="AT50" i="8"/>
  <c r="AS50" i="8"/>
  <c r="AR50" i="8"/>
  <c r="AQ50" i="8"/>
  <c r="AP50" i="8"/>
  <c r="AO50" i="8"/>
  <c r="AN50" i="8"/>
  <c r="AM50" i="8"/>
  <c r="AL50" i="8"/>
  <c r="AK50" i="8"/>
  <c r="AJ50" i="8"/>
  <c r="AI50" i="8"/>
  <c r="AG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AU49" i="8"/>
  <c r="AT49" i="8"/>
  <c r="AS49" i="8"/>
  <c r="AR49" i="8"/>
  <c r="AQ49" i="8"/>
  <c r="AP49" i="8"/>
  <c r="AO49" i="8"/>
  <c r="AN49" i="8"/>
  <c r="AM49" i="8"/>
  <c r="AL49" i="8"/>
  <c r="AK49" i="8"/>
  <c r="AJ49" i="8"/>
  <c r="AI49" i="8"/>
  <c r="AV49" i="8" s="1"/>
  <c r="AG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AU48" i="8"/>
  <c r="AT48" i="8"/>
  <c r="AS48" i="8"/>
  <c r="AR48" i="8"/>
  <c r="AQ48" i="8"/>
  <c r="AP48" i="8"/>
  <c r="AO48" i="8"/>
  <c r="AN48" i="8"/>
  <c r="AM48" i="8"/>
  <c r="AL48" i="8"/>
  <c r="AK48" i="8"/>
  <c r="AJ48" i="8"/>
  <c r="AI48" i="8"/>
  <c r="AG48" i="8"/>
  <c r="AE48" i="8"/>
  <c r="AD48" i="8"/>
  <c r="AC48" i="8"/>
  <c r="AB48" i="8"/>
  <c r="AA48" i="8"/>
  <c r="Z48" i="8"/>
  <c r="Y48" i="8"/>
  <c r="X48" i="8"/>
  <c r="W48" i="8"/>
  <c r="V48" i="8"/>
  <c r="U48" i="8"/>
  <c r="T48" i="8"/>
  <c r="AF48" i="8" s="1"/>
  <c r="G48" i="17" s="1"/>
  <c r="S48" i="8"/>
  <c r="AU47" i="8"/>
  <c r="AT47" i="8"/>
  <c r="AS47" i="8"/>
  <c r="AR47" i="8"/>
  <c r="AQ47" i="8"/>
  <c r="AP47" i="8"/>
  <c r="AO47" i="8"/>
  <c r="AN47" i="8"/>
  <c r="AM47" i="8"/>
  <c r="AL47" i="8"/>
  <c r="AK47" i="8"/>
  <c r="AJ47" i="8"/>
  <c r="AI47" i="8"/>
  <c r="AG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AU46" i="8"/>
  <c r="AT46" i="8"/>
  <c r="AS46" i="8"/>
  <c r="AR46" i="8"/>
  <c r="AQ46" i="8"/>
  <c r="AP46" i="8"/>
  <c r="AO46" i="8"/>
  <c r="AN46" i="8"/>
  <c r="AM46" i="8"/>
  <c r="AL46" i="8"/>
  <c r="AK46" i="8"/>
  <c r="AJ46" i="8"/>
  <c r="AI46" i="8"/>
  <c r="AG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AU45" i="8"/>
  <c r="AT45" i="8"/>
  <c r="AS45" i="8"/>
  <c r="AR45" i="8"/>
  <c r="AQ45" i="8"/>
  <c r="AP45" i="8"/>
  <c r="AO45" i="8"/>
  <c r="AN45" i="8"/>
  <c r="AM45" i="8"/>
  <c r="AL45" i="8"/>
  <c r="AK45" i="8"/>
  <c r="AJ45" i="8"/>
  <c r="AI45" i="8"/>
  <c r="AV45" i="8" s="1"/>
  <c r="AG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AU44" i="8"/>
  <c r="AT44" i="8"/>
  <c r="AS44" i="8"/>
  <c r="AR44" i="8"/>
  <c r="AQ44" i="8"/>
  <c r="AP44" i="8"/>
  <c r="AO44" i="8"/>
  <c r="AN44" i="8"/>
  <c r="AM44" i="8"/>
  <c r="AL44" i="8"/>
  <c r="AK44" i="8"/>
  <c r="AJ44" i="8"/>
  <c r="AI44" i="8"/>
  <c r="AG44" i="8"/>
  <c r="AE44" i="8"/>
  <c r="AD44" i="8"/>
  <c r="AC44" i="8"/>
  <c r="AB44" i="8"/>
  <c r="AA44" i="8"/>
  <c r="Z44" i="8"/>
  <c r="Y44" i="8"/>
  <c r="X44" i="8"/>
  <c r="W44" i="8"/>
  <c r="V44" i="8"/>
  <c r="U44" i="8"/>
  <c r="T44" i="8"/>
  <c r="AF44" i="8" s="1"/>
  <c r="G44" i="17" s="1"/>
  <c r="S44" i="8"/>
  <c r="AU43" i="8"/>
  <c r="AT43" i="8"/>
  <c r="AS43" i="8"/>
  <c r="AR43" i="8"/>
  <c r="AQ43" i="8"/>
  <c r="AP43" i="8"/>
  <c r="AO43" i="8"/>
  <c r="AN43" i="8"/>
  <c r="AM43" i="8"/>
  <c r="AL43" i="8"/>
  <c r="AK43" i="8"/>
  <c r="AJ43" i="8"/>
  <c r="AI43" i="8"/>
  <c r="AG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AU42" i="8"/>
  <c r="AT42" i="8"/>
  <c r="AS42" i="8"/>
  <c r="AR42" i="8"/>
  <c r="AQ42" i="8"/>
  <c r="AP42" i="8"/>
  <c r="AO42" i="8"/>
  <c r="AN42" i="8"/>
  <c r="AM42" i="8"/>
  <c r="AL42" i="8"/>
  <c r="AK42" i="8"/>
  <c r="AJ42" i="8"/>
  <c r="AI42" i="8"/>
  <c r="AG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AU41" i="8"/>
  <c r="AT41" i="8"/>
  <c r="AS41" i="8"/>
  <c r="AR41" i="8"/>
  <c r="AQ41" i="8"/>
  <c r="AP41" i="8"/>
  <c r="AO41" i="8"/>
  <c r="AN41" i="8"/>
  <c r="AM41" i="8"/>
  <c r="AL41" i="8"/>
  <c r="AK41" i="8"/>
  <c r="AJ41" i="8"/>
  <c r="AI41" i="8"/>
  <c r="AV41" i="8" s="1"/>
  <c r="AG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G40" i="8"/>
  <c r="AE40" i="8"/>
  <c r="AD40" i="8"/>
  <c r="AC40" i="8"/>
  <c r="AB40" i="8"/>
  <c r="AA40" i="8"/>
  <c r="Z40" i="8"/>
  <c r="Y40" i="8"/>
  <c r="X40" i="8"/>
  <c r="W40" i="8"/>
  <c r="V40" i="8"/>
  <c r="U40" i="8"/>
  <c r="T40" i="8"/>
  <c r="AF40" i="8" s="1"/>
  <c r="G40" i="17" s="1"/>
  <c r="S40" i="8"/>
  <c r="AU39" i="8"/>
  <c r="AT39" i="8"/>
  <c r="AS39" i="8"/>
  <c r="AR39" i="8"/>
  <c r="AQ39" i="8"/>
  <c r="AP39" i="8"/>
  <c r="AO39" i="8"/>
  <c r="AN39" i="8"/>
  <c r="AM39" i="8"/>
  <c r="AL39" i="8"/>
  <c r="AK39" i="8"/>
  <c r="AJ39" i="8"/>
  <c r="AI39" i="8"/>
  <c r="AG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AU38" i="8"/>
  <c r="AT38" i="8"/>
  <c r="AS38" i="8"/>
  <c r="AR38" i="8"/>
  <c r="AQ38" i="8"/>
  <c r="AP38" i="8"/>
  <c r="AO38" i="8"/>
  <c r="AN38" i="8"/>
  <c r="AM38" i="8"/>
  <c r="AL38" i="8"/>
  <c r="AK38" i="8"/>
  <c r="AJ38" i="8"/>
  <c r="AI38" i="8"/>
  <c r="AG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AU37" i="8"/>
  <c r="AT37" i="8"/>
  <c r="AS37" i="8"/>
  <c r="AR37" i="8"/>
  <c r="AQ37" i="8"/>
  <c r="AP37" i="8"/>
  <c r="AO37" i="8"/>
  <c r="AN37" i="8"/>
  <c r="AM37" i="8"/>
  <c r="AL37" i="8"/>
  <c r="AK37" i="8"/>
  <c r="AJ37" i="8"/>
  <c r="AI37" i="8"/>
  <c r="AV37" i="8" s="1"/>
  <c r="AG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G36" i="8"/>
  <c r="AE36" i="8"/>
  <c r="AD36" i="8"/>
  <c r="AC36" i="8"/>
  <c r="AB36" i="8"/>
  <c r="AA36" i="8"/>
  <c r="Z36" i="8"/>
  <c r="Y36" i="8"/>
  <c r="X36" i="8"/>
  <c r="W36" i="8"/>
  <c r="V36" i="8"/>
  <c r="U36" i="8"/>
  <c r="T36" i="8"/>
  <c r="AF36" i="8" s="1"/>
  <c r="G36" i="17" s="1"/>
  <c r="S36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G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AU34" i="8"/>
  <c r="AT34" i="8"/>
  <c r="AS34" i="8"/>
  <c r="AR34" i="8"/>
  <c r="AQ34" i="8"/>
  <c r="AP34" i="8"/>
  <c r="AO34" i="8"/>
  <c r="AN34" i="8"/>
  <c r="AM34" i="8"/>
  <c r="AL34" i="8"/>
  <c r="AK34" i="8"/>
  <c r="AJ34" i="8"/>
  <c r="AI34" i="8"/>
  <c r="AG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AU33" i="8"/>
  <c r="AT33" i="8"/>
  <c r="AS33" i="8"/>
  <c r="AR33" i="8"/>
  <c r="AQ33" i="8"/>
  <c r="AP33" i="8"/>
  <c r="AO33" i="8"/>
  <c r="AN33" i="8"/>
  <c r="AM33" i="8"/>
  <c r="AL33" i="8"/>
  <c r="AK33" i="8"/>
  <c r="AJ33" i="8"/>
  <c r="AI33" i="8"/>
  <c r="AV33" i="8" s="1"/>
  <c r="AG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G32" i="8"/>
  <c r="AE32" i="8"/>
  <c r="AD32" i="8"/>
  <c r="AC32" i="8"/>
  <c r="AB32" i="8"/>
  <c r="AA32" i="8"/>
  <c r="Z32" i="8"/>
  <c r="Y32" i="8"/>
  <c r="X32" i="8"/>
  <c r="W32" i="8"/>
  <c r="V32" i="8"/>
  <c r="U32" i="8"/>
  <c r="T32" i="8"/>
  <c r="AF32" i="8" s="1"/>
  <c r="G32" i="17" s="1"/>
  <c r="S32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G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G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V29" i="8" s="1"/>
  <c r="AG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G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AU27" i="8"/>
  <c r="AT27" i="8"/>
  <c r="AS27" i="8"/>
  <c r="AR27" i="8"/>
  <c r="AQ27" i="8"/>
  <c r="AP27" i="8"/>
  <c r="AO27" i="8"/>
  <c r="AN27" i="8"/>
  <c r="AM27" i="8"/>
  <c r="AL27" i="8"/>
  <c r="AK27" i="8"/>
  <c r="AJ27" i="8"/>
  <c r="AI27" i="8"/>
  <c r="AG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G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V25" i="8" s="1"/>
  <c r="AG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G24" i="8"/>
  <c r="AE24" i="8"/>
  <c r="AD24" i="8"/>
  <c r="AC24" i="8"/>
  <c r="AB24" i="8"/>
  <c r="AA24" i="8"/>
  <c r="Z24" i="8"/>
  <c r="Y24" i="8"/>
  <c r="X24" i="8"/>
  <c r="W24" i="8"/>
  <c r="V24" i="8"/>
  <c r="U24" i="8"/>
  <c r="T24" i="8"/>
  <c r="AF24" i="8" s="1"/>
  <c r="G24" i="17" s="1"/>
  <c r="S24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G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G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AU21" i="8"/>
  <c r="AT21" i="8"/>
  <c r="AS21" i="8"/>
  <c r="AR21" i="8"/>
  <c r="AQ21" i="8"/>
  <c r="AP21" i="8"/>
  <c r="AO21" i="8"/>
  <c r="AN21" i="8"/>
  <c r="AM21" i="8"/>
  <c r="AL21" i="8"/>
  <c r="AK21" i="8"/>
  <c r="AJ21" i="8"/>
  <c r="AI21" i="8"/>
  <c r="AV21" i="8" s="1"/>
  <c r="AG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G20" i="8"/>
  <c r="AE20" i="8"/>
  <c r="AD20" i="8"/>
  <c r="AC20" i="8"/>
  <c r="AB20" i="8"/>
  <c r="AA20" i="8"/>
  <c r="Z20" i="8"/>
  <c r="Y20" i="8"/>
  <c r="X20" i="8"/>
  <c r="W20" i="8"/>
  <c r="V20" i="8"/>
  <c r="U20" i="8"/>
  <c r="T20" i="8"/>
  <c r="AF20" i="8" s="1"/>
  <c r="G20" i="17" s="1"/>
  <c r="S20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G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G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V17" i="8" s="1"/>
  <c r="AG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G16" i="8"/>
  <c r="AE16" i="8"/>
  <c r="AD16" i="8"/>
  <c r="AC16" i="8"/>
  <c r="AB16" i="8"/>
  <c r="AA16" i="8"/>
  <c r="Z16" i="8"/>
  <c r="Y16" i="8"/>
  <c r="X16" i="8"/>
  <c r="W16" i="8"/>
  <c r="V16" i="8"/>
  <c r="U16" i="8"/>
  <c r="T16" i="8"/>
  <c r="AF16" i="8" s="1"/>
  <c r="G16" i="17" s="1"/>
  <c r="S16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G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G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V13" i="8" s="1"/>
  <c r="AG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G12" i="8"/>
  <c r="AE12" i="8"/>
  <c r="AD12" i="8"/>
  <c r="AC12" i="8"/>
  <c r="AB12" i="8"/>
  <c r="AA12" i="8"/>
  <c r="Z12" i="8"/>
  <c r="Y12" i="8"/>
  <c r="X12" i="8"/>
  <c r="W12" i="8"/>
  <c r="V12" i="8"/>
  <c r="U12" i="8"/>
  <c r="T12" i="8"/>
  <c r="AF12" i="8" s="1"/>
  <c r="G12" i="17" s="1"/>
  <c r="S12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G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G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V9" i="8" s="1"/>
  <c r="AG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G8" i="8"/>
  <c r="AE8" i="8"/>
  <c r="AD8" i="8"/>
  <c r="AC8" i="8"/>
  <c r="AB8" i="8"/>
  <c r="AA8" i="8"/>
  <c r="Z8" i="8"/>
  <c r="Y8" i="8"/>
  <c r="X8" i="8"/>
  <c r="W8" i="8"/>
  <c r="V8" i="8"/>
  <c r="U8" i="8"/>
  <c r="T8" i="8"/>
  <c r="AF8" i="8" s="1"/>
  <c r="G8" i="17" s="1"/>
  <c r="S8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G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AU6" i="8"/>
  <c r="AT6" i="8"/>
  <c r="AS6" i="8"/>
  <c r="AR6" i="8"/>
  <c r="AQ6" i="8"/>
  <c r="AP6" i="8"/>
  <c r="AO6" i="8"/>
  <c r="AN6" i="8"/>
  <c r="AM6" i="8"/>
  <c r="AL6" i="8"/>
  <c r="AK6" i="8"/>
  <c r="AJ6" i="8"/>
  <c r="AI6" i="8"/>
  <c r="AG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N4" i="8"/>
  <c r="M4" i="8"/>
  <c r="L4" i="8"/>
  <c r="K4" i="8"/>
  <c r="J4" i="8"/>
  <c r="I4" i="8"/>
  <c r="H4" i="8"/>
  <c r="G4" i="8"/>
  <c r="F4" i="8"/>
  <c r="E4" i="8"/>
  <c r="D4" i="8"/>
  <c r="C4" i="8"/>
  <c r="B4" i="8"/>
  <c r="AU65" i="7"/>
  <c r="AT65" i="7"/>
  <c r="AS65" i="7"/>
  <c r="AR65" i="7"/>
  <c r="AQ65" i="7"/>
  <c r="AP65" i="7"/>
  <c r="AO65" i="7"/>
  <c r="AN65" i="7"/>
  <c r="AM65" i="7"/>
  <c r="AL65" i="7"/>
  <c r="AK65" i="7"/>
  <c r="AJ65" i="7"/>
  <c r="AV65" i="7" s="1"/>
  <c r="AI65" i="7"/>
  <c r="AG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G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G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G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AF62" i="7" s="1"/>
  <c r="F62" i="17" s="1"/>
  <c r="AU61" i="7"/>
  <c r="AT61" i="7"/>
  <c r="AS61" i="7"/>
  <c r="AR61" i="7"/>
  <c r="AQ61" i="7"/>
  <c r="AP61" i="7"/>
  <c r="AO61" i="7"/>
  <c r="AN61" i="7"/>
  <c r="AM61" i="7"/>
  <c r="AL61" i="7"/>
  <c r="AK61" i="7"/>
  <c r="AJ61" i="7"/>
  <c r="AV61" i="7" s="1"/>
  <c r="AI61" i="7"/>
  <c r="AG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G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G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G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AF58" i="7" s="1"/>
  <c r="F58" i="17" s="1"/>
  <c r="AU57" i="7"/>
  <c r="AT57" i="7"/>
  <c r="AS57" i="7"/>
  <c r="AR57" i="7"/>
  <c r="AQ57" i="7"/>
  <c r="AP57" i="7"/>
  <c r="AO57" i="7"/>
  <c r="AN57" i="7"/>
  <c r="AM57" i="7"/>
  <c r="AL57" i="7"/>
  <c r="AK57" i="7"/>
  <c r="AJ57" i="7"/>
  <c r="AV57" i="7" s="1"/>
  <c r="AI57" i="7"/>
  <c r="AG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G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G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G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AF54" i="7" s="1"/>
  <c r="F54" i="17" s="1"/>
  <c r="AU53" i="7"/>
  <c r="AT53" i="7"/>
  <c r="AS53" i="7"/>
  <c r="AR53" i="7"/>
  <c r="AQ53" i="7"/>
  <c r="AP53" i="7"/>
  <c r="AO53" i="7"/>
  <c r="AN53" i="7"/>
  <c r="AM53" i="7"/>
  <c r="AL53" i="7"/>
  <c r="AK53" i="7"/>
  <c r="AJ53" i="7"/>
  <c r="AV53" i="7" s="1"/>
  <c r="AI53" i="7"/>
  <c r="AG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G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G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G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AF50" i="7" s="1"/>
  <c r="F50" i="17" s="1"/>
  <c r="AU49" i="7"/>
  <c r="AT49" i="7"/>
  <c r="AS49" i="7"/>
  <c r="AR49" i="7"/>
  <c r="AQ49" i="7"/>
  <c r="AP49" i="7"/>
  <c r="AO49" i="7"/>
  <c r="AN49" i="7"/>
  <c r="AM49" i="7"/>
  <c r="AL49" i="7"/>
  <c r="AK49" i="7"/>
  <c r="AJ49" i="7"/>
  <c r="AV49" i="7" s="1"/>
  <c r="AI49" i="7"/>
  <c r="AG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V48" i="7" s="1"/>
  <c r="AG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G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G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AF46" i="7" s="1"/>
  <c r="F46" i="17" s="1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G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V44" i="7" s="1"/>
  <c r="AG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G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G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G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V40" i="7" s="1"/>
  <c r="AG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G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G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G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V36" i="7" s="1"/>
  <c r="AG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G35" i="7"/>
  <c r="AE35" i="7"/>
  <c r="AD35" i="7"/>
  <c r="AC35" i="7"/>
  <c r="AB35" i="7"/>
  <c r="AA35" i="7"/>
  <c r="Z35" i="7"/>
  <c r="Y35" i="7"/>
  <c r="X35" i="7"/>
  <c r="W35" i="7"/>
  <c r="V35" i="7"/>
  <c r="U35" i="7"/>
  <c r="T35" i="7"/>
  <c r="AF35" i="7" s="1"/>
  <c r="F35" i="17" s="1"/>
  <c r="S35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G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G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V32" i="7" s="1"/>
  <c r="AG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G31" i="7"/>
  <c r="AE31" i="7"/>
  <c r="AD31" i="7"/>
  <c r="AC31" i="7"/>
  <c r="AB31" i="7"/>
  <c r="AA31" i="7"/>
  <c r="Z31" i="7"/>
  <c r="Y31" i="7"/>
  <c r="X31" i="7"/>
  <c r="W31" i="7"/>
  <c r="V31" i="7"/>
  <c r="U31" i="7"/>
  <c r="T31" i="7"/>
  <c r="AF31" i="7" s="1"/>
  <c r="F31" i="17" s="1"/>
  <c r="S31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G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G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V28" i="7" s="1"/>
  <c r="AG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G27" i="7"/>
  <c r="AE27" i="7"/>
  <c r="AD27" i="7"/>
  <c r="AC27" i="7"/>
  <c r="AB27" i="7"/>
  <c r="AA27" i="7"/>
  <c r="Z27" i="7"/>
  <c r="Y27" i="7"/>
  <c r="X27" i="7"/>
  <c r="W27" i="7"/>
  <c r="V27" i="7"/>
  <c r="U27" i="7"/>
  <c r="T27" i="7"/>
  <c r="AF27" i="7" s="1"/>
  <c r="F27" i="17" s="1"/>
  <c r="S27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G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G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V24" i="7" s="1"/>
  <c r="AG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G23" i="7"/>
  <c r="AE23" i="7"/>
  <c r="AD23" i="7"/>
  <c r="AC23" i="7"/>
  <c r="AB23" i="7"/>
  <c r="AA23" i="7"/>
  <c r="Z23" i="7"/>
  <c r="Y23" i="7"/>
  <c r="X23" i="7"/>
  <c r="W23" i="7"/>
  <c r="V23" i="7"/>
  <c r="U23" i="7"/>
  <c r="T23" i="7"/>
  <c r="AF23" i="7" s="1"/>
  <c r="F23" i="17" s="1"/>
  <c r="S23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G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G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V20" i="7" s="1"/>
  <c r="AG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G19" i="7"/>
  <c r="AE19" i="7"/>
  <c r="AD19" i="7"/>
  <c r="AC19" i="7"/>
  <c r="AB19" i="7"/>
  <c r="AA19" i="7"/>
  <c r="Z19" i="7"/>
  <c r="Y19" i="7"/>
  <c r="X19" i="7"/>
  <c r="W19" i="7"/>
  <c r="V19" i="7"/>
  <c r="U19" i="7"/>
  <c r="T19" i="7"/>
  <c r="AF19" i="7" s="1"/>
  <c r="F19" i="17" s="1"/>
  <c r="S19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G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V17" i="7" s="1"/>
  <c r="AI17" i="7"/>
  <c r="AG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V16" i="7" s="1"/>
  <c r="AG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G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G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V13" i="7" s="1"/>
  <c r="AI13" i="7"/>
  <c r="AG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V12" i="7" s="1"/>
  <c r="AG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G11" i="7"/>
  <c r="AE11" i="7"/>
  <c r="AD11" i="7"/>
  <c r="AC11" i="7"/>
  <c r="AB11" i="7"/>
  <c r="AA11" i="7"/>
  <c r="Z11" i="7"/>
  <c r="Y11" i="7"/>
  <c r="X11" i="7"/>
  <c r="W11" i="7"/>
  <c r="V11" i="7"/>
  <c r="U11" i="7"/>
  <c r="T11" i="7"/>
  <c r="AF11" i="7" s="1"/>
  <c r="F11" i="17" s="1"/>
  <c r="S11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G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AU9" i="7"/>
  <c r="AT9" i="7"/>
  <c r="AS9" i="7"/>
  <c r="AR9" i="7"/>
  <c r="AQ9" i="7"/>
  <c r="AP9" i="7"/>
  <c r="AO9" i="7"/>
  <c r="AN9" i="7"/>
  <c r="AM9" i="7"/>
  <c r="AL9" i="7"/>
  <c r="AK9" i="7"/>
  <c r="AJ9" i="7"/>
  <c r="AV9" i="7" s="1"/>
  <c r="AI9" i="7"/>
  <c r="AG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V8" i="7" s="1"/>
  <c r="AG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G7" i="7"/>
  <c r="AE7" i="7"/>
  <c r="AD7" i="7"/>
  <c r="AC7" i="7"/>
  <c r="AB7" i="7"/>
  <c r="AA7" i="7"/>
  <c r="Z7" i="7"/>
  <c r="Y7" i="7"/>
  <c r="X7" i="7"/>
  <c r="W7" i="7"/>
  <c r="V7" i="7"/>
  <c r="U7" i="7"/>
  <c r="T7" i="7"/>
  <c r="AF7" i="7" s="1"/>
  <c r="F7" i="17" s="1"/>
  <c r="S7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G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N4" i="7"/>
  <c r="M4" i="7"/>
  <c r="L4" i="7"/>
  <c r="K4" i="7"/>
  <c r="J4" i="7"/>
  <c r="I4" i="7"/>
  <c r="H4" i="7"/>
  <c r="G4" i="7"/>
  <c r="F4" i="7"/>
  <c r="E4" i="7"/>
  <c r="D4" i="7"/>
  <c r="C4" i="7"/>
  <c r="B4" i="7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G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V64" i="6" s="1"/>
  <c r="AI64" i="6"/>
  <c r="AG64" i="6"/>
  <c r="AE64" i="6"/>
  <c r="AD64" i="6"/>
  <c r="AC64" i="6"/>
  <c r="AB64" i="6"/>
  <c r="AA64" i="6"/>
  <c r="Z64" i="6"/>
  <c r="Y64" i="6"/>
  <c r="X64" i="6"/>
  <c r="W64" i="6"/>
  <c r="V64" i="6"/>
  <c r="U64" i="6"/>
  <c r="T64" i="6"/>
  <c r="S64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V63" i="6" s="1"/>
  <c r="AG63" i="6"/>
  <c r="AE63" i="6"/>
  <c r="AD63" i="6"/>
  <c r="AC63" i="6"/>
  <c r="AB63" i="6"/>
  <c r="AA63" i="6"/>
  <c r="Z63" i="6"/>
  <c r="Y63" i="6"/>
  <c r="X63" i="6"/>
  <c r="W63" i="6"/>
  <c r="V63" i="6"/>
  <c r="U63" i="6"/>
  <c r="T63" i="6"/>
  <c r="S63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G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G61" i="6"/>
  <c r="AE61" i="6"/>
  <c r="AD61" i="6"/>
  <c r="AC61" i="6"/>
  <c r="AB61" i="6"/>
  <c r="AA61" i="6"/>
  <c r="Z61" i="6"/>
  <c r="Y61" i="6"/>
  <c r="X61" i="6"/>
  <c r="W61" i="6"/>
  <c r="V61" i="6"/>
  <c r="U61" i="6"/>
  <c r="T61" i="6"/>
  <c r="S61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G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V59" i="6" s="1"/>
  <c r="AG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G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G57" i="6"/>
  <c r="AE57" i="6"/>
  <c r="AD57" i="6"/>
  <c r="AC57" i="6"/>
  <c r="AB57" i="6"/>
  <c r="AA57" i="6"/>
  <c r="Z57" i="6"/>
  <c r="Y57" i="6"/>
  <c r="X57" i="6"/>
  <c r="W57" i="6"/>
  <c r="V57" i="6"/>
  <c r="U57" i="6"/>
  <c r="T57" i="6"/>
  <c r="S57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G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V55" i="6" s="1"/>
  <c r="AG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G54" i="6"/>
  <c r="AE54" i="6"/>
  <c r="AD54" i="6"/>
  <c r="AC54" i="6"/>
  <c r="AB54" i="6"/>
  <c r="AA54" i="6"/>
  <c r="Z54" i="6"/>
  <c r="Y54" i="6"/>
  <c r="X54" i="6"/>
  <c r="W54" i="6"/>
  <c r="V54" i="6"/>
  <c r="U54" i="6"/>
  <c r="T54" i="6"/>
  <c r="AF54" i="6" s="1"/>
  <c r="E54" i="17" s="1"/>
  <c r="S54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G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G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V51" i="6" s="1"/>
  <c r="AG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G50" i="6"/>
  <c r="AE50" i="6"/>
  <c r="AD50" i="6"/>
  <c r="AC50" i="6"/>
  <c r="AB50" i="6"/>
  <c r="AA50" i="6"/>
  <c r="Z50" i="6"/>
  <c r="Y50" i="6"/>
  <c r="X50" i="6"/>
  <c r="W50" i="6"/>
  <c r="V50" i="6"/>
  <c r="U50" i="6"/>
  <c r="T50" i="6"/>
  <c r="AF50" i="6" s="1"/>
  <c r="E50" i="17" s="1"/>
  <c r="S50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G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G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V47" i="6" s="1"/>
  <c r="AG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G46" i="6"/>
  <c r="AE46" i="6"/>
  <c r="AD46" i="6"/>
  <c r="AC46" i="6"/>
  <c r="AB46" i="6"/>
  <c r="AA46" i="6"/>
  <c r="Z46" i="6"/>
  <c r="Y46" i="6"/>
  <c r="X46" i="6"/>
  <c r="W46" i="6"/>
  <c r="V46" i="6"/>
  <c r="U46" i="6"/>
  <c r="T46" i="6"/>
  <c r="AF46" i="6" s="1"/>
  <c r="E46" i="17" s="1"/>
  <c r="S46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G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G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V43" i="6" s="1"/>
  <c r="AG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G42" i="6"/>
  <c r="AE42" i="6"/>
  <c r="AD42" i="6"/>
  <c r="AC42" i="6"/>
  <c r="AB42" i="6"/>
  <c r="AA42" i="6"/>
  <c r="Z42" i="6"/>
  <c r="Y42" i="6"/>
  <c r="X42" i="6"/>
  <c r="W42" i="6"/>
  <c r="V42" i="6"/>
  <c r="U42" i="6"/>
  <c r="T42" i="6"/>
  <c r="AF42" i="6" s="1"/>
  <c r="E42" i="17" s="1"/>
  <c r="S42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G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G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V39" i="6" s="1"/>
  <c r="AG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G38" i="6"/>
  <c r="AE38" i="6"/>
  <c r="AD38" i="6"/>
  <c r="AC38" i="6"/>
  <c r="AB38" i="6"/>
  <c r="AA38" i="6"/>
  <c r="Z38" i="6"/>
  <c r="Y38" i="6"/>
  <c r="X38" i="6"/>
  <c r="W38" i="6"/>
  <c r="V38" i="6"/>
  <c r="U38" i="6"/>
  <c r="T38" i="6"/>
  <c r="AF38" i="6" s="1"/>
  <c r="E38" i="17" s="1"/>
  <c r="S38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G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G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V35" i="6" s="1"/>
  <c r="AG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G34" i="6"/>
  <c r="AE34" i="6"/>
  <c r="AD34" i="6"/>
  <c r="AC34" i="6"/>
  <c r="AB34" i="6"/>
  <c r="AA34" i="6"/>
  <c r="Z34" i="6"/>
  <c r="Y34" i="6"/>
  <c r="X34" i="6"/>
  <c r="W34" i="6"/>
  <c r="V34" i="6"/>
  <c r="U34" i="6"/>
  <c r="T34" i="6"/>
  <c r="AF34" i="6" s="1"/>
  <c r="E34" i="17" s="1"/>
  <c r="S34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G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G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V31" i="6" s="1"/>
  <c r="AG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G30" i="6"/>
  <c r="AE30" i="6"/>
  <c r="AD30" i="6"/>
  <c r="AC30" i="6"/>
  <c r="AB30" i="6"/>
  <c r="AA30" i="6"/>
  <c r="Z30" i="6"/>
  <c r="Y30" i="6"/>
  <c r="X30" i="6"/>
  <c r="W30" i="6"/>
  <c r="V30" i="6"/>
  <c r="U30" i="6"/>
  <c r="T30" i="6"/>
  <c r="AF30" i="6" s="1"/>
  <c r="E30" i="17" s="1"/>
  <c r="S30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G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G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V27" i="6" s="1"/>
  <c r="AG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G26" i="6"/>
  <c r="AE26" i="6"/>
  <c r="AD26" i="6"/>
  <c r="AC26" i="6"/>
  <c r="AB26" i="6"/>
  <c r="AA26" i="6"/>
  <c r="Z26" i="6"/>
  <c r="Y26" i="6"/>
  <c r="X26" i="6"/>
  <c r="W26" i="6"/>
  <c r="V26" i="6"/>
  <c r="U26" i="6"/>
  <c r="T26" i="6"/>
  <c r="AF26" i="6" s="1"/>
  <c r="E26" i="17" s="1"/>
  <c r="S26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G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AF25" i="6" s="1"/>
  <c r="E25" i="17" s="1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G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G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G22" i="6"/>
  <c r="AE22" i="6"/>
  <c r="AD22" i="6"/>
  <c r="AC22" i="6"/>
  <c r="AB22" i="6"/>
  <c r="AA22" i="6"/>
  <c r="Z22" i="6"/>
  <c r="Y22" i="6"/>
  <c r="X22" i="6"/>
  <c r="W22" i="6"/>
  <c r="V22" i="6"/>
  <c r="U22" i="6"/>
  <c r="T22" i="6"/>
  <c r="AF22" i="6" s="1"/>
  <c r="E22" i="17" s="1"/>
  <c r="S22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G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G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V19" i="6" s="1"/>
  <c r="AG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G18" i="6"/>
  <c r="AE18" i="6"/>
  <c r="AD18" i="6"/>
  <c r="AC18" i="6"/>
  <c r="AB18" i="6"/>
  <c r="AA18" i="6"/>
  <c r="Z18" i="6"/>
  <c r="Y18" i="6"/>
  <c r="X18" i="6"/>
  <c r="W18" i="6"/>
  <c r="V18" i="6"/>
  <c r="U18" i="6"/>
  <c r="T18" i="6"/>
  <c r="AF18" i="6" s="1"/>
  <c r="E18" i="17" s="1"/>
  <c r="S18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G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G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V15" i="6" s="1"/>
  <c r="AG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G14" i="6"/>
  <c r="AE14" i="6"/>
  <c r="AD14" i="6"/>
  <c r="AC14" i="6"/>
  <c r="AB14" i="6"/>
  <c r="AA14" i="6"/>
  <c r="Z14" i="6"/>
  <c r="Y14" i="6"/>
  <c r="X14" i="6"/>
  <c r="W14" i="6"/>
  <c r="V14" i="6"/>
  <c r="U14" i="6"/>
  <c r="T14" i="6"/>
  <c r="AF14" i="6" s="1"/>
  <c r="E14" i="17" s="1"/>
  <c r="S14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G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G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V11" i="6" s="1"/>
  <c r="AG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G10" i="6"/>
  <c r="AE10" i="6"/>
  <c r="AD10" i="6"/>
  <c r="AC10" i="6"/>
  <c r="AB10" i="6"/>
  <c r="AA10" i="6"/>
  <c r="Z10" i="6"/>
  <c r="Y10" i="6"/>
  <c r="X10" i="6"/>
  <c r="W10" i="6"/>
  <c r="V10" i="6"/>
  <c r="U10" i="6"/>
  <c r="T10" i="6"/>
  <c r="AF10" i="6" s="1"/>
  <c r="E10" i="17" s="1"/>
  <c r="S10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G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G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V7" i="6" s="1"/>
  <c r="AG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G6" i="6"/>
  <c r="AE6" i="6"/>
  <c r="AD6" i="6"/>
  <c r="AC6" i="6"/>
  <c r="AB6" i="6"/>
  <c r="AA6" i="6"/>
  <c r="Z6" i="6"/>
  <c r="Y6" i="6"/>
  <c r="X6" i="6"/>
  <c r="W6" i="6"/>
  <c r="V6" i="6"/>
  <c r="U6" i="6"/>
  <c r="T6" i="6"/>
  <c r="AF6" i="6" s="1"/>
  <c r="S6" i="6"/>
  <c r="N4" i="6"/>
  <c r="M4" i="6"/>
  <c r="L4" i="6"/>
  <c r="K4" i="6"/>
  <c r="J4" i="6"/>
  <c r="I4" i="6"/>
  <c r="H4" i="6"/>
  <c r="G4" i="6"/>
  <c r="F4" i="6"/>
  <c r="E4" i="6"/>
  <c r="D4" i="6"/>
  <c r="C4" i="6"/>
  <c r="B4" i="6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G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G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G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G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G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G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AF60" i="5" s="1"/>
  <c r="D60" i="17" s="1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G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G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G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G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AF56" i="5" s="1"/>
  <c r="D56" i="17" s="1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G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G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G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G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G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G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G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G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AF48" i="5" s="1"/>
  <c r="D48" i="17" s="1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G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G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G45" i="5"/>
  <c r="AE45" i="5"/>
  <c r="AD45" i="5"/>
  <c r="AC45" i="5"/>
  <c r="AB45" i="5"/>
  <c r="AA45" i="5"/>
  <c r="Z45" i="5"/>
  <c r="Y45" i="5"/>
  <c r="X45" i="5"/>
  <c r="W45" i="5"/>
  <c r="V45" i="5"/>
  <c r="U45" i="5"/>
  <c r="T45" i="5"/>
  <c r="AF45" i="5" s="1"/>
  <c r="D45" i="17" s="1"/>
  <c r="S45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G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G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G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G41" i="5"/>
  <c r="AE41" i="5"/>
  <c r="AD41" i="5"/>
  <c r="AC41" i="5"/>
  <c r="AB41" i="5"/>
  <c r="AA41" i="5"/>
  <c r="Z41" i="5"/>
  <c r="Y41" i="5"/>
  <c r="X41" i="5"/>
  <c r="W41" i="5"/>
  <c r="V41" i="5"/>
  <c r="U41" i="5"/>
  <c r="T41" i="5"/>
  <c r="AF41" i="5" s="1"/>
  <c r="D41" i="17" s="1"/>
  <c r="S41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G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G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G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G37" i="5"/>
  <c r="AE37" i="5"/>
  <c r="AD37" i="5"/>
  <c r="AC37" i="5"/>
  <c r="AB37" i="5"/>
  <c r="AA37" i="5"/>
  <c r="Z37" i="5"/>
  <c r="Y37" i="5"/>
  <c r="X37" i="5"/>
  <c r="W37" i="5"/>
  <c r="V37" i="5"/>
  <c r="U37" i="5"/>
  <c r="T37" i="5"/>
  <c r="AF37" i="5" s="1"/>
  <c r="D37" i="17" s="1"/>
  <c r="S37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G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AF36" i="5" s="1"/>
  <c r="D36" i="17" s="1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G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G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G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G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G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G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G29" i="5"/>
  <c r="AE29" i="5"/>
  <c r="AD29" i="5"/>
  <c r="AC29" i="5"/>
  <c r="AB29" i="5"/>
  <c r="AA29" i="5"/>
  <c r="Z29" i="5"/>
  <c r="Y29" i="5"/>
  <c r="X29" i="5"/>
  <c r="W29" i="5"/>
  <c r="V29" i="5"/>
  <c r="U29" i="5"/>
  <c r="T29" i="5"/>
  <c r="AF29" i="5" s="1"/>
  <c r="D29" i="17" s="1"/>
  <c r="S29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G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AF28" i="5" s="1"/>
  <c r="D28" i="17" s="1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G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G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G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G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AF24" i="5" s="1"/>
  <c r="D24" i="17" s="1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G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G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G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G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G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G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G17" i="5"/>
  <c r="AE17" i="5"/>
  <c r="AD17" i="5"/>
  <c r="AC17" i="5"/>
  <c r="AB17" i="5"/>
  <c r="AA17" i="5"/>
  <c r="Z17" i="5"/>
  <c r="Y17" i="5"/>
  <c r="X17" i="5"/>
  <c r="W17" i="5"/>
  <c r="V17" i="5"/>
  <c r="U17" i="5"/>
  <c r="T17" i="5"/>
  <c r="AF17" i="5" s="1"/>
  <c r="D17" i="17" s="1"/>
  <c r="S17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G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G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G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G13" i="5"/>
  <c r="AE13" i="5"/>
  <c r="AD13" i="5"/>
  <c r="AC13" i="5"/>
  <c r="AB13" i="5"/>
  <c r="AA13" i="5"/>
  <c r="Z13" i="5"/>
  <c r="Y13" i="5"/>
  <c r="X13" i="5"/>
  <c r="W13" i="5"/>
  <c r="V13" i="5"/>
  <c r="U13" i="5"/>
  <c r="T13" i="5"/>
  <c r="AF13" i="5" s="1"/>
  <c r="D13" i="17" s="1"/>
  <c r="S13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G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G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G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G9" i="5"/>
  <c r="AE9" i="5"/>
  <c r="AD9" i="5"/>
  <c r="AC9" i="5"/>
  <c r="AB9" i="5"/>
  <c r="AA9" i="5"/>
  <c r="Z9" i="5"/>
  <c r="Y9" i="5"/>
  <c r="X9" i="5"/>
  <c r="W9" i="5"/>
  <c r="V9" i="5"/>
  <c r="U9" i="5"/>
  <c r="T9" i="5"/>
  <c r="AF9" i="5" s="1"/>
  <c r="D9" i="17" s="1"/>
  <c r="S9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G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G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G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N4" i="5"/>
  <c r="M4" i="5"/>
  <c r="L4" i="5"/>
  <c r="K4" i="5"/>
  <c r="J4" i="5"/>
  <c r="I4" i="5"/>
  <c r="H4" i="5"/>
  <c r="G4" i="5"/>
  <c r="F4" i="5"/>
  <c r="E4" i="5"/>
  <c r="D4" i="5"/>
  <c r="C4" i="5"/>
  <c r="B4" i="5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V65" i="4" s="1"/>
  <c r="AG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G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G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AF63" i="4" s="1"/>
  <c r="C63" i="17" s="1"/>
  <c r="AU62" i="4"/>
  <c r="AT62" i="4"/>
  <c r="AS62" i="4"/>
  <c r="AR62" i="4"/>
  <c r="AQ62" i="4"/>
  <c r="AP62" i="4"/>
  <c r="AO62" i="4"/>
  <c r="AN62" i="4"/>
  <c r="AM62" i="4"/>
  <c r="AL62" i="4"/>
  <c r="AK62" i="4"/>
  <c r="AJ62" i="4"/>
  <c r="AV62" i="4" s="1"/>
  <c r="AI62" i="4"/>
  <c r="AG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V61" i="4" s="1"/>
  <c r="AG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G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G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AF59" i="4" s="1"/>
  <c r="C59" i="17" s="1"/>
  <c r="AU58" i="4"/>
  <c r="AT58" i="4"/>
  <c r="AS58" i="4"/>
  <c r="AR58" i="4"/>
  <c r="AQ58" i="4"/>
  <c r="AP58" i="4"/>
  <c r="AO58" i="4"/>
  <c r="AN58" i="4"/>
  <c r="AM58" i="4"/>
  <c r="AL58" i="4"/>
  <c r="AK58" i="4"/>
  <c r="AJ58" i="4"/>
  <c r="AV58" i="4" s="1"/>
  <c r="AI58" i="4"/>
  <c r="AG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V57" i="4" s="1"/>
  <c r="AG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G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G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AF55" i="4" s="1"/>
  <c r="C55" i="17" s="1"/>
  <c r="AU54" i="4"/>
  <c r="AT54" i="4"/>
  <c r="AS54" i="4"/>
  <c r="AR54" i="4"/>
  <c r="AQ54" i="4"/>
  <c r="AP54" i="4"/>
  <c r="AO54" i="4"/>
  <c r="AN54" i="4"/>
  <c r="AM54" i="4"/>
  <c r="AL54" i="4"/>
  <c r="AK54" i="4"/>
  <c r="AJ54" i="4"/>
  <c r="AV54" i="4" s="1"/>
  <c r="AI54" i="4"/>
  <c r="AG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V53" i="4" s="1"/>
  <c r="AG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G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G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V50" i="4" s="1"/>
  <c r="AI50" i="4"/>
  <c r="AG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V49" i="4" s="1"/>
  <c r="AG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G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G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V46" i="4" s="1"/>
  <c r="AI46" i="4"/>
  <c r="AG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V45" i="4" s="1"/>
  <c r="AG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G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G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AF43" i="4" s="1"/>
  <c r="C43" i="17" s="1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G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V41" i="4" s="1"/>
  <c r="AG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G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G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AF39" i="4" s="1"/>
  <c r="C39" i="17" s="1"/>
  <c r="AU38" i="4"/>
  <c r="AT38" i="4"/>
  <c r="AS38" i="4"/>
  <c r="AR38" i="4"/>
  <c r="AQ38" i="4"/>
  <c r="AP38" i="4"/>
  <c r="AO38" i="4"/>
  <c r="AN38" i="4"/>
  <c r="AM38" i="4"/>
  <c r="AL38" i="4"/>
  <c r="AK38" i="4"/>
  <c r="AJ38" i="4"/>
  <c r="AV38" i="4" s="1"/>
  <c r="AI38" i="4"/>
  <c r="AG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V37" i="4" s="1"/>
  <c r="AG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G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G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V34" i="4" s="1"/>
  <c r="AI34" i="4"/>
  <c r="AG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V33" i="4" s="1"/>
  <c r="AG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G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G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V30" i="4" s="1"/>
  <c r="AI30" i="4"/>
  <c r="AG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V29" i="4" s="1"/>
  <c r="AG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G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G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V26" i="4" s="1"/>
  <c r="AI26" i="4"/>
  <c r="AG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V25" i="4" s="1"/>
  <c r="AG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G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G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G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V21" i="4" s="1"/>
  <c r="AG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G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G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G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V17" i="4" s="1"/>
  <c r="AG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G16" i="4"/>
  <c r="AE16" i="4"/>
  <c r="AD16" i="4"/>
  <c r="AC16" i="4"/>
  <c r="AB16" i="4"/>
  <c r="AA16" i="4"/>
  <c r="Z16" i="4"/>
  <c r="Y16" i="4"/>
  <c r="X16" i="4"/>
  <c r="W16" i="4"/>
  <c r="V16" i="4"/>
  <c r="U16" i="4"/>
  <c r="T16" i="4"/>
  <c r="AF16" i="4" s="1"/>
  <c r="C16" i="17" s="1"/>
  <c r="S16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G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G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G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G12" i="4"/>
  <c r="AE12" i="4"/>
  <c r="AD12" i="4"/>
  <c r="AC12" i="4"/>
  <c r="AB12" i="4"/>
  <c r="AA12" i="4"/>
  <c r="Z12" i="4"/>
  <c r="Y12" i="4"/>
  <c r="X12" i="4"/>
  <c r="W12" i="4"/>
  <c r="V12" i="4"/>
  <c r="U12" i="4"/>
  <c r="T12" i="4"/>
  <c r="AF12" i="4" s="1"/>
  <c r="C12" i="17" s="1"/>
  <c r="S12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G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G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V9" i="4" s="1"/>
  <c r="AG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G8" i="4"/>
  <c r="AE8" i="4"/>
  <c r="AD8" i="4"/>
  <c r="AC8" i="4"/>
  <c r="AB8" i="4"/>
  <c r="AA8" i="4"/>
  <c r="Z8" i="4"/>
  <c r="Y8" i="4"/>
  <c r="X8" i="4"/>
  <c r="W8" i="4"/>
  <c r="V8" i="4"/>
  <c r="U8" i="4"/>
  <c r="T8" i="4"/>
  <c r="AF8" i="4" s="1"/>
  <c r="C8" i="17" s="1"/>
  <c r="S8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G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G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N4" i="4"/>
  <c r="M4" i="4"/>
  <c r="L4" i="4"/>
  <c r="K4" i="4"/>
  <c r="J4" i="4"/>
  <c r="I4" i="4"/>
  <c r="H4" i="4"/>
  <c r="G4" i="4"/>
  <c r="F4" i="4"/>
  <c r="E4" i="4"/>
  <c r="D4" i="4"/>
  <c r="C4" i="4"/>
  <c r="B4" i="4"/>
  <c r="AU65" i="3"/>
  <c r="AT65" i="3"/>
  <c r="AS65" i="3"/>
  <c r="AR65" i="3"/>
  <c r="AQ65" i="3"/>
  <c r="AP65" i="3"/>
  <c r="AO65" i="3"/>
  <c r="AN65" i="3"/>
  <c r="AM65" i="3"/>
  <c r="AL65" i="3"/>
  <c r="AK65" i="3"/>
  <c r="AJ65" i="3"/>
  <c r="AV65" i="3" s="1"/>
  <c r="AI65" i="3"/>
  <c r="AG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G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G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G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AF62" i="3" s="1"/>
  <c r="B62" i="17" s="1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G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G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G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G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AF58" i="3" s="1"/>
  <c r="B58" i="17" s="1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G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G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G55" i="3"/>
  <c r="AE55" i="3"/>
  <c r="AD55" i="3"/>
  <c r="AC55" i="3"/>
  <c r="AB55" i="3"/>
  <c r="AA55" i="3"/>
  <c r="Z55" i="3"/>
  <c r="Y55" i="3"/>
  <c r="X55" i="3"/>
  <c r="W55" i="3"/>
  <c r="V55" i="3"/>
  <c r="U55" i="3"/>
  <c r="T55" i="3"/>
  <c r="AF55" i="3" s="1"/>
  <c r="B55" i="17" s="1"/>
  <c r="S55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G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AF54" i="3" s="1"/>
  <c r="B54" i="17" s="1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G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G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G51" i="3"/>
  <c r="AE51" i="3"/>
  <c r="AD51" i="3"/>
  <c r="AC51" i="3"/>
  <c r="AB51" i="3"/>
  <c r="AA51" i="3"/>
  <c r="Z51" i="3"/>
  <c r="Y51" i="3"/>
  <c r="X51" i="3"/>
  <c r="W51" i="3"/>
  <c r="V51" i="3"/>
  <c r="U51" i="3"/>
  <c r="T51" i="3"/>
  <c r="AF51" i="3" s="1"/>
  <c r="B51" i="17" s="1"/>
  <c r="S51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G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G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V48" i="3" s="1"/>
  <c r="AG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G47" i="3"/>
  <c r="AE47" i="3"/>
  <c r="AD47" i="3"/>
  <c r="AC47" i="3"/>
  <c r="AB47" i="3"/>
  <c r="AA47" i="3"/>
  <c r="Z47" i="3"/>
  <c r="Y47" i="3"/>
  <c r="X47" i="3"/>
  <c r="W47" i="3"/>
  <c r="V47" i="3"/>
  <c r="U47" i="3"/>
  <c r="T47" i="3"/>
  <c r="AF47" i="3" s="1"/>
  <c r="B47" i="17" s="1"/>
  <c r="S47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G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G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G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G43" i="3"/>
  <c r="AE43" i="3"/>
  <c r="AD43" i="3"/>
  <c r="AC43" i="3"/>
  <c r="AB43" i="3"/>
  <c r="AA43" i="3"/>
  <c r="Z43" i="3"/>
  <c r="Y43" i="3"/>
  <c r="X43" i="3"/>
  <c r="W43" i="3"/>
  <c r="V43" i="3"/>
  <c r="U43" i="3"/>
  <c r="T43" i="3"/>
  <c r="AF43" i="3" s="1"/>
  <c r="B43" i="17" s="1"/>
  <c r="S43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G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G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V40" i="3" s="1"/>
  <c r="AG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G39" i="3"/>
  <c r="AE39" i="3"/>
  <c r="AD39" i="3"/>
  <c r="AC39" i="3"/>
  <c r="AB39" i="3"/>
  <c r="AA39" i="3"/>
  <c r="Z39" i="3"/>
  <c r="Y39" i="3"/>
  <c r="X39" i="3"/>
  <c r="W39" i="3"/>
  <c r="V39" i="3"/>
  <c r="U39" i="3"/>
  <c r="T39" i="3"/>
  <c r="AF39" i="3" s="1"/>
  <c r="B39" i="17" s="1"/>
  <c r="S39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G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G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V36" i="3" s="1"/>
  <c r="AG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G35" i="3"/>
  <c r="AE35" i="3"/>
  <c r="AD35" i="3"/>
  <c r="AC35" i="3"/>
  <c r="AB35" i="3"/>
  <c r="AA35" i="3"/>
  <c r="Z35" i="3"/>
  <c r="Y35" i="3"/>
  <c r="X35" i="3"/>
  <c r="W35" i="3"/>
  <c r="V35" i="3"/>
  <c r="U35" i="3"/>
  <c r="T35" i="3"/>
  <c r="AF35" i="3" s="1"/>
  <c r="B35" i="17" s="1"/>
  <c r="S35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G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G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V32" i="3" s="1"/>
  <c r="AG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G31" i="3"/>
  <c r="AE31" i="3"/>
  <c r="AD31" i="3"/>
  <c r="AC31" i="3"/>
  <c r="AB31" i="3"/>
  <c r="AA31" i="3"/>
  <c r="Z31" i="3"/>
  <c r="Y31" i="3"/>
  <c r="X31" i="3"/>
  <c r="W31" i="3"/>
  <c r="V31" i="3"/>
  <c r="U31" i="3"/>
  <c r="T31" i="3"/>
  <c r="AF31" i="3" s="1"/>
  <c r="B31" i="17" s="1"/>
  <c r="S31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G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G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V28" i="3" s="1"/>
  <c r="AG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G27" i="3"/>
  <c r="AE27" i="3"/>
  <c r="AD27" i="3"/>
  <c r="AC27" i="3"/>
  <c r="AB27" i="3"/>
  <c r="AA27" i="3"/>
  <c r="Z27" i="3"/>
  <c r="Y27" i="3"/>
  <c r="X27" i="3"/>
  <c r="W27" i="3"/>
  <c r="V27" i="3"/>
  <c r="U27" i="3"/>
  <c r="T27" i="3"/>
  <c r="AF27" i="3" s="1"/>
  <c r="B27" i="17" s="1"/>
  <c r="S27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G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G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V24" i="3" s="1"/>
  <c r="AG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G23" i="3"/>
  <c r="AE23" i="3"/>
  <c r="AD23" i="3"/>
  <c r="AC23" i="3"/>
  <c r="AB23" i="3"/>
  <c r="AA23" i="3"/>
  <c r="Z23" i="3"/>
  <c r="Y23" i="3"/>
  <c r="X23" i="3"/>
  <c r="W23" i="3"/>
  <c r="V23" i="3"/>
  <c r="U23" i="3"/>
  <c r="T23" i="3"/>
  <c r="AF23" i="3" s="1"/>
  <c r="B23" i="17" s="1"/>
  <c r="S23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G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G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V20" i="3" s="1"/>
  <c r="AG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G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G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G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V16" i="3" s="1"/>
  <c r="AG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G15" i="3"/>
  <c r="AE15" i="3"/>
  <c r="AD15" i="3"/>
  <c r="AC15" i="3"/>
  <c r="AB15" i="3"/>
  <c r="AA15" i="3"/>
  <c r="Z15" i="3"/>
  <c r="Y15" i="3"/>
  <c r="X15" i="3"/>
  <c r="W15" i="3"/>
  <c r="V15" i="3"/>
  <c r="U15" i="3"/>
  <c r="T15" i="3"/>
  <c r="AF15" i="3" s="1"/>
  <c r="B15" i="17" s="1"/>
  <c r="S15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G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G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V12" i="3" s="1"/>
  <c r="AG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G11" i="3"/>
  <c r="AE11" i="3"/>
  <c r="AD11" i="3"/>
  <c r="AC11" i="3"/>
  <c r="AB11" i="3"/>
  <c r="AA11" i="3"/>
  <c r="Z11" i="3"/>
  <c r="Y11" i="3"/>
  <c r="X11" i="3"/>
  <c r="W11" i="3"/>
  <c r="V11" i="3"/>
  <c r="U11" i="3"/>
  <c r="T11" i="3"/>
  <c r="AF11" i="3" s="1"/>
  <c r="B11" i="17" s="1"/>
  <c r="S11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G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G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V8" i="3" s="1"/>
  <c r="AG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G7" i="3"/>
  <c r="AE7" i="3"/>
  <c r="AD7" i="3"/>
  <c r="AC7" i="3"/>
  <c r="AB7" i="3"/>
  <c r="AA7" i="3"/>
  <c r="Z7" i="3"/>
  <c r="Y7" i="3"/>
  <c r="X7" i="3"/>
  <c r="W7" i="3"/>
  <c r="V7" i="3"/>
  <c r="U7" i="3"/>
  <c r="T7" i="3"/>
  <c r="AF7" i="3" s="1"/>
  <c r="B7" i="17" s="1"/>
  <c r="S7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G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N4" i="3"/>
  <c r="M4" i="3"/>
  <c r="L4" i="3"/>
  <c r="K4" i="3"/>
  <c r="J4" i="3"/>
  <c r="I4" i="3"/>
  <c r="H4" i="3"/>
  <c r="G4" i="3"/>
  <c r="F4" i="3"/>
  <c r="E4" i="3"/>
  <c r="D4" i="3"/>
  <c r="C4" i="3"/>
  <c r="B4" i="3"/>
  <c r="D69" i="1"/>
  <c r="D68" i="1"/>
  <c r="D67" i="1"/>
  <c r="D66" i="1"/>
  <c r="D65" i="1"/>
  <c r="A65" i="6" s="1"/>
  <c r="D64" i="1"/>
  <c r="A64" i="7" s="1"/>
  <c r="D63" i="1"/>
  <c r="D62" i="1"/>
  <c r="A62" i="5" s="1"/>
  <c r="D61" i="1"/>
  <c r="A61" i="6" s="1"/>
  <c r="D60" i="1"/>
  <c r="A60" i="7" s="1"/>
  <c r="D59" i="1"/>
  <c r="D58" i="1"/>
  <c r="A58" i="5" s="1"/>
  <c r="D57" i="1"/>
  <c r="A57" i="6" s="1"/>
  <c r="D56" i="1"/>
  <c r="A56" i="7" s="1"/>
  <c r="D55" i="1"/>
  <c r="D54" i="1"/>
  <c r="A54" i="5" s="1"/>
  <c r="D53" i="1"/>
  <c r="A53" i="6" s="1"/>
  <c r="D52" i="1"/>
  <c r="A52" i="7" s="1"/>
  <c r="D51" i="1"/>
  <c r="D50" i="1"/>
  <c r="A50" i="5" s="1"/>
  <c r="D49" i="1"/>
  <c r="A49" i="6" s="1"/>
  <c r="D48" i="1"/>
  <c r="A48" i="7" s="1"/>
  <c r="D47" i="1"/>
  <c r="D46" i="1"/>
  <c r="A46" i="5" s="1"/>
  <c r="D45" i="1"/>
  <c r="A45" i="6" s="1"/>
  <c r="D44" i="1"/>
  <c r="A44" i="8" s="1"/>
  <c r="D43" i="1"/>
  <c r="D42" i="1"/>
  <c r="A42" i="9" s="1"/>
  <c r="D41" i="1"/>
  <c r="A41" i="6" s="1"/>
  <c r="D40" i="1"/>
  <c r="A40" i="7" s="1"/>
  <c r="D39" i="1"/>
  <c r="D38" i="1"/>
  <c r="A38" i="9" s="1"/>
  <c r="D37" i="1"/>
  <c r="A37" i="6" s="1"/>
  <c r="D36" i="1"/>
  <c r="A36" i="8" s="1"/>
  <c r="D35" i="1"/>
  <c r="D34" i="1"/>
  <c r="A34" i="9" s="1"/>
  <c r="D33" i="1"/>
  <c r="A33" i="6" s="1"/>
  <c r="D32" i="1"/>
  <c r="A32" i="7" s="1"/>
  <c r="D31" i="1"/>
  <c r="D30" i="1"/>
  <c r="A30" i="9" s="1"/>
  <c r="D29" i="1"/>
  <c r="A29" i="6" s="1"/>
  <c r="D28" i="1"/>
  <c r="A28" i="8" s="1"/>
  <c r="D27" i="1"/>
  <c r="D26" i="1"/>
  <c r="A26" i="9" s="1"/>
  <c r="D25" i="1"/>
  <c r="A25" i="6" s="1"/>
  <c r="D24" i="1"/>
  <c r="A24" i="7" s="1"/>
  <c r="D23" i="1"/>
  <c r="D22" i="1"/>
  <c r="D21" i="1"/>
  <c r="A21" i="6" s="1"/>
  <c r="D20" i="1"/>
  <c r="A20" i="8" s="1"/>
  <c r="D19" i="1"/>
  <c r="D18" i="1"/>
  <c r="A18" i="9" s="1"/>
  <c r="D17" i="1"/>
  <c r="A17" i="6" s="1"/>
  <c r="D16" i="1"/>
  <c r="D15" i="1"/>
  <c r="D14" i="1"/>
  <c r="D13" i="1"/>
  <c r="A13" i="6" s="1"/>
  <c r="D12" i="1"/>
  <c r="A12" i="9" s="1"/>
  <c r="D11" i="1"/>
  <c r="D10" i="1"/>
  <c r="A10" i="9" s="1"/>
  <c r="D9" i="1"/>
  <c r="A9" i="6" s="1"/>
  <c r="D8" i="1"/>
  <c r="A8" i="7" s="1"/>
  <c r="D7" i="1"/>
  <c r="D6" i="1"/>
  <c r="AF44" i="5" l="1"/>
  <c r="D44" i="17" s="1"/>
  <c r="AF49" i="5"/>
  <c r="D49" i="17" s="1"/>
  <c r="Q49" i="17" s="1"/>
  <c r="AF20" i="5"/>
  <c r="D20" i="17" s="1"/>
  <c r="R20" i="17" s="1"/>
  <c r="AF52" i="5"/>
  <c r="D52" i="17" s="1"/>
  <c r="AF25" i="5"/>
  <c r="D25" i="17" s="1"/>
  <c r="AF8" i="5"/>
  <c r="D8" i="17" s="1"/>
  <c r="Q8" i="17" s="1"/>
  <c r="AV44" i="3"/>
  <c r="AV6" i="3"/>
  <c r="AF9" i="3"/>
  <c r="B9" i="17" s="1"/>
  <c r="AV10" i="3"/>
  <c r="AF13" i="3"/>
  <c r="B13" i="17" s="1"/>
  <c r="AV14" i="3"/>
  <c r="AF17" i="3"/>
  <c r="B17" i="17" s="1"/>
  <c r="AV18" i="3"/>
  <c r="AF21" i="3"/>
  <c r="B21" i="17" s="1"/>
  <c r="AV22" i="3"/>
  <c r="AF25" i="3"/>
  <c r="B25" i="17" s="1"/>
  <c r="AV26" i="3"/>
  <c r="AF29" i="3"/>
  <c r="B29" i="17" s="1"/>
  <c r="AV30" i="3"/>
  <c r="AF33" i="3"/>
  <c r="B33" i="17" s="1"/>
  <c r="AV34" i="3"/>
  <c r="AF37" i="3"/>
  <c r="B37" i="17" s="1"/>
  <c r="AV38" i="3"/>
  <c r="AF41" i="3"/>
  <c r="B41" i="17" s="1"/>
  <c r="AV42" i="3"/>
  <c r="AF45" i="3"/>
  <c r="B45" i="17" s="1"/>
  <c r="AV46" i="3"/>
  <c r="AF49" i="3"/>
  <c r="B49" i="17" s="1"/>
  <c r="AV50" i="3"/>
  <c r="AF52" i="3"/>
  <c r="B52" i="17" s="1"/>
  <c r="AF53" i="3"/>
  <c r="B53" i="17" s="1"/>
  <c r="AV54" i="3"/>
  <c r="AF56" i="3"/>
  <c r="B56" i="17" s="1"/>
  <c r="AF60" i="3"/>
  <c r="B60" i="17" s="1"/>
  <c r="AV63" i="3"/>
  <c r="AF64" i="3"/>
  <c r="B64" i="17" s="1"/>
  <c r="AF6" i="4"/>
  <c r="AV7" i="4"/>
  <c r="AF10" i="4"/>
  <c r="C10" i="17" s="1"/>
  <c r="AV11" i="4"/>
  <c r="AF14" i="4"/>
  <c r="C14" i="17" s="1"/>
  <c r="AV15" i="4"/>
  <c r="AF18" i="4"/>
  <c r="C18" i="17" s="1"/>
  <c r="AV19" i="4"/>
  <c r="AV23" i="4"/>
  <c r="AV24" i="4"/>
  <c r="AV27" i="4"/>
  <c r="AV28" i="4"/>
  <c r="AV31" i="4"/>
  <c r="AV32" i="4"/>
  <c r="AF33" i="4"/>
  <c r="C33" i="17" s="1"/>
  <c r="AV35" i="4"/>
  <c r="AV36" i="4"/>
  <c r="AF37" i="4"/>
  <c r="C37" i="17" s="1"/>
  <c r="AV39" i="4"/>
  <c r="AV40" i="4"/>
  <c r="AF41" i="4"/>
  <c r="C41" i="17" s="1"/>
  <c r="AV43" i="4"/>
  <c r="AV44" i="4"/>
  <c r="AV47" i="4"/>
  <c r="AV48" i="4"/>
  <c r="AV51" i="4"/>
  <c r="AV52" i="4"/>
  <c r="AF53" i="4"/>
  <c r="C53" i="17" s="1"/>
  <c r="AV55" i="4"/>
  <c r="AV56" i="4"/>
  <c r="AF57" i="4"/>
  <c r="C57" i="17" s="1"/>
  <c r="AV59" i="4"/>
  <c r="AV60" i="4"/>
  <c r="AF61" i="4"/>
  <c r="C61" i="17" s="1"/>
  <c r="AV63" i="4"/>
  <c r="AV64" i="4"/>
  <c r="AF65" i="4"/>
  <c r="C65" i="17" s="1"/>
  <c r="AF7" i="5"/>
  <c r="D7" i="17" s="1"/>
  <c r="Q7" i="17" s="1"/>
  <c r="AF11" i="5"/>
  <c r="D11" i="17" s="1"/>
  <c r="Q11" i="17" s="1"/>
  <c r="AF15" i="5"/>
  <c r="D15" i="17" s="1"/>
  <c r="O15" i="17" s="1"/>
  <c r="AF18" i="5"/>
  <c r="D18" i="17" s="1"/>
  <c r="O18" i="17" s="1"/>
  <c r="AF19" i="5"/>
  <c r="D19" i="17" s="1"/>
  <c r="Q19" i="17" s="1"/>
  <c r="AF26" i="5"/>
  <c r="D26" i="17" s="1"/>
  <c r="R26" i="17" s="1"/>
  <c r="AF31" i="5"/>
  <c r="D31" i="17" s="1"/>
  <c r="Q31" i="17" s="1"/>
  <c r="AF34" i="5"/>
  <c r="D34" i="17" s="1"/>
  <c r="O34" i="17" s="1"/>
  <c r="AF35" i="5"/>
  <c r="D35" i="17" s="1"/>
  <c r="O35" i="17" s="1"/>
  <c r="AF39" i="5"/>
  <c r="D39" i="17" s="1"/>
  <c r="O39" i="17" s="1"/>
  <c r="AF42" i="5"/>
  <c r="D42" i="17" s="1"/>
  <c r="R42" i="17" s="1"/>
  <c r="AF46" i="5"/>
  <c r="D46" i="17" s="1"/>
  <c r="R46" i="17" s="1"/>
  <c r="AF50" i="5"/>
  <c r="D50" i="17" s="1"/>
  <c r="Q50" i="17" s="1"/>
  <c r="AF54" i="5"/>
  <c r="D54" i="17" s="1"/>
  <c r="R54" i="17" s="1"/>
  <c r="AF62" i="5"/>
  <c r="D62" i="17" s="1"/>
  <c r="Q62" i="17" s="1"/>
  <c r="AV65" i="5"/>
  <c r="AF8" i="6"/>
  <c r="E8" i="17" s="1"/>
  <c r="AV9" i="6"/>
  <c r="AF12" i="6"/>
  <c r="E12" i="17" s="1"/>
  <c r="AV13" i="6"/>
  <c r="AF16" i="6"/>
  <c r="E16" i="17" s="1"/>
  <c r="AV17" i="6"/>
  <c r="AF20" i="6"/>
  <c r="E20" i="17" s="1"/>
  <c r="AV21" i="6"/>
  <c r="AF23" i="6"/>
  <c r="E23" i="17" s="1"/>
  <c r="AF24" i="6"/>
  <c r="E24" i="17" s="1"/>
  <c r="AF27" i="6"/>
  <c r="E27" i="17" s="1"/>
  <c r="AF28" i="6"/>
  <c r="E28" i="17" s="1"/>
  <c r="AV29" i="6"/>
  <c r="AF32" i="6"/>
  <c r="E32" i="17" s="1"/>
  <c r="AV33" i="6"/>
  <c r="AF36" i="6"/>
  <c r="E36" i="17" s="1"/>
  <c r="AV37" i="6"/>
  <c r="AF40" i="6"/>
  <c r="E40" i="17" s="1"/>
  <c r="AV41" i="6"/>
  <c r="AF44" i="6"/>
  <c r="E44" i="17" s="1"/>
  <c r="AV45" i="6"/>
  <c r="AF48" i="6"/>
  <c r="E48" i="17" s="1"/>
  <c r="AV49" i="6"/>
  <c r="AF52" i="6"/>
  <c r="E52" i="17" s="1"/>
  <c r="AV53" i="6"/>
  <c r="AV57" i="6"/>
  <c r="AV61" i="6"/>
  <c r="AV65" i="6"/>
  <c r="AV6" i="7"/>
  <c r="AV7" i="7"/>
  <c r="AF9" i="7"/>
  <c r="F9" i="17" s="1"/>
  <c r="AV10" i="7"/>
  <c r="AV11" i="7"/>
  <c r="AF12" i="7"/>
  <c r="F12" i="17" s="1"/>
  <c r="AF13" i="7"/>
  <c r="F13" i="17" s="1"/>
  <c r="AV14" i="7"/>
  <c r="AV15" i="7"/>
  <c r="AV18" i="7"/>
  <c r="AF21" i="7"/>
  <c r="F21" i="17" s="1"/>
  <c r="AV22" i="7"/>
  <c r="AF25" i="7"/>
  <c r="F25" i="17" s="1"/>
  <c r="AV26" i="7"/>
  <c r="AF29" i="7"/>
  <c r="F29" i="17" s="1"/>
  <c r="AV30" i="7"/>
  <c r="AF33" i="7"/>
  <c r="F33" i="17" s="1"/>
  <c r="AV34" i="7"/>
  <c r="AV38" i="7"/>
  <c r="AV42" i="7"/>
  <c r="AV46" i="7"/>
  <c r="AV47" i="7"/>
  <c r="AF48" i="7"/>
  <c r="F48" i="17" s="1"/>
  <c r="AV51" i="7"/>
  <c r="AF52" i="7"/>
  <c r="F52" i="17" s="1"/>
  <c r="AV55" i="7"/>
  <c r="AF56" i="7"/>
  <c r="F56" i="17" s="1"/>
  <c r="AV59" i="7"/>
  <c r="AF60" i="7"/>
  <c r="F60" i="17" s="1"/>
  <c r="AF32" i="5"/>
  <c r="D32" i="17" s="1"/>
  <c r="AF8" i="3"/>
  <c r="B8" i="17" s="1"/>
  <c r="AV9" i="3"/>
  <c r="AF12" i="3"/>
  <c r="B12" i="17" s="1"/>
  <c r="AV13" i="3"/>
  <c r="AF16" i="3"/>
  <c r="B16" i="17" s="1"/>
  <c r="AV17" i="3"/>
  <c r="AF20" i="3"/>
  <c r="B20" i="17" s="1"/>
  <c r="AV21" i="3"/>
  <c r="AF24" i="3"/>
  <c r="B24" i="17" s="1"/>
  <c r="AV25" i="3"/>
  <c r="AF28" i="3"/>
  <c r="B28" i="17" s="1"/>
  <c r="AV29" i="3"/>
  <c r="AF32" i="3"/>
  <c r="B32" i="17" s="1"/>
  <c r="AV33" i="3"/>
  <c r="AF36" i="3"/>
  <c r="B36" i="17" s="1"/>
  <c r="AV37" i="3"/>
  <c r="AF40" i="3"/>
  <c r="B40" i="17" s="1"/>
  <c r="AV41" i="3"/>
  <c r="AF44" i="3"/>
  <c r="B44" i="17" s="1"/>
  <c r="AV45" i="3"/>
  <c r="AF48" i="3"/>
  <c r="B48" i="17" s="1"/>
  <c r="AV49" i="3"/>
  <c r="AV53" i="3"/>
  <c r="AV57" i="3"/>
  <c r="AV58" i="3"/>
  <c r="AF59" i="3"/>
  <c r="B59" i="17" s="1"/>
  <c r="AV61" i="3"/>
  <c r="AV62" i="3"/>
  <c r="AF63" i="3"/>
  <c r="B63" i="17" s="1"/>
  <c r="AV6" i="4"/>
  <c r="AF9" i="4"/>
  <c r="C9" i="17" s="1"/>
  <c r="AV10" i="4"/>
  <c r="AF13" i="4"/>
  <c r="C13" i="17" s="1"/>
  <c r="AV14" i="4"/>
  <c r="AF17" i="4"/>
  <c r="C17" i="17" s="1"/>
  <c r="AV18" i="4"/>
  <c r="AF20" i="4"/>
  <c r="C20" i="17" s="1"/>
  <c r="AF21" i="4"/>
  <c r="C21" i="17" s="1"/>
  <c r="AV22" i="4"/>
  <c r="AF24" i="4"/>
  <c r="C24" i="17" s="1"/>
  <c r="AF25" i="4"/>
  <c r="C25" i="17" s="1"/>
  <c r="AF28" i="4"/>
  <c r="C28" i="17" s="1"/>
  <c r="AF29" i="4"/>
  <c r="C29" i="17" s="1"/>
  <c r="AF32" i="4"/>
  <c r="C32" i="17" s="1"/>
  <c r="AF36" i="4"/>
  <c r="C36" i="17" s="1"/>
  <c r="AF40" i="4"/>
  <c r="C40" i="17" s="1"/>
  <c r="AF44" i="4"/>
  <c r="C44" i="17" s="1"/>
  <c r="AF45" i="4"/>
  <c r="C45" i="17" s="1"/>
  <c r="AF48" i="4"/>
  <c r="C48" i="17" s="1"/>
  <c r="AF49" i="4"/>
  <c r="C49" i="17" s="1"/>
  <c r="AF52" i="4"/>
  <c r="C52" i="17" s="1"/>
  <c r="AF56" i="4"/>
  <c r="C56" i="17" s="1"/>
  <c r="AF60" i="4"/>
  <c r="C60" i="17" s="1"/>
  <c r="AF64" i="4"/>
  <c r="C64" i="17" s="1"/>
  <c r="AV7" i="5"/>
  <c r="AV8" i="5"/>
  <c r="AV11" i="5"/>
  <c r="AV15" i="5"/>
  <c r="AV19" i="5"/>
  <c r="AV20" i="5"/>
  <c r="AV23" i="5"/>
  <c r="AV24" i="5"/>
  <c r="AV28" i="5"/>
  <c r="T28" i="17" s="1"/>
  <c r="AV31" i="5"/>
  <c r="AV32" i="5"/>
  <c r="T32" i="17" s="1"/>
  <c r="AV35" i="5"/>
  <c r="AV36" i="5"/>
  <c r="AV39" i="5"/>
  <c r="AV44" i="5"/>
  <c r="AV48" i="5"/>
  <c r="AV51" i="5"/>
  <c r="AV52" i="5"/>
  <c r="AF53" i="5"/>
  <c r="D53" i="17" s="1"/>
  <c r="Q53" i="17" s="1"/>
  <c r="AV55" i="5"/>
  <c r="AV56" i="5"/>
  <c r="AF57" i="5"/>
  <c r="D57" i="17" s="1"/>
  <c r="Q57" i="17" s="1"/>
  <c r="AV59" i="5"/>
  <c r="AV60" i="5"/>
  <c r="AV64" i="5"/>
  <c r="AF65" i="5"/>
  <c r="D65" i="17" s="1"/>
  <c r="O65" i="17" s="1"/>
  <c r="AF7" i="6"/>
  <c r="E7" i="17" s="1"/>
  <c r="AV8" i="6"/>
  <c r="AF11" i="6"/>
  <c r="E11" i="17" s="1"/>
  <c r="AV12" i="6"/>
  <c r="AF15" i="6"/>
  <c r="E15" i="17" s="1"/>
  <c r="AV16" i="6"/>
  <c r="AF19" i="6"/>
  <c r="E19" i="17" s="1"/>
  <c r="AV20" i="6"/>
  <c r="AV24" i="6"/>
  <c r="AV25" i="6"/>
  <c r="AV28" i="6"/>
  <c r="AF31" i="6"/>
  <c r="E31" i="17" s="1"/>
  <c r="AV32" i="6"/>
  <c r="AF35" i="6"/>
  <c r="E35" i="17" s="1"/>
  <c r="AV36" i="6"/>
  <c r="AF39" i="6"/>
  <c r="E39" i="17" s="1"/>
  <c r="AV40" i="6"/>
  <c r="AF43" i="6"/>
  <c r="E43" i="17" s="1"/>
  <c r="AV44" i="6"/>
  <c r="AF47" i="6"/>
  <c r="E47" i="17" s="1"/>
  <c r="AV48" i="6"/>
  <c r="AF51" i="6"/>
  <c r="E51" i="17" s="1"/>
  <c r="AV52" i="6"/>
  <c r="AF55" i="6"/>
  <c r="E55" i="17" s="1"/>
  <c r="AV56" i="6"/>
  <c r="AF58" i="6"/>
  <c r="E58" i="17" s="1"/>
  <c r="AF59" i="6"/>
  <c r="E59" i="17" s="1"/>
  <c r="AV60" i="6"/>
  <c r="AF62" i="6"/>
  <c r="E62" i="17" s="1"/>
  <c r="AF63" i="6"/>
  <c r="E63" i="17" s="1"/>
  <c r="AF8" i="7"/>
  <c r="F8" i="17" s="1"/>
  <c r="AF15" i="7"/>
  <c r="F15" i="17" s="1"/>
  <c r="AF16" i="7"/>
  <c r="F16" i="17" s="1"/>
  <c r="AF20" i="7"/>
  <c r="F20" i="17" s="1"/>
  <c r="AV21" i="7"/>
  <c r="AF24" i="7"/>
  <c r="F24" i="17" s="1"/>
  <c r="AV25" i="7"/>
  <c r="AF28" i="7"/>
  <c r="F28" i="17" s="1"/>
  <c r="AV29" i="7"/>
  <c r="AF32" i="7"/>
  <c r="F32" i="17" s="1"/>
  <c r="AV33" i="7"/>
  <c r="AF36" i="7"/>
  <c r="F36" i="17" s="1"/>
  <c r="AV37" i="7"/>
  <c r="AF39" i="7"/>
  <c r="F39" i="17" s="1"/>
  <c r="AF40" i="7"/>
  <c r="F40" i="17" s="1"/>
  <c r="AV41" i="7"/>
  <c r="AF43" i="7"/>
  <c r="F43" i="17" s="1"/>
  <c r="AF44" i="7"/>
  <c r="F44" i="17" s="1"/>
  <c r="AV45" i="7"/>
  <c r="AF47" i="7"/>
  <c r="F47" i="17" s="1"/>
  <c r="AV50" i="7"/>
  <c r="AF51" i="7"/>
  <c r="F51" i="17" s="1"/>
  <c r="AV54" i="7"/>
  <c r="AF55" i="7"/>
  <c r="F55" i="17" s="1"/>
  <c r="AV58" i="7"/>
  <c r="AF59" i="7"/>
  <c r="F59" i="17" s="1"/>
  <c r="AV62" i="7"/>
  <c r="AF63" i="7"/>
  <c r="F63" i="17" s="1"/>
  <c r="AV13" i="4"/>
  <c r="AV42" i="4"/>
  <c r="AF19" i="3"/>
  <c r="B19" i="17" s="1"/>
  <c r="AF50" i="3"/>
  <c r="B50" i="17" s="1"/>
  <c r="AV52" i="3"/>
  <c r="AF6" i="3"/>
  <c r="AV7" i="3"/>
  <c r="AF10" i="3"/>
  <c r="B10" i="17" s="1"/>
  <c r="AV11" i="3"/>
  <c r="AF14" i="3"/>
  <c r="B14" i="17" s="1"/>
  <c r="AV15" i="3"/>
  <c r="AF18" i="3"/>
  <c r="B18" i="17" s="1"/>
  <c r="AV19" i="3"/>
  <c r="AF22" i="3"/>
  <c r="B22" i="17" s="1"/>
  <c r="AV23" i="3"/>
  <c r="AF26" i="3"/>
  <c r="B26" i="17" s="1"/>
  <c r="AV27" i="3"/>
  <c r="AF30" i="3"/>
  <c r="B30" i="17" s="1"/>
  <c r="AV31" i="3"/>
  <c r="AF34" i="3"/>
  <c r="B34" i="17" s="1"/>
  <c r="AV35" i="3"/>
  <c r="AF38" i="3"/>
  <c r="B38" i="17" s="1"/>
  <c r="AV39" i="3"/>
  <c r="AF42" i="3"/>
  <c r="B42" i="17" s="1"/>
  <c r="AV43" i="3"/>
  <c r="AF46" i="3"/>
  <c r="B46" i="17" s="1"/>
  <c r="AV47" i="3"/>
  <c r="AV51" i="3"/>
  <c r="AV55" i="3"/>
  <c r="AV56" i="3"/>
  <c r="AF57" i="3"/>
  <c r="B57" i="17" s="1"/>
  <c r="AV59" i="3"/>
  <c r="AV60" i="3"/>
  <c r="AF61" i="3"/>
  <c r="B61" i="17" s="1"/>
  <c r="AV64" i="3"/>
  <c r="AF65" i="3"/>
  <c r="B65" i="17" s="1"/>
  <c r="AF7" i="4"/>
  <c r="C7" i="17" s="1"/>
  <c r="AV8" i="4"/>
  <c r="T8" i="17" s="1"/>
  <c r="AF11" i="4"/>
  <c r="C11" i="17" s="1"/>
  <c r="AV12" i="4"/>
  <c r="AF15" i="4"/>
  <c r="C15" i="17" s="1"/>
  <c r="AV16" i="4"/>
  <c r="AF19" i="4"/>
  <c r="C19" i="17" s="1"/>
  <c r="AV20" i="4"/>
  <c r="T20" i="17" s="1"/>
  <c r="AF22" i="4"/>
  <c r="C22" i="17" s="1"/>
  <c r="AF23" i="4"/>
  <c r="C23" i="17" s="1"/>
  <c r="AF26" i="4"/>
  <c r="C26" i="17" s="1"/>
  <c r="AF27" i="4"/>
  <c r="C27" i="17" s="1"/>
  <c r="AF30" i="4"/>
  <c r="C30" i="17" s="1"/>
  <c r="AF31" i="4"/>
  <c r="C31" i="17" s="1"/>
  <c r="AF34" i="4"/>
  <c r="C34" i="17" s="1"/>
  <c r="AF35" i="4"/>
  <c r="C35" i="17" s="1"/>
  <c r="AF38" i="4"/>
  <c r="C38" i="17" s="1"/>
  <c r="AF42" i="4"/>
  <c r="C42" i="17" s="1"/>
  <c r="AF46" i="4"/>
  <c r="C46" i="17" s="1"/>
  <c r="AF47" i="4"/>
  <c r="C47" i="17" s="1"/>
  <c r="AF50" i="4"/>
  <c r="C50" i="17" s="1"/>
  <c r="AF51" i="4"/>
  <c r="C51" i="17" s="1"/>
  <c r="AF54" i="4"/>
  <c r="C54" i="17" s="1"/>
  <c r="AF58" i="4"/>
  <c r="C58" i="17" s="1"/>
  <c r="AF62" i="4"/>
  <c r="C62" i="17" s="1"/>
  <c r="AV9" i="5"/>
  <c r="AV13" i="5"/>
  <c r="AV17" i="5"/>
  <c r="AV18" i="5"/>
  <c r="AV25" i="5"/>
  <c r="AV26" i="5"/>
  <c r="AV29" i="5"/>
  <c r="AV34" i="5"/>
  <c r="AV37" i="5"/>
  <c r="AV41" i="5"/>
  <c r="AV45" i="5"/>
  <c r="AV46" i="5"/>
  <c r="AV49" i="5"/>
  <c r="AV50" i="5"/>
  <c r="AF51" i="5"/>
  <c r="D51" i="17" s="1"/>
  <c r="Q51" i="17" s="1"/>
  <c r="AV53" i="5"/>
  <c r="AV54" i="5"/>
  <c r="AF55" i="5"/>
  <c r="D55" i="17" s="1"/>
  <c r="O55" i="17" s="1"/>
  <c r="AV57" i="5"/>
  <c r="AF59" i="5"/>
  <c r="D59" i="17" s="1"/>
  <c r="R59" i="17" s="1"/>
  <c r="AV62" i="5"/>
  <c r="AV6" i="6"/>
  <c r="AF9" i="6"/>
  <c r="E9" i="17" s="1"/>
  <c r="AV10" i="6"/>
  <c r="AF13" i="6"/>
  <c r="E13" i="17" s="1"/>
  <c r="AV14" i="6"/>
  <c r="AF17" i="6"/>
  <c r="E17" i="17" s="1"/>
  <c r="AV18" i="6"/>
  <c r="AF21" i="6"/>
  <c r="E21" i="17" s="1"/>
  <c r="AV22" i="6"/>
  <c r="AV23" i="6"/>
  <c r="AV26" i="6"/>
  <c r="AF29" i="6"/>
  <c r="E29" i="17" s="1"/>
  <c r="AV30" i="6"/>
  <c r="AF33" i="6"/>
  <c r="E33" i="17" s="1"/>
  <c r="AV34" i="6"/>
  <c r="AF37" i="6"/>
  <c r="E37" i="17" s="1"/>
  <c r="AV38" i="6"/>
  <c r="AF41" i="6"/>
  <c r="E41" i="17" s="1"/>
  <c r="AV42" i="6"/>
  <c r="AF45" i="6"/>
  <c r="E45" i="17" s="1"/>
  <c r="AV46" i="6"/>
  <c r="AF49" i="6"/>
  <c r="E49" i="17" s="1"/>
  <c r="AV50" i="6"/>
  <c r="AF53" i="6"/>
  <c r="E53" i="17" s="1"/>
  <c r="AV54" i="6"/>
  <c r="AF56" i="6"/>
  <c r="E56" i="17" s="1"/>
  <c r="AF57" i="6"/>
  <c r="E57" i="17" s="1"/>
  <c r="AV58" i="6"/>
  <c r="AF60" i="6"/>
  <c r="E60" i="17" s="1"/>
  <c r="AF61" i="6"/>
  <c r="E61" i="17" s="1"/>
  <c r="AV62" i="6"/>
  <c r="AF64" i="6"/>
  <c r="E64" i="17" s="1"/>
  <c r="AF65" i="6"/>
  <c r="E65" i="17" s="1"/>
  <c r="AF6" i="7"/>
  <c r="AF10" i="7"/>
  <c r="F10" i="17" s="1"/>
  <c r="AF14" i="7"/>
  <c r="F14" i="17" s="1"/>
  <c r="AF17" i="7"/>
  <c r="F17" i="17" s="1"/>
  <c r="AF18" i="7"/>
  <c r="F18" i="17" s="1"/>
  <c r="AV19" i="7"/>
  <c r="AF22" i="7"/>
  <c r="F22" i="17" s="1"/>
  <c r="AV23" i="7"/>
  <c r="AF26" i="7"/>
  <c r="F26" i="17" s="1"/>
  <c r="AV27" i="7"/>
  <c r="AF30" i="7"/>
  <c r="F30" i="17" s="1"/>
  <c r="AV31" i="7"/>
  <c r="AF34" i="7"/>
  <c r="F34" i="17" s="1"/>
  <c r="AV35" i="7"/>
  <c r="AF37" i="7"/>
  <c r="F37" i="17" s="1"/>
  <c r="AF38" i="7"/>
  <c r="F38" i="17" s="1"/>
  <c r="AV39" i="7"/>
  <c r="AF41" i="7"/>
  <c r="F41" i="17" s="1"/>
  <c r="AF42" i="7"/>
  <c r="F42" i="17" s="1"/>
  <c r="AV43" i="7"/>
  <c r="AF45" i="7"/>
  <c r="F45" i="17" s="1"/>
  <c r="AF49" i="7"/>
  <c r="F49" i="17" s="1"/>
  <c r="AV52" i="7"/>
  <c r="AF53" i="7"/>
  <c r="F53" i="17" s="1"/>
  <c r="AV56" i="7"/>
  <c r="AF57" i="7"/>
  <c r="F57" i="17" s="1"/>
  <c r="AV60" i="7"/>
  <c r="AF61" i="7"/>
  <c r="F61" i="17" s="1"/>
  <c r="AV64" i="7"/>
  <c r="AV63" i="7"/>
  <c r="AF64" i="7"/>
  <c r="F64" i="17" s="1"/>
  <c r="AF6" i="8"/>
  <c r="AV7" i="8"/>
  <c r="AF10" i="8"/>
  <c r="G10" i="17" s="1"/>
  <c r="AV11" i="8"/>
  <c r="AF14" i="8"/>
  <c r="G14" i="17" s="1"/>
  <c r="AV15" i="8"/>
  <c r="AF18" i="8"/>
  <c r="G18" i="17" s="1"/>
  <c r="AV19" i="8"/>
  <c r="AF22" i="8"/>
  <c r="G22" i="17" s="1"/>
  <c r="AV23" i="8"/>
  <c r="AV27" i="8"/>
  <c r="AF30" i="8"/>
  <c r="G30" i="17" s="1"/>
  <c r="AV31" i="8"/>
  <c r="AF34" i="8"/>
  <c r="G34" i="17" s="1"/>
  <c r="AV35" i="8"/>
  <c r="AF38" i="8"/>
  <c r="G38" i="17" s="1"/>
  <c r="AV39" i="8"/>
  <c r="AF42" i="8"/>
  <c r="G42" i="17" s="1"/>
  <c r="AV43" i="8"/>
  <c r="AF46" i="8"/>
  <c r="G46" i="17" s="1"/>
  <c r="AV47" i="8"/>
  <c r="AF50" i="8"/>
  <c r="G50" i="17" s="1"/>
  <c r="AV51" i="8"/>
  <c r="AF54" i="8"/>
  <c r="G54" i="17" s="1"/>
  <c r="AV55" i="8"/>
  <c r="AF58" i="8"/>
  <c r="G58" i="17" s="1"/>
  <c r="AV59" i="8"/>
  <c r="AF62" i="8"/>
  <c r="G62" i="17" s="1"/>
  <c r="AV63" i="8"/>
  <c r="AF6" i="9"/>
  <c r="AV9" i="9"/>
  <c r="AF10" i="9"/>
  <c r="H10" i="17" s="1"/>
  <c r="AV13" i="9"/>
  <c r="AF14" i="9"/>
  <c r="H14" i="17" s="1"/>
  <c r="AV17" i="9"/>
  <c r="AF18" i="9"/>
  <c r="H18" i="17" s="1"/>
  <c r="AV21" i="9"/>
  <c r="AF22" i="9"/>
  <c r="H22" i="17" s="1"/>
  <c r="AV25" i="9"/>
  <c r="AF26" i="9"/>
  <c r="H26" i="17" s="1"/>
  <c r="AV29" i="9"/>
  <c r="AF30" i="9"/>
  <c r="H30" i="17" s="1"/>
  <c r="AV33" i="9"/>
  <c r="AF34" i="9"/>
  <c r="H34" i="17" s="1"/>
  <c r="AV37" i="9"/>
  <c r="AF38" i="9"/>
  <c r="H38" i="17" s="1"/>
  <c r="AV41" i="9"/>
  <c r="AF42" i="9"/>
  <c r="H42" i="17" s="1"/>
  <c r="AF47" i="9"/>
  <c r="H47" i="17" s="1"/>
  <c r="AV48" i="9"/>
  <c r="AF50" i="9"/>
  <c r="H50" i="17" s="1"/>
  <c r="AF51" i="9"/>
  <c r="H51" i="17" s="1"/>
  <c r="AF54" i="9"/>
  <c r="H54" i="17" s="1"/>
  <c r="AF55" i="9"/>
  <c r="H55" i="17" s="1"/>
  <c r="AF58" i="9"/>
  <c r="H58" i="17" s="1"/>
  <c r="AF62" i="9"/>
  <c r="H62" i="17" s="1"/>
  <c r="AV65" i="9"/>
  <c r="T65" i="17" s="1"/>
  <c r="AF8" i="10"/>
  <c r="I8" i="17" s="1"/>
  <c r="AV9" i="10"/>
  <c r="AF12" i="10"/>
  <c r="I12" i="17" s="1"/>
  <c r="AV13" i="10"/>
  <c r="AF16" i="10"/>
  <c r="I16" i="17" s="1"/>
  <c r="AV17" i="10"/>
  <c r="AF20" i="10"/>
  <c r="I20" i="17" s="1"/>
  <c r="AV21" i="10"/>
  <c r="AF24" i="10"/>
  <c r="I24" i="17" s="1"/>
  <c r="AV25" i="10"/>
  <c r="AF28" i="10"/>
  <c r="I28" i="17" s="1"/>
  <c r="AV29" i="10"/>
  <c r="AF32" i="10"/>
  <c r="I32" i="17" s="1"/>
  <c r="AV33" i="10"/>
  <c r="AF36" i="10"/>
  <c r="I36" i="17" s="1"/>
  <c r="AV37" i="10"/>
  <c r="AV38" i="10"/>
  <c r="AF40" i="10"/>
  <c r="I40" i="17" s="1"/>
  <c r="AV41" i="10"/>
  <c r="AV42" i="10"/>
  <c r="AV45" i="10"/>
  <c r="AV46" i="10"/>
  <c r="AV49" i="10"/>
  <c r="AV50" i="10"/>
  <c r="AV53" i="10"/>
  <c r="AV54" i="10"/>
  <c r="AF55" i="10"/>
  <c r="I55" i="17" s="1"/>
  <c r="AV57" i="10"/>
  <c r="AV58" i="10"/>
  <c r="AF59" i="10"/>
  <c r="I59" i="17" s="1"/>
  <c r="AV61" i="10"/>
  <c r="AV6" i="8"/>
  <c r="AF9" i="8"/>
  <c r="G9" i="17" s="1"/>
  <c r="AV10" i="8"/>
  <c r="AF13" i="8"/>
  <c r="G13" i="17" s="1"/>
  <c r="AV14" i="8"/>
  <c r="AF17" i="8"/>
  <c r="G17" i="17" s="1"/>
  <c r="AV18" i="8"/>
  <c r="AF21" i="8"/>
  <c r="G21" i="17" s="1"/>
  <c r="AV22" i="8"/>
  <c r="AF25" i="8"/>
  <c r="G25" i="17" s="1"/>
  <c r="AV26" i="8"/>
  <c r="AF28" i="8"/>
  <c r="G28" i="17" s="1"/>
  <c r="AF29" i="8"/>
  <c r="G29" i="17" s="1"/>
  <c r="AV30" i="8"/>
  <c r="AF33" i="8"/>
  <c r="G33" i="17" s="1"/>
  <c r="AV34" i="8"/>
  <c r="AF37" i="8"/>
  <c r="G37" i="17" s="1"/>
  <c r="AV38" i="8"/>
  <c r="AF41" i="8"/>
  <c r="G41" i="17" s="1"/>
  <c r="AV42" i="8"/>
  <c r="AF45" i="8"/>
  <c r="G45" i="17" s="1"/>
  <c r="AV46" i="8"/>
  <c r="AF49" i="8"/>
  <c r="G49" i="17" s="1"/>
  <c r="AV50" i="8"/>
  <c r="AF53" i="8"/>
  <c r="G53" i="17" s="1"/>
  <c r="AV54" i="8"/>
  <c r="AF57" i="8"/>
  <c r="G57" i="17" s="1"/>
  <c r="AV58" i="8"/>
  <c r="AF61" i="8"/>
  <c r="G61" i="17" s="1"/>
  <c r="AV62" i="8"/>
  <c r="AF65" i="8"/>
  <c r="G65" i="17" s="1"/>
  <c r="AV8" i="9"/>
  <c r="AF9" i="9"/>
  <c r="H9" i="17" s="1"/>
  <c r="AV12" i="9"/>
  <c r="AF13" i="9"/>
  <c r="H13" i="17" s="1"/>
  <c r="AV16" i="9"/>
  <c r="AF17" i="9"/>
  <c r="H17" i="17" s="1"/>
  <c r="AV20" i="9"/>
  <c r="AF21" i="9"/>
  <c r="H21" i="17" s="1"/>
  <c r="AV24" i="9"/>
  <c r="AF25" i="9"/>
  <c r="H25" i="17" s="1"/>
  <c r="AV28" i="9"/>
  <c r="AF29" i="9"/>
  <c r="H29" i="17" s="1"/>
  <c r="AV32" i="9"/>
  <c r="AF33" i="9"/>
  <c r="H33" i="17" s="1"/>
  <c r="AV36" i="9"/>
  <c r="AF37" i="9"/>
  <c r="H37" i="17" s="1"/>
  <c r="AV40" i="9"/>
  <c r="AF41" i="9"/>
  <c r="H41" i="17" s="1"/>
  <c r="AV44" i="9"/>
  <c r="AF45" i="9"/>
  <c r="H45" i="17" s="1"/>
  <c r="AF46" i="9"/>
  <c r="H46" i="17" s="1"/>
  <c r="AV47" i="9"/>
  <c r="AV51" i="9"/>
  <c r="AV52" i="9"/>
  <c r="AV55" i="9"/>
  <c r="AV56" i="9"/>
  <c r="AV59" i="9"/>
  <c r="AV60" i="9"/>
  <c r="AF61" i="9"/>
  <c r="H61" i="17" s="1"/>
  <c r="AV64" i="9"/>
  <c r="AF65" i="9"/>
  <c r="H65" i="17" s="1"/>
  <c r="AF7" i="10"/>
  <c r="I7" i="17" s="1"/>
  <c r="AV8" i="10"/>
  <c r="AF11" i="10"/>
  <c r="I11" i="17" s="1"/>
  <c r="AV12" i="10"/>
  <c r="AF15" i="10"/>
  <c r="I15" i="17" s="1"/>
  <c r="AV16" i="10"/>
  <c r="AF19" i="10"/>
  <c r="I19" i="17" s="1"/>
  <c r="AV20" i="10"/>
  <c r="AF23" i="10"/>
  <c r="I23" i="17" s="1"/>
  <c r="AV24" i="10"/>
  <c r="AF27" i="10"/>
  <c r="I27" i="17" s="1"/>
  <c r="AV28" i="10"/>
  <c r="AF31" i="10"/>
  <c r="I31" i="17" s="1"/>
  <c r="AV32" i="10"/>
  <c r="AF65" i="7"/>
  <c r="F65" i="17" s="1"/>
  <c r="AF7" i="8"/>
  <c r="G7" i="17" s="1"/>
  <c r="AV8" i="8"/>
  <c r="AF11" i="8"/>
  <c r="G11" i="17" s="1"/>
  <c r="AV12" i="8"/>
  <c r="AF15" i="8"/>
  <c r="G15" i="17" s="1"/>
  <c r="AV16" i="8"/>
  <c r="AF19" i="8"/>
  <c r="G19" i="17" s="1"/>
  <c r="AV20" i="8"/>
  <c r="AF23" i="8"/>
  <c r="G23" i="17" s="1"/>
  <c r="AV24" i="8"/>
  <c r="AF26" i="8"/>
  <c r="G26" i="17" s="1"/>
  <c r="AF27" i="8"/>
  <c r="G27" i="17" s="1"/>
  <c r="AV28" i="8"/>
  <c r="AF31" i="8"/>
  <c r="G31" i="17" s="1"/>
  <c r="AV32" i="8"/>
  <c r="AF35" i="8"/>
  <c r="G35" i="17" s="1"/>
  <c r="AV36" i="8"/>
  <c r="T36" i="17" s="1"/>
  <c r="AF39" i="8"/>
  <c r="G39" i="17" s="1"/>
  <c r="AV40" i="8"/>
  <c r="AF43" i="8"/>
  <c r="G43" i="17" s="1"/>
  <c r="AV44" i="8"/>
  <c r="AF47" i="8"/>
  <c r="G47" i="17" s="1"/>
  <c r="AV48" i="8"/>
  <c r="T48" i="17" s="1"/>
  <c r="AF51" i="8"/>
  <c r="G51" i="17" s="1"/>
  <c r="AV52" i="8"/>
  <c r="AF55" i="8"/>
  <c r="G55" i="17" s="1"/>
  <c r="AV56" i="8"/>
  <c r="AF59" i="8"/>
  <c r="G59" i="17" s="1"/>
  <c r="AV60" i="8"/>
  <c r="AF63" i="8"/>
  <c r="G63" i="17" s="1"/>
  <c r="AV64" i="8"/>
  <c r="AV6" i="9"/>
  <c r="AF7" i="9"/>
  <c r="H7" i="17" s="1"/>
  <c r="AV10" i="9"/>
  <c r="AF11" i="9"/>
  <c r="H11" i="17" s="1"/>
  <c r="AV14" i="9"/>
  <c r="AF15" i="9"/>
  <c r="H15" i="17" s="1"/>
  <c r="AV18" i="9"/>
  <c r="AF19" i="9"/>
  <c r="H19" i="17" s="1"/>
  <c r="AV22" i="9"/>
  <c r="AF23" i="9"/>
  <c r="H23" i="17" s="1"/>
  <c r="AV26" i="9"/>
  <c r="AF27" i="9"/>
  <c r="H27" i="17" s="1"/>
  <c r="AV30" i="9"/>
  <c r="AF31" i="9"/>
  <c r="H31" i="17" s="1"/>
  <c r="AV34" i="9"/>
  <c r="AF35" i="9"/>
  <c r="H35" i="17" s="1"/>
  <c r="AV38" i="9"/>
  <c r="AF39" i="9"/>
  <c r="H39" i="17" s="1"/>
  <c r="AV42" i="9"/>
  <c r="AF43" i="9"/>
  <c r="H43" i="17" s="1"/>
  <c r="AV49" i="9"/>
  <c r="AV50" i="9"/>
  <c r="AV53" i="9"/>
  <c r="AV54" i="9"/>
  <c r="AV57" i="9"/>
  <c r="AV58" i="9"/>
  <c r="AF59" i="9"/>
  <c r="H59" i="17" s="1"/>
  <c r="AV61" i="9"/>
  <c r="AV62" i="9"/>
  <c r="AF63" i="9"/>
  <c r="H63" i="17" s="1"/>
  <c r="AV6" i="10"/>
  <c r="AF9" i="10"/>
  <c r="I9" i="17" s="1"/>
  <c r="AV10" i="10"/>
  <c r="AF13" i="10"/>
  <c r="I13" i="17" s="1"/>
  <c r="AV14" i="10"/>
  <c r="AF17" i="10"/>
  <c r="I17" i="17" s="1"/>
  <c r="AV18" i="10"/>
  <c r="AF21" i="10"/>
  <c r="I21" i="17" s="1"/>
  <c r="AV22" i="10"/>
  <c r="AF25" i="10"/>
  <c r="I25" i="17" s="1"/>
  <c r="AV26" i="10"/>
  <c r="AF29" i="10"/>
  <c r="I29" i="17" s="1"/>
  <c r="AV30" i="10"/>
  <c r="AF33" i="10"/>
  <c r="I33" i="17" s="1"/>
  <c r="AV34" i="10"/>
  <c r="AF37" i="10"/>
  <c r="I37" i="17" s="1"/>
  <c r="AF41" i="10"/>
  <c r="I41" i="17" s="1"/>
  <c r="AF44" i="10"/>
  <c r="I44" i="17" s="1"/>
  <c r="AF45" i="10"/>
  <c r="I45" i="17" s="1"/>
  <c r="AF48" i="10"/>
  <c r="I48" i="17" s="1"/>
  <c r="AF49" i="10"/>
  <c r="I49" i="17" s="1"/>
  <c r="AF52" i="10"/>
  <c r="I52" i="17" s="1"/>
  <c r="AF53" i="10"/>
  <c r="I53" i="17" s="1"/>
  <c r="AF56" i="10"/>
  <c r="I56" i="17" s="1"/>
  <c r="AF60" i="10"/>
  <c r="I60" i="17" s="1"/>
  <c r="AF64" i="10"/>
  <c r="I64" i="17" s="1"/>
  <c r="AF6" i="11"/>
  <c r="AV7" i="11"/>
  <c r="AF10" i="11"/>
  <c r="J10" i="17" s="1"/>
  <c r="AV11" i="11"/>
  <c r="AV15" i="11"/>
  <c r="AV19" i="11"/>
  <c r="AV23" i="11"/>
  <c r="AV27" i="11"/>
  <c r="AV28" i="11"/>
  <c r="AV31" i="11"/>
  <c r="AV32" i="11"/>
  <c r="AV35" i="11"/>
  <c r="AV36" i="11"/>
  <c r="AV39" i="11"/>
  <c r="AV40" i="11"/>
  <c r="AV43" i="11"/>
  <c r="AV44" i="11"/>
  <c r="AV47" i="11"/>
  <c r="AV48" i="11"/>
  <c r="AV51" i="11"/>
  <c r="AV52" i="11"/>
  <c r="AF53" i="11"/>
  <c r="J53" i="17" s="1"/>
  <c r="AV55" i="11"/>
  <c r="AV56" i="11"/>
  <c r="AF57" i="11"/>
  <c r="J57" i="17" s="1"/>
  <c r="AV60" i="11"/>
  <c r="AF61" i="11"/>
  <c r="J61" i="17" s="1"/>
  <c r="AV64" i="11"/>
  <c r="AF65" i="11"/>
  <c r="J65" i="17" s="1"/>
  <c r="AF7" i="12"/>
  <c r="K7" i="17" s="1"/>
  <c r="AV8" i="12"/>
  <c r="AF11" i="12"/>
  <c r="K11" i="17" s="1"/>
  <c r="AV12" i="12"/>
  <c r="AF15" i="12"/>
  <c r="K15" i="17" s="1"/>
  <c r="AV16" i="12"/>
  <c r="AF19" i="12"/>
  <c r="K19" i="17" s="1"/>
  <c r="AV20" i="12"/>
  <c r="AF23" i="12"/>
  <c r="K23" i="17" s="1"/>
  <c r="AV24" i="12"/>
  <c r="AF27" i="12"/>
  <c r="K27" i="17" s="1"/>
  <c r="AV28" i="12"/>
  <c r="AF31" i="12"/>
  <c r="K31" i="17" s="1"/>
  <c r="AV32" i="12"/>
  <c r="AF35" i="12"/>
  <c r="K35" i="17" s="1"/>
  <c r="AV36" i="12"/>
  <c r="AF39" i="12"/>
  <c r="K39" i="17" s="1"/>
  <c r="AV40" i="12"/>
  <c r="AF43" i="12"/>
  <c r="K43" i="17" s="1"/>
  <c r="AV44" i="12"/>
  <c r="AF47" i="12"/>
  <c r="K47" i="17" s="1"/>
  <c r="AV48" i="12"/>
  <c r="AF51" i="12"/>
  <c r="K51" i="17" s="1"/>
  <c r="AV52" i="12"/>
  <c r="AF55" i="12"/>
  <c r="K55" i="17" s="1"/>
  <c r="AV56" i="12"/>
  <c r="AF59" i="12"/>
  <c r="K59" i="17" s="1"/>
  <c r="AV60" i="12"/>
  <c r="AF63" i="12"/>
  <c r="K63" i="17" s="1"/>
  <c r="AV64" i="12"/>
  <c r="AV6" i="13"/>
  <c r="AF7" i="13"/>
  <c r="L7" i="17" s="1"/>
  <c r="AV10" i="13"/>
  <c r="AF11" i="13"/>
  <c r="L11" i="17" s="1"/>
  <c r="AV14" i="13"/>
  <c r="AF15" i="13"/>
  <c r="L15" i="17" s="1"/>
  <c r="AV18" i="13"/>
  <c r="AF19" i="13"/>
  <c r="L19" i="17" s="1"/>
  <c r="AV22" i="13"/>
  <c r="AF23" i="13"/>
  <c r="L23" i="17" s="1"/>
  <c r="AF27" i="13"/>
  <c r="L27" i="17" s="1"/>
  <c r="AF31" i="13"/>
  <c r="L31" i="17" s="1"/>
  <c r="AF35" i="13"/>
  <c r="L35" i="17" s="1"/>
  <c r="AF39" i="13"/>
  <c r="L39" i="17" s="1"/>
  <c r="AF43" i="13"/>
  <c r="L43" i="17" s="1"/>
  <c r="AF47" i="13"/>
  <c r="L47" i="17" s="1"/>
  <c r="AF51" i="13"/>
  <c r="L51" i="17" s="1"/>
  <c r="AF55" i="13"/>
  <c r="L55" i="17" s="1"/>
  <c r="AF56" i="13"/>
  <c r="L56" i="17" s="1"/>
  <c r="AF59" i="13"/>
  <c r="L59" i="17" s="1"/>
  <c r="AF60" i="13"/>
  <c r="L60" i="17" s="1"/>
  <c r="AF63" i="13"/>
  <c r="L63" i="17" s="1"/>
  <c r="AV6" i="14"/>
  <c r="AV62" i="10"/>
  <c r="AF63" i="10"/>
  <c r="I63" i="17" s="1"/>
  <c r="AV6" i="11"/>
  <c r="AF9" i="11"/>
  <c r="J9" i="17" s="1"/>
  <c r="AV10" i="11"/>
  <c r="AF13" i="11"/>
  <c r="J13" i="17" s="1"/>
  <c r="AV14" i="11"/>
  <c r="AF16" i="11"/>
  <c r="J16" i="17" s="1"/>
  <c r="AF35" i="10"/>
  <c r="I35" i="17" s="1"/>
  <c r="AV36" i="10"/>
  <c r="AF39" i="10"/>
  <c r="I39" i="17" s="1"/>
  <c r="AF43" i="10"/>
  <c r="I43" i="17" s="1"/>
  <c r="AF46" i="10"/>
  <c r="I46" i="17" s="1"/>
  <c r="AF47" i="10"/>
  <c r="I47" i="17" s="1"/>
  <c r="AF50" i="10"/>
  <c r="I50" i="17" s="1"/>
  <c r="AF51" i="10"/>
  <c r="I51" i="17" s="1"/>
  <c r="AF54" i="10"/>
  <c r="I54" i="17" s="1"/>
  <c r="AF58" i="10"/>
  <c r="I58" i="17" s="1"/>
  <c r="AF62" i="10"/>
  <c r="I62" i="17" s="1"/>
  <c r="AV65" i="10"/>
  <c r="AF8" i="11"/>
  <c r="J8" i="17" s="1"/>
  <c r="AV9" i="11"/>
  <c r="AF12" i="11"/>
  <c r="J12" i="17" s="1"/>
  <c r="AV13" i="11"/>
  <c r="AF9" i="14"/>
  <c r="M9" i="17" s="1"/>
  <c r="AV10" i="14"/>
  <c r="AV14" i="14"/>
  <c r="AV18" i="14"/>
  <c r="AV22" i="14"/>
  <c r="AF25" i="14"/>
  <c r="M25" i="17" s="1"/>
  <c r="AV26" i="14"/>
  <c r="AF29" i="14"/>
  <c r="M29" i="17" s="1"/>
  <c r="AV30" i="14"/>
  <c r="AF33" i="14"/>
  <c r="M33" i="17" s="1"/>
  <c r="AV34" i="14"/>
  <c r="AF37" i="14"/>
  <c r="M37" i="17" s="1"/>
  <c r="AV38" i="14"/>
  <c r="AF41" i="14"/>
  <c r="M41" i="17" s="1"/>
  <c r="AV42" i="14"/>
  <c r="AF45" i="14"/>
  <c r="M45" i="17" s="1"/>
  <c r="AV46" i="14"/>
  <c r="AF49" i="14"/>
  <c r="M49" i="17" s="1"/>
  <c r="AV50" i="14"/>
  <c r="AF53" i="14"/>
  <c r="M53" i="17" s="1"/>
  <c r="AV54" i="14"/>
  <c r="AF57" i="14"/>
  <c r="M57" i="17" s="1"/>
  <c r="AV58" i="14"/>
  <c r="AF61" i="14"/>
  <c r="M61" i="17" s="1"/>
  <c r="AV62" i="14"/>
  <c r="AF65" i="14"/>
  <c r="M65" i="17" s="1"/>
  <c r="AF6" i="15"/>
  <c r="AV7" i="15"/>
  <c r="AF9" i="15"/>
  <c r="N9" i="17" s="1"/>
  <c r="AF10" i="15"/>
  <c r="N10" i="17" s="1"/>
  <c r="AV11" i="15"/>
  <c r="AF13" i="15"/>
  <c r="N13" i="17" s="1"/>
  <c r="AF14" i="15"/>
  <c r="N14" i="17" s="1"/>
  <c r="AV15" i="15"/>
  <c r="AF17" i="15"/>
  <c r="N17" i="17" s="1"/>
  <c r="AF18" i="15"/>
  <c r="N18" i="17" s="1"/>
  <c r="AV19" i="15"/>
  <c r="AV20" i="15"/>
  <c r="AF21" i="15"/>
  <c r="N21" i="17" s="1"/>
  <c r="AF22" i="15"/>
  <c r="N22" i="17" s="1"/>
  <c r="AV23" i="15"/>
  <c r="AV24" i="15"/>
  <c r="AF25" i="15"/>
  <c r="N25" i="17" s="1"/>
  <c r="AF26" i="15"/>
  <c r="N26" i="17" s="1"/>
  <c r="AV27" i="15"/>
  <c r="AV28" i="15"/>
  <c r="AF30" i="15"/>
  <c r="N30" i="17" s="1"/>
  <c r="AV31" i="15"/>
  <c r="AV32" i="15"/>
  <c r="AF33" i="15"/>
  <c r="N33" i="17" s="1"/>
  <c r="AF34" i="15"/>
  <c r="N34" i="17" s="1"/>
  <c r="AV35" i="15"/>
  <c r="AV36" i="15"/>
  <c r="AF38" i="15"/>
  <c r="N38" i="17" s="1"/>
  <c r="AV39" i="15"/>
  <c r="AV40" i="15"/>
  <c r="AF42" i="15"/>
  <c r="N42" i="17" s="1"/>
  <c r="AV43" i="15"/>
  <c r="AV44" i="15"/>
  <c r="AF46" i="15"/>
  <c r="N46" i="17" s="1"/>
  <c r="AV47" i="15"/>
  <c r="AV48" i="15"/>
  <c r="AF49" i="15"/>
  <c r="N49" i="17" s="1"/>
  <c r="AF50" i="15"/>
  <c r="N50" i="17" s="1"/>
  <c r="AV51" i="15"/>
  <c r="AV52" i="15"/>
  <c r="AF53" i="15"/>
  <c r="N53" i="17" s="1"/>
  <c r="AF54" i="15"/>
  <c r="N54" i="17" s="1"/>
  <c r="AV55" i="15"/>
  <c r="AV56" i="15"/>
  <c r="AF57" i="15"/>
  <c r="N57" i="17" s="1"/>
  <c r="AF58" i="15"/>
  <c r="N58" i="17" s="1"/>
  <c r="AV59" i="15"/>
  <c r="AV60" i="15"/>
  <c r="AF61" i="15"/>
  <c r="N61" i="17" s="1"/>
  <c r="AF62" i="15"/>
  <c r="N62" i="17" s="1"/>
  <c r="AV63" i="15"/>
  <c r="AV64" i="15"/>
  <c r="AF65" i="15"/>
  <c r="N65" i="17" s="1"/>
  <c r="AC5" i="16"/>
  <c r="AC6" i="16"/>
  <c r="AC9" i="16"/>
  <c r="AC10" i="16"/>
  <c r="AC13" i="16"/>
  <c r="AC14" i="16"/>
  <c r="AF17" i="11"/>
  <c r="J17" i="17" s="1"/>
  <c r="AV18" i="11"/>
  <c r="AF20" i="11"/>
  <c r="J20" i="17" s="1"/>
  <c r="AF21" i="11"/>
  <c r="J21" i="17" s="1"/>
  <c r="AV22" i="11"/>
  <c r="AF24" i="11"/>
  <c r="J24" i="17" s="1"/>
  <c r="AF25" i="11"/>
  <c r="J25" i="17" s="1"/>
  <c r="AV26" i="11"/>
  <c r="AF28" i="11"/>
  <c r="J28" i="17" s="1"/>
  <c r="AF29" i="11"/>
  <c r="J29" i="17" s="1"/>
  <c r="AF32" i="11"/>
  <c r="J32" i="17" s="1"/>
  <c r="AF33" i="11"/>
  <c r="J33" i="17" s="1"/>
  <c r="AF36" i="11"/>
  <c r="J36" i="17" s="1"/>
  <c r="AF37" i="11"/>
  <c r="J37" i="17" s="1"/>
  <c r="AF40" i="11"/>
  <c r="J40" i="17" s="1"/>
  <c r="AF41" i="11"/>
  <c r="J41" i="17" s="1"/>
  <c r="AF44" i="11"/>
  <c r="J44" i="17" s="1"/>
  <c r="AF45" i="11"/>
  <c r="J45" i="17" s="1"/>
  <c r="AF48" i="11"/>
  <c r="J48" i="17" s="1"/>
  <c r="AF49" i="11"/>
  <c r="J49" i="17" s="1"/>
  <c r="AF52" i="11"/>
  <c r="J52" i="17" s="1"/>
  <c r="AF56" i="11"/>
  <c r="J56" i="17" s="1"/>
  <c r="AV59" i="11"/>
  <c r="AF60" i="11"/>
  <c r="J60" i="17" s="1"/>
  <c r="AV63" i="11"/>
  <c r="AF64" i="11"/>
  <c r="J64" i="17" s="1"/>
  <c r="AF6" i="12"/>
  <c r="AV7" i="12"/>
  <c r="AF10" i="12"/>
  <c r="K10" i="17" s="1"/>
  <c r="AV11" i="12"/>
  <c r="AF14" i="12"/>
  <c r="K14" i="17" s="1"/>
  <c r="AV15" i="12"/>
  <c r="AF18" i="12"/>
  <c r="K18" i="17" s="1"/>
  <c r="AV19" i="12"/>
  <c r="AF22" i="12"/>
  <c r="K22" i="17" s="1"/>
  <c r="AV23" i="12"/>
  <c r="AF26" i="12"/>
  <c r="K26" i="17" s="1"/>
  <c r="AV27" i="12"/>
  <c r="AF30" i="12"/>
  <c r="K30" i="17" s="1"/>
  <c r="AV31" i="12"/>
  <c r="AF34" i="12"/>
  <c r="K34" i="17" s="1"/>
  <c r="AV35" i="12"/>
  <c r="AF38" i="12"/>
  <c r="K38" i="17" s="1"/>
  <c r="AV39" i="12"/>
  <c r="AF42" i="12"/>
  <c r="K42" i="17" s="1"/>
  <c r="AV43" i="12"/>
  <c r="AF46" i="12"/>
  <c r="K46" i="17" s="1"/>
  <c r="AV47" i="12"/>
  <c r="AF50" i="12"/>
  <c r="K50" i="17" s="1"/>
  <c r="AV51" i="12"/>
  <c r="AF54" i="12"/>
  <c r="K54" i="17" s="1"/>
  <c r="AV55" i="12"/>
  <c r="AF58" i="12"/>
  <c r="K58" i="17" s="1"/>
  <c r="AV59" i="12"/>
  <c r="AF62" i="12"/>
  <c r="K62" i="17" s="1"/>
  <c r="AV63" i="12"/>
  <c r="AF6" i="13"/>
  <c r="AV9" i="13"/>
  <c r="AF10" i="13"/>
  <c r="L10" i="17" s="1"/>
  <c r="AV13" i="13"/>
  <c r="AF14" i="13"/>
  <c r="L14" i="17" s="1"/>
  <c r="AV17" i="13"/>
  <c r="AF18" i="13"/>
  <c r="L18" i="17" s="1"/>
  <c r="AV21" i="13"/>
  <c r="AF22" i="13"/>
  <c r="L22" i="17" s="1"/>
  <c r="AV25" i="13"/>
  <c r="AV28" i="13"/>
  <c r="AV29" i="13"/>
  <c r="AV32" i="13"/>
  <c r="AV33" i="13"/>
  <c r="AV36" i="13"/>
  <c r="AV37" i="13"/>
  <c r="AV40" i="13"/>
  <c r="AV41" i="13"/>
  <c r="AV44" i="13"/>
  <c r="AV45" i="13"/>
  <c r="AV48" i="13"/>
  <c r="AV49" i="13"/>
  <c r="AV52" i="13"/>
  <c r="AV53" i="13"/>
  <c r="AV56" i="13"/>
  <c r="AV57" i="13"/>
  <c r="AV60" i="13"/>
  <c r="AV61" i="13"/>
  <c r="AV65" i="13"/>
  <c r="AV17" i="11"/>
  <c r="AV21" i="11"/>
  <c r="AV25" i="11"/>
  <c r="AV29" i="11"/>
  <c r="AV30" i="11"/>
  <c r="AV33" i="11"/>
  <c r="AV34" i="11"/>
  <c r="AV37" i="11"/>
  <c r="AV38" i="11"/>
  <c r="AV41" i="11"/>
  <c r="AV42" i="11"/>
  <c r="AV45" i="11"/>
  <c r="AV46" i="11"/>
  <c r="AV49" i="11"/>
  <c r="AV50" i="11"/>
  <c r="AF51" i="11"/>
  <c r="J51" i="17" s="1"/>
  <c r="AV53" i="11"/>
  <c r="AV54" i="11"/>
  <c r="AF55" i="11"/>
  <c r="J55" i="17" s="1"/>
  <c r="AV57" i="11"/>
  <c r="AV58" i="11"/>
  <c r="AF59" i="11"/>
  <c r="J59" i="17" s="1"/>
  <c r="AV62" i="11"/>
  <c r="AF63" i="11"/>
  <c r="J63" i="17" s="1"/>
  <c r="AV6" i="12"/>
  <c r="AF9" i="12"/>
  <c r="K9" i="17" s="1"/>
  <c r="AV10" i="12"/>
  <c r="AF13" i="12"/>
  <c r="K13" i="17" s="1"/>
  <c r="AV14" i="12"/>
  <c r="AF17" i="12"/>
  <c r="K17" i="17" s="1"/>
  <c r="AV18" i="12"/>
  <c r="AF21" i="12"/>
  <c r="K21" i="17" s="1"/>
  <c r="AV22" i="12"/>
  <c r="AF25" i="12"/>
  <c r="K25" i="17" s="1"/>
  <c r="AV26" i="12"/>
  <c r="AF29" i="12"/>
  <c r="K29" i="17" s="1"/>
  <c r="AV30" i="12"/>
  <c r="AF33" i="12"/>
  <c r="K33" i="17" s="1"/>
  <c r="AV34" i="12"/>
  <c r="AF37" i="12"/>
  <c r="K37" i="17" s="1"/>
  <c r="AV38" i="12"/>
  <c r="AF41" i="12"/>
  <c r="K41" i="17" s="1"/>
  <c r="AV42" i="12"/>
  <c r="AF45" i="12"/>
  <c r="K45" i="17" s="1"/>
  <c r="AV46" i="12"/>
  <c r="AF49" i="12"/>
  <c r="K49" i="17" s="1"/>
  <c r="AV50" i="12"/>
  <c r="AF53" i="12"/>
  <c r="K53" i="17" s="1"/>
  <c r="AV54" i="12"/>
  <c r="AF57" i="12"/>
  <c r="K57" i="17" s="1"/>
  <c r="AV58" i="12"/>
  <c r="AF61" i="12"/>
  <c r="K61" i="17" s="1"/>
  <c r="AV62" i="12"/>
  <c r="AF65" i="12"/>
  <c r="K65" i="17" s="1"/>
  <c r="AV8" i="13"/>
  <c r="AF9" i="13"/>
  <c r="L9" i="17" s="1"/>
  <c r="AV12" i="13"/>
  <c r="AF13" i="13"/>
  <c r="L13" i="17" s="1"/>
  <c r="AV16" i="13"/>
  <c r="AF17" i="13"/>
  <c r="L17" i="17" s="1"/>
  <c r="AV20" i="13"/>
  <c r="AF21" i="13"/>
  <c r="L21" i="17" s="1"/>
  <c r="AF26" i="13"/>
  <c r="L26" i="17" s="1"/>
  <c r="AF29" i="13"/>
  <c r="L29" i="17" s="1"/>
  <c r="AF30" i="13"/>
  <c r="L30" i="17" s="1"/>
  <c r="AF33" i="13"/>
  <c r="L33" i="17" s="1"/>
  <c r="AF34" i="13"/>
  <c r="L34" i="17" s="1"/>
  <c r="AF37" i="13"/>
  <c r="L37" i="17" s="1"/>
  <c r="AF38" i="13"/>
  <c r="L38" i="17" s="1"/>
  <c r="AF41" i="13"/>
  <c r="L41" i="17" s="1"/>
  <c r="AF42" i="13"/>
  <c r="L42" i="17" s="1"/>
  <c r="AF45" i="13"/>
  <c r="L45" i="17" s="1"/>
  <c r="AF46" i="13"/>
  <c r="L46" i="17" s="1"/>
  <c r="AF49" i="13"/>
  <c r="L49" i="17" s="1"/>
  <c r="AF50" i="13"/>
  <c r="L50" i="17" s="1"/>
  <c r="AF53" i="13"/>
  <c r="L53" i="17" s="1"/>
  <c r="AF54" i="13"/>
  <c r="L54" i="17" s="1"/>
  <c r="AF57" i="13"/>
  <c r="L57" i="17" s="1"/>
  <c r="AF58" i="13"/>
  <c r="L58" i="17" s="1"/>
  <c r="AF61" i="13"/>
  <c r="L61" i="17" s="1"/>
  <c r="AF62" i="13"/>
  <c r="L62" i="17" s="1"/>
  <c r="AV64" i="13"/>
  <c r="AF65" i="13"/>
  <c r="L65" i="17" s="1"/>
  <c r="AF8" i="14"/>
  <c r="M8" i="17" s="1"/>
  <c r="AV9" i="14"/>
  <c r="AF12" i="14"/>
  <c r="M12" i="17" s="1"/>
  <c r="AV13" i="14"/>
  <c r="AF15" i="14"/>
  <c r="M15" i="17" s="1"/>
  <c r="AF16" i="14"/>
  <c r="M16" i="17" s="1"/>
  <c r="AV17" i="14"/>
  <c r="AF19" i="14"/>
  <c r="M19" i="17" s="1"/>
  <c r="AF20" i="14"/>
  <c r="M20" i="17" s="1"/>
  <c r="AV21" i="14"/>
  <c r="AF24" i="14"/>
  <c r="M24" i="17" s="1"/>
  <c r="AV25" i="14"/>
  <c r="AF28" i="14"/>
  <c r="M28" i="17" s="1"/>
  <c r="AV29" i="14"/>
  <c r="AF32" i="14"/>
  <c r="M32" i="17" s="1"/>
  <c r="AV33" i="14"/>
  <c r="AF36" i="14"/>
  <c r="M36" i="17" s="1"/>
  <c r="AV37" i="14"/>
  <c r="AF40" i="14"/>
  <c r="M40" i="17" s="1"/>
  <c r="AV41" i="14"/>
  <c r="AF44" i="14"/>
  <c r="M44" i="17" s="1"/>
  <c r="AV45" i="14"/>
  <c r="AF48" i="14"/>
  <c r="M48" i="17" s="1"/>
  <c r="AV49" i="14"/>
  <c r="AF52" i="14"/>
  <c r="M52" i="17" s="1"/>
  <c r="AV53" i="14"/>
  <c r="AF56" i="14"/>
  <c r="M56" i="17" s="1"/>
  <c r="AV57" i="14"/>
  <c r="AF60" i="14"/>
  <c r="M60" i="17" s="1"/>
  <c r="AV61" i="14"/>
  <c r="AF64" i="14"/>
  <c r="M64" i="17" s="1"/>
  <c r="AV65" i="14"/>
  <c r="AV6" i="15"/>
  <c r="AV10" i="15"/>
  <c r="AV14" i="15"/>
  <c r="AV18" i="15"/>
  <c r="AF29" i="15"/>
  <c r="N29" i="17" s="1"/>
  <c r="AF37" i="15"/>
  <c r="N37" i="17" s="1"/>
  <c r="AF41" i="15"/>
  <c r="N41" i="17" s="1"/>
  <c r="AF45" i="15"/>
  <c r="N45" i="17" s="1"/>
  <c r="AF7" i="14"/>
  <c r="M7" i="17" s="1"/>
  <c r="AV8" i="14"/>
  <c r="AF11" i="14"/>
  <c r="M11" i="17" s="1"/>
  <c r="AV12" i="14"/>
  <c r="AV16" i="14"/>
  <c r="AV20" i="14"/>
  <c r="AF23" i="14"/>
  <c r="M23" i="17" s="1"/>
  <c r="AV24" i="14"/>
  <c r="AF27" i="14"/>
  <c r="M27" i="17" s="1"/>
  <c r="AV28" i="14"/>
  <c r="AF31" i="14"/>
  <c r="M31" i="17" s="1"/>
  <c r="AV32" i="14"/>
  <c r="AF35" i="14"/>
  <c r="M35" i="17" s="1"/>
  <c r="AV36" i="14"/>
  <c r="AF39" i="14"/>
  <c r="M39" i="17" s="1"/>
  <c r="AV40" i="14"/>
  <c r="AF43" i="14"/>
  <c r="M43" i="17" s="1"/>
  <c r="AV44" i="14"/>
  <c r="AF47" i="14"/>
  <c r="M47" i="17" s="1"/>
  <c r="AV48" i="14"/>
  <c r="AF51" i="14"/>
  <c r="M51" i="17" s="1"/>
  <c r="AV52" i="14"/>
  <c r="AF55" i="14"/>
  <c r="M55" i="17" s="1"/>
  <c r="AV56" i="14"/>
  <c r="AF59" i="14"/>
  <c r="M59" i="17" s="1"/>
  <c r="AV60" i="14"/>
  <c r="AF63" i="14"/>
  <c r="M63" i="17" s="1"/>
  <c r="AV64" i="14"/>
  <c r="AF7" i="15"/>
  <c r="N7" i="17" s="1"/>
  <c r="AF8" i="15"/>
  <c r="N8" i="17" s="1"/>
  <c r="AV9" i="15"/>
  <c r="AF11" i="15"/>
  <c r="N11" i="17" s="1"/>
  <c r="AF12" i="15"/>
  <c r="N12" i="17" s="1"/>
  <c r="AV13" i="15"/>
  <c r="AF15" i="15"/>
  <c r="N15" i="17" s="1"/>
  <c r="AF16" i="15"/>
  <c r="N16" i="17" s="1"/>
  <c r="AV17" i="15"/>
  <c r="AF19" i="15"/>
  <c r="N19" i="17" s="1"/>
  <c r="AF20" i="15"/>
  <c r="N20" i="17" s="1"/>
  <c r="AV21" i="15"/>
  <c r="AV22" i="15"/>
  <c r="AF23" i="15"/>
  <c r="N23" i="17" s="1"/>
  <c r="AF24" i="15"/>
  <c r="N24" i="17" s="1"/>
  <c r="AV25" i="15"/>
  <c r="AV26" i="15"/>
  <c r="AF27" i="15"/>
  <c r="N27" i="17" s="1"/>
  <c r="AF28" i="15"/>
  <c r="N28" i="17" s="1"/>
  <c r="AV29" i="15"/>
  <c r="AV30" i="15"/>
  <c r="AF32" i="15"/>
  <c r="N32" i="17" s="1"/>
  <c r="AV33" i="15"/>
  <c r="AV34" i="15"/>
  <c r="AF36" i="15"/>
  <c r="N36" i="17" s="1"/>
  <c r="AV37" i="15"/>
  <c r="AV38" i="15"/>
  <c r="AF40" i="15"/>
  <c r="N40" i="17" s="1"/>
  <c r="AV41" i="15"/>
  <c r="AV42" i="15"/>
  <c r="AF44" i="15"/>
  <c r="N44" i="17" s="1"/>
  <c r="AV45" i="15"/>
  <c r="AV46" i="15"/>
  <c r="AF47" i="15"/>
  <c r="N47" i="17" s="1"/>
  <c r="AF48" i="15"/>
  <c r="N48" i="17" s="1"/>
  <c r="AV49" i="15"/>
  <c r="AV50" i="15"/>
  <c r="AF51" i="15"/>
  <c r="N51" i="17" s="1"/>
  <c r="AF52" i="15"/>
  <c r="N52" i="17" s="1"/>
  <c r="AV53" i="15"/>
  <c r="AV54" i="15"/>
  <c r="AF55" i="15"/>
  <c r="N55" i="17" s="1"/>
  <c r="AF56" i="15"/>
  <c r="N56" i="17" s="1"/>
  <c r="AV57" i="15"/>
  <c r="AV58" i="15"/>
  <c r="AF59" i="15"/>
  <c r="N59" i="17" s="1"/>
  <c r="AF60" i="15"/>
  <c r="N60" i="17" s="1"/>
  <c r="AV61" i="15"/>
  <c r="AV62" i="15"/>
  <c r="AF64" i="15"/>
  <c r="N64" i="17" s="1"/>
  <c r="AV65" i="15"/>
  <c r="AC7" i="16"/>
  <c r="AC8" i="16"/>
  <c r="AC11" i="16"/>
  <c r="AC12" i="16"/>
  <c r="AC15" i="16"/>
  <c r="AC16" i="16"/>
  <c r="AF22" i="5"/>
  <c r="D22" i="17" s="1"/>
  <c r="R22" i="17" s="1"/>
  <c r="AV22" i="5"/>
  <c r="T22" i="17"/>
  <c r="AF10" i="5"/>
  <c r="D10" i="17" s="1"/>
  <c r="O10" i="17" s="1"/>
  <c r="AV10" i="5"/>
  <c r="T10" i="17" s="1"/>
  <c r="AF58" i="5"/>
  <c r="D58" i="17" s="1"/>
  <c r="O58" i="17" s="1"/>
  <c r="AV58" i="5"/>
  <c r="T58" i="17" s="1"/>
  <c r="AF40" i="5"/>
  <c r="D40" i="17" s="1"/>
  <c r="AV40" i="5"/>
  <c r="T40" i="17" s="1"/>
  <c r="AF43" i="5"/>
  <c r="D43" i="17" s="1"/>
  <c r="O43" i="17" s="1"/>
  <c r="AV43" i="5"/>
  <c r="T43" i="17" s="1"/>
  <c r="AV47" i="5"/>
  <c r="T47" i="17" s="1"/>
  <c r="AF47" i="5"/>
  <c r="D47" i="17" s="1"/>
  <c r="R47" i="17" s="1"/>
  <c r="AV42" i="5"/>
  <c r="AF64" i="5"/>
  <c r="D64" i="17" s="1"/>
  <c r="Q64" i="17" s="1"/>
  <c r="AF6" i="5"/>
  <c r="AV6" i="5"/>
  <c r="T6" i="17" s="1"/>
  <c r="AF30" i="5"/>
  <c r="D30" i="17" s="1"/>
  <c r="O30" i="17" s="1"/>
  <c r="AV30" i="5"/>
  <c r="AF16" i="5"/>
  <c r="D16" i="17" s="1"/>
  <c r="Q16" i="17" s="1"/>
  <c r="AV16" i="5"/>
  <c r="T16" i="17" s="1"/>
  <c r="AF63" i="5"/>
  <c r="D63" i="17" s="1"/>
  <c r="R63" i="17" s="1"/>
  <c r="AV63" i="5"/>
  <c r="T63" i="17" s="1"/>
  <c r="AF61" i="5"/>
  <c r="D61" i="17" s="1"/>
  <c r="O61" i="17" s="1"/>
  <c r="AV61" i="5"/>
  <c r="T61" i="17" s="1"/>
  <c r="AF33" i="5"/>
  <c r="D33" i="17" s="1"/>
  <c r="R33" i="17" s="1"/>
  <c r="AV33" i="5"/>
  <c r="T33" i="17" s="1"/>
  <c r="AF14" i="5"/>
  <c r="D14" i="17" s="1"/>
  <c r="R14" i="17" s="1"/>
  <c r="AV14" i="5"/>
  <c r="T14" i="17" s="1"/>
  <c r="AF21" i="5"/>
  <c r="D21" i="17" s="1"/>
  <c r="O21" i="17" s="1"/>
  <c r="AV21" i="5"/>
  <c r="T21" i="17" s="1"/>
  <c r="AF38" i="5"/>
  <c r="D38" i="17" s="1"/>
  <c r="O38" i="17" s="1"/>
  <c r="AV38" i="5"/>
  <c r="AF12" i="5"/>
  <c r="D12" i="17" s="1"/>
  <c r="Q12" i="17" s="1"/>
  <c r="AV12" i="5"/>
  <c r="T12" i="17" s="1"/>
  <c r="AF23" i="5"/>
  <c r="D23" i="17" s="1"/>
  <c r="Q23" i="17" s="1"/>
  <c r="AV27" i="5"/>
  <c r="T27" i="17" s="1"/>
  <c r="AF27" i="5"/>
  <c r="D27" i="17" s="1"/>
  <c r="O27" i="17" s="1"/>
  <c r="B25" i="16"/>
  <c r="C25" i="16" s="1"/>
  <c r="F6" i="17"/>
  <c r="Q9" i="17"/>
  <c r="O9" i="17"/>
  <c r="R9" i="17"/>
  <c r="Q13" i="17"/>
  <c r="O13" i="17"/>
  <c r="R13" i="17"/>
  <c r="Q17" i="17"/>
  <c r="R17" i="17"/>
  <c r="O17" i="17"/>
  <c r="Q29" i="17"/>
  <c r="O29" i="17"/>
  <c r="R29" i="17"/>
  <c r="Q37" i="17"/>
  <c r="O37" i="17"/>
  <c r="R37" i="17"/>
  <c r="Q41" i="17"/>
  <c r="O41" i="17"/>
  <c r="R41" i="17"/>
  <c r="Q45" i="17"/>
  <c r="O45" i="17"/>
  <c r="R45" i="17"/>
  <c r="O49" i="17"/>
  <c r="R56" i="17"/>
  <c r="O56" i="17"/>
  <c r="Q56" i="17"/>
  <c r="R60" i="17"/>
  <c r="O60" i="17"/>
  <c r="Q60" i="17"/>
  <c r="C6" i="17"/>
  <c r="B22" i="16"/>
  <c r="C22" i="16" s="1"/>
  <c r="D6" i="17"/>
  <c r="G6" i="17"/>
  <c r="B26" i="16"/>
  <c r="C26" i="16" s="1"/>
  <c r="H6" i="17"/>
  <c r="B27" i="16"/>
  <c r="C27" i="16" s="1"/>
  <c r="R24" i="17"/>
  <c r="O24" i="17"/>
  <c r="Q24" i="17"/>
  <c r="B6" i="17"/>
  <c r="B21" i="16"/>
  <c r="B24" i="16"/>
  <c r="C24" i="16" s="1"/>
  <c r="E6" i="17"/>
  <c r="A16" i="17"/>
  <c r="A16" i="15"/>
  <c r="A16" i="14"/>
  <c r="A16" i="11"/>
  <c r="A16" i="10"/>
  <c r="A16" i="13"/>
  <c r="A16" i="12"/>
  <c r="A6" i="15"/>
  <c r="A6" i="14"/>
  <c r="A6" i="17"/>
  <c r="A6" i="11"/>
  <c r="A6" i="10"/>
  <c r="A6" i="13"/>
  <c r="A6" i="12"/>
  <c r="A14" i="17"/>
  <c r="A14" i="15"/>
  <c r="A14" i="14"/>
  <c r="A14" i="11"/>
  <c r="A14" i="10"/>
  <c r="A14" i="13"/>
  <c r="A14" i="12"/>
  <c r="A22" i="17"/>
  <c r="A22" i="15"/>
  <c r="A22" i="14"/>
  <c r="A22" i="11"/>
  <c r="A22" i="10"/>
  <c r="A22" i="13"/>
  <c r="A22" i="12"/>
  <c r="A7" i="14"/>
  <c r="A7" i="17"/>
  <c r="A7" i="15"/>
  <c r="A7" i="13"/>
  <c r="A7" i="12"/>
  <c r="A7" i="11"/>
  <c r="A7" i="10"/>
  <c r="A11" i="17"/>
  <c r="A11" i="14"/>
  <c r="A11" i="15"/>
  <c r="A11" i="13"/>
  <c r="A11" i="12"/>
  <c r="A11" i="11"/>
  <c r="A11" i="10"/>
  <c r="A15" i="17"/>
  <c r="A15" i="14"/>
  <c r="A15" i="15"/>
  <c r="A15" i="13"/>
  <c r="A15" i="12"/>
  <c r="A15" i="11"/>
  <c r="A15" i="10"/>
  <c r="A19" i="17"/>
  <c r="A19" i="14"/>
  <c r="A19" i="15"/>
  <c r="A19" i="13"/>
  <c r="A19" i="12"/>
  <c r="A19" i="11"/>
  <c r="A19" i="10"/>
  <c r="A23" i="14"/>
  <c r="A23" i="17"/>
  <c r="A23" i="15"/>
  <c r="A23" i="13"/>
  <c r="A23" i="12"/>
  <c r="A23" i="11"/>
  <c r="A23" i="10"/>
  <c r="A27" i="17"/>
  <c r="A27" i="14"/>
  <c r="A27" i="13"/>
  <c r="A27" i="15"/>
  <c r="A27" i="12"/>
  <c r="A27" i="11"/>
  <c r="A27" i="10"/>
  <c r="A31" i="17"/>
  <c r="A31" i="14"/>
  <c r="A31" i="13"/>
  <c r="A31" i="15"/>
  <c r="A31" i="12"/>
  <c r="A31" i="11"/>
  <c r="A31" i="10"/>
  <c r="A35" i="17"/>
  <c r="A35" i="14"/>
  <c r="A35" i="13"/>
  <c r="A35" i="15"/>
  <c r="A35" i="12"/>
  <c r="A35" i="11"/>
  <c r="A35" i="10"/>
  <c r="A39" i="17"/>
  <c r="A39" i="14"/>
  <c r="A39" i="13"/>
  <c r="A39" i="15"/>
  <c r="A39" i="12"/>
  <c r="A39" i="11"/>
  <c r="A39" i="10"/>
  <c r="A43" i="17"/>
  <c r="A43" i="14"/>
  <c r="A43" i="13"/>
  <c r="A43" i="15"/>
  <c r="A43" i="12"/>
  <c r="A43" i="11"/>
  <c r="A43" i="10"/>
  <c r="A47" i="17"/>
  <c r="A47" i="14"/>
  <c r="A47" i="13"/>
  <c r="A47" i="15"/>
  <c r="A47" i="12"/>
  <c r="A47" i="11"/>
  <c r="A47" i="10"/>
  <c r="A51" i="17"/>
  <c r="A51" i="14"/>
  <c r="A51" i="13"/>
  <c r="A51" i="15"/>
  <c r="A51" i="9"/>
  <c r="A51" i="12"/>
  <c r="A51" i="11"/>
  <c r="A51" i="10"/>
  <c r="A55" i="17"/>
  <c r="A55" i="14"/>
  <c r="A55" i="13"/>
  <c r="A55" i="15"/>
  <c r="A55" i="9"/>
  <c r="A55" i="12"/>
  <c r="A55" i="11"/>
  <c r="A55" i="10"/>
  <c r="A59" i="17"/>
  <c r="A59" i="14"/>
  <c r="A59" i="13"/>
  <c r="A59" i="15"/>
  <c r="A59" i="9"/>
  <c r="A59" i="12"/>
  <c r="A59" i="11"/>
  <c r="A59" i="10"/>
  <c r="A63" i="17"/>
  <c r="A63" i="14"/>
  <c r="A63" i="13"/>
  <c r="A63" i="15"/>
  <c r="A63" i="9"/>
  <c r="A63" i="12"/>
  <c r="A63" i="11"/>
  <c r="A63" i="10"/>
  <c r="A6" i="3"/>
  <c r="A8" i="3"/>
  <c r="A10" i="3"/>
  <c r="A12" i="3"/>
  <c r="A14" i="3"/>
  <c r="A16" i="3"/>
  <c r="A18" i="3"/>
  <c r="A20" i="3"/>
  <c r="A22" i="3"/>
  <c r="A24" i="3"/>
  <c r="A26" i="3"/>
  <c r="A28" i="3"/>
  <c r="A30" i="3"/>
  <c r="A32" i="3"/>
  <c r="A34" i="3"/>
  <c r="A36" i="3"/>
  <c r="A38" i="3"/>
  <c r="A40" i="3"/>
  <c r="A42" i="3"/>
  <c r="A44" i="3"/>
  <c r="A46" i="3"/>
  <c r="A48" i="3"/>
  <c r="A50" i="3"/>
  <c r="A52" i="3"/>
  <c r="A54" i="3"/>
  <c r="A56" i="3"/>
  <c r="A58" i="3"/>
  <c r="A60" i="3"/>
  <c r="A62" i="3"/>
  <c r="A64" i="3"/>
  <c r="A7" i="5"/>
  <c r="A9" i="5"/>
  <c r="A11" i="5"/>
  <c r="A13" i="5"/>
  <c r="A15" i="5"/>
  <c r="A17" i="5"/>
  <c r="A19" i="5"/>
  <c r="A21" i="5"/>
  <c r="A23" i="5"/>
  <c r="A25" i="5"/>
  <c r="A27" i="5"/>
  <c r="A29" i="5"/>
  <c r="A31" i="5"/>
  <c r="A33" i="5"/>
  <c r="A35" i="5"/>
  <c r="A37" i="5"/>
  <c r="A39" i="5"/>
  <c r="A41" i="5"/>
  <c r="A43" i="5"/>
  <c r="A45" i="5"/>
  <c r="A47" i="5"/>
  <c r="A49" i="5"/>
  <c r="A51" i="5"/>
  <c r="A53" i="5"/>
  <c r="A55" i="5"/>
  <c r="A57" i="5"/>
  <c r="A59" i="5"/>
  <c r="A61" i="5"/>
  <c r="A63" i="5"/>
  <c r="A65" i="5"/>
  <c r="A6" i="7"/>
  <c r="A10" i="7"/>
  <c r="A12" i="7"/>
  <c r="A14" i="7"/>
  <c r="A16" i="7"/>
  <c r="A18" i="7"/>
  <c r="A20" i="7"/>
  <c r="A22" i="7"/>
  <c r="A26" i="7"/>
  <c r="A28" i="7"/>
  <c r="A30" i="7"/>
  <c r="A34" i="7"/>
  <c r="A36" i="7"/>
  <c r="A38" i="7"/>
  <c r="A42" i="7"/>
  <c r="A44" i="7"/>
  <c r="A46" i="7"/>
  <c r="A50" i="7"/>
  <c r="A54" i="7"/>
  <c r="A58" i="7"/>
  <c r="A62" i="7"/>
  <c r="A7" i="9"/>
  <c r="A9" i="9"/>
  <c r="A11" i="9"/>
  <c r="A13" i="9"/>
  <c r="A15" i="9"/>
  <c r="A17" i="9"/>
  <c r="A19" i="9"/>
  <c r="A21" i="9"/>
  <c r="A23" i="9"/>
  <c r="A25" i="9"/>
  <c r="A27" i="9"/>
  <c r="A29" i="9"/>
  <c r="A31" i="9"/>
  <c r="A33" i="9"/>
  <c r="A35" i="9"/>
  <c r="A37" i="9"/>
  <c r="A39" i="9"/>
  <c r="A41" i="9"/>
  <c r="A43" i="9"/>
  <c r="A45" i="9"/>
  <c r="AV45" i="9"/>
  <c r="T45" i="17" s="1"/>
  <c r="J6" i="17"/>
  <c r="B29" i="16"/>
  <c r="C29" i="16" s="1"/>
  <c r="A8" i="15"/>
  <c r="A8" i="14"/>
  <c r="A8" i="17"/>
  <c r="A8" i="11"/>
  <c r="A8" i="10"/>
  <c r="A8" i="13"/>
  <c r="A8" i="12"/>
  <c r="A24" i="15"/>
  <c r="A24" i="14"/>
  <c r="A24" i="17"/>
  <c r="A24" i="11"/>
  <c r="A24" i="10"/>
  <c r="A24" i="13"/>
  <c r="A24" i="12"/>
  <c r="A32" i="17"/>
  <c r="A32" i="15"/>
  <c r="A32" i="14"/>
  <c r="A32" i="13"/>
  <c r="A32" i="11"/>
  <c r="A32" i="10"/>
  <c r="A32" i="12"/>
  <c r="A40" i="17"/>
  <c r="A40" i="15"/>
  <c r="A40" i="14"/>
  <c r="A40" i="13"/>
  <c r="A40" i="11"/>
  <c r="A40" i="10"/>
  <c r="A40" i="12"/>
  <c r="A48" i="17"/>
  <c r="A48" i="15"/>
  <c r="A48" i="14"/>
  <c r="A48" i="13"/>
  <c r="A48" i="11"/>
  <c r="A48" i="10"/>
  <c r="A48" i="9"/>
  <c r="A48" i="12"/>
  <c r="A52" i="17"/>
  <c r="A52" i="15"/>
  <c r="A52" i="14"/>
  <c r="A52" i="13"/>
  <c r="A52" i="11"/>
  <c r="A52" i="10"/>
  <c r="A52" i="9"/>
  <c r="A52" i="12"/>
  <c r="A56" i="17"/>
  <c r="A56" i="15"/>
  <c r="A56" i="14"/>
  <c r="A56" i="13"/>
  <c r="A56" i="11"/>
  <c r="A56" i="10"/>
  <c r="A56" i="9"/>
  <c r="A56" i="12"/>
  <c r="A60" i="17"/>
  <c r="A60" i="15"/>
  <c r="A60" i="14"/>
  <c r="A60" i="13"/>
  <c r="A60" i="11"/>
  <c r="A60" i="10"/>
  <c r="A60" i="9"/>
  <c r="A60" i="12"/>
  <c r="A64" i="17"/>
  <c r="A64" i="15"/>
  <c r="A64" i="14"/>
  <c r="A64" i="13"/>
  <c r="A64" i="11"/>
  <c r="A64" i="10"/>
  <c r="A64" i="9"/>
  <c r="A64" i="12"/>
  <c r="A6" i="4"/>
  <c r="A8" i="4"/>
  <c r="A10" i="4"/>
  <c r="A12" i="4"/>
  <c r="A14" i="4"/>
  <c r="A16" i="4"/>
  <c r="A18" i="4"/>
  <c r="A20" i="4"/>
  <c r="A22" i="4"/>
  <c r="A24" i="4"/>
  <c r="A26" i="4"/>
  <c r="A28" i="4"/>
  <c r="A30" i="4"/>
  <c r="A32" i="4"/>
  <c r="A34" i="4"/>
  <c r="A36" i="4"/>
  <c r="A38" i="4"/>
  <c r="A40" i="4"/>
  <c r="A42" i="4"/>
  <c r="A44" i="4"/>
  <c r="A46" i="4"/>
  <c r="A48" i="4"/>
  <c r="A50" i="4"/>
  <c r="A52" i="4"/>
  <c r="A54" i="4"/>
  <c r="A56" i="4"/>
  <c r="A58" i="4"/>
  <c r="A60" i="4"/>
  <c r="A62" i="4"/>
  <c r="A64" i="4"/>
  <c r="A7" i="6"/>
  <c r="A11" i="6"/>
  <c r="A15" i="6"/>
  <c r="A19" i="6"/>
  <c r="A23" i="6"/>
  <c r="A27" i="6"/>
  <c r="A31" i="6"/>
  <c r="A35" i="6"/>
  <c r="A39" i="6"/>
  <c r="A43" i="6"/>
  <c r="A47" i="6"/>
  <c r="A51" i="6"/>
  <c r="A55" i="6"/>
  <c r="A59" i="6"/>
  <c r="A63" i="6"/>
  <c r="A6" i="8"/>
  <c r="A8" i="8"/>
  <c r="A10" i="8"/>
  <c r="A12" i="8"/>
  <c r="A14" i="8"/>
  <c r="A16" i="8"/>
  <c r="A18" i="8"/>
  <c r="A22" i="8"/>
  <c r="A24" i="8"/>
  <c r="A26" i="8"/>
  <c r="A30" i="8"/>
  <c r="A32" i="8"/>
  <c r="A34" i="8"/>
  <c r="A38" i="8"/>
  <c r="A40" i="8"/>
  <c r="A42" i="8"/>
  <c r="A46" i="8"/>
  <c r="A48" i="8"/>
  <c r="A50" i="8"/>
  <c r="A52" i="8"/>
  <c r="A54" i="8"/>
  <c r="A56" i="8"/>
  <c r="A58" i="8"/>
  <c r="A60" i="8"/>
  <c r="A62" i="8"/>
  <c r="A64" i="8"/>
  <c r="A46" i="9"/>
  <c r="B30" i="16"/>
  <c r="C30" i="16" s="1"/>
  <c r="K6" i="17"/>
  <c r="L6" i="17"/>
  <c r="A20" i="17"/>
  <c r="A20" i="15"/>
  <c r="A20" i="14"/>
  <c r="A20" i="11"/>
  <c r="A20" i="10"/>
  <c r="A20" i="13"/>
  <c r="A20" i="12"/>
  <c r="A28" i="17"/>
  <c r="A28" i="15"/>
  <c r="A28" i="14"/>
  <c r="A28" i="13"/>
  <c r="A28" i="11"/>
  <c r="A28" i="10"/>
  <c r="A28" i="12"/>
  <c r="A36" i="17"/>
  <c r="A36" i="15"/>
  <c r="A36" i="14"/>
  <c r="A36" i="13"/>
  <c r="A36" i="11"/>
  <c r="A36" i="10"/>
  <c r="A36" i="12"/>
  <c r="A44" i="17"/>
  <c r="A44" i="15"/>
  <c r="A44" i="14"/>
  <c r="A44" i="13"/>
  <c r="A44" i="11"/>
  <c r="A44" i="10"/>
  <c r="A44" i="12"/>
  <c r="A9" i="17"/>
  <c r="A9" i="14"/>
  <c r="A9" i="15"/>
  <c r="A9" i="13"/>
  <c r="A9" i="12"/>
  <c r="A9" i="11"/>
  <c r="A9" i="10"/>
  <c r="A13" i="17"/>
  <c r="A13" i="14"/>
  <c r="A13" i="15"/>
  <c r="A13" i="13"/>
  <c r="A13" i="12"/>
  <c r="A13" i="11"/>
  <c r="A13" i="10"/>
  <c r="A17" i="17"/>
  <c r="A17" i="14"/>
  <c r="A17" i="15"/>
  <c r="A17" i="13"/>
  <c r="A17" i="12"/>
  <c r="A17" i="11"/>
  <c r="A17" i="10"/>
  <c r="A21" i="17"/>
  <c r="A21" i="14"/>
  <c r="A21" i="15"/>
  <c r="A21" i="13"/>
  <c r="A21" i="12"/>
  <c r="A21" i="11"/>
  <c r="A21" i="10"/>
  <c r="A25" i="17"/>
  <c r="A25" i="14"/>
  <c r="A25" i="15"/>
  <c r="A25" i="13"/>
  <c r="A25" i="12"/>
  <c r="A25" i="11"/>
  <c r="A25" i="10"/>
  <c r="A29" i="17"/>
  <c r="A29" i="14"/>
  <c r="A29" i="13"/>
  <c r="A29" i="15"/>
  <c r="A29" i="12"/>
  <c r="A29" i="11"/>
  <c r="A29" i="10"/>
  <c r="A33" i="17"/>
  <c r="A33" i="14"/>
  <c r="A33" i="13"/>
  <c r="A33" i="15"/>
  <c r="A33" i="12"/>
  <c r="A33" i="11"/>
  <c r="A33" i="10"/>
  <c r="A37" i="17"/>
  <c r="A37" i="14"/>
  <c r="A37" i="13"/>
  <c r="A37" i="15"/>
  <c r="A37" i="12"/>
  <c r="A37" i="11"/>
  <c r="A37" i="10"/>
  <c r="A41" i="17"/>
  <c r="A41" i="14"/>
  <c r="A41" i="13"/>
  <c r="A41" i="15"/>
  <c r="A41" i="12"/>
  <c r="A41" i="11"/>
  <c r="A41" i="10"/>
  <c r="A45" i="17"/>
  <c r="A45" i="14"/>
  <c r="A45" i="13"/>
  <c r="A45" i="15"/>
  <c r="A45" i="12"/>
  <c r="A45" i="11"/>
  <c r="A45" i="10"/>
  <c r="A49" i="17"/>
  <c r="A49" i="14"/>
  <c r="A49" i="13"/>
  <c r="A49" i="15"/>
  <c r="A49" i="9"/>
  <c r="A49" i="12"/>
  <c r="A49" i="11"/>
  <c r="A49" i="10"/>
  <c r="A53" i="17"/>
  <c r="A53" i="14"/>
  <c r="A53" i="13"/>
  <c r="A53" i="15"/>
  <c r="A53" i="9"/>
  <c r="A53" i="12"/>
  <c r="A53" i="11"/>
  <c r="A53" i="10"/>
  <c r="A57" i="17"/>
  <c r="A57" i="14"/>
  <c r="A57" i="13"/>
  <c r="A57" i="15"/>
  <c r="A57" i="9"/>
  <c r="A57" i="12"/>
  <c r="A57" i="11"/>
  <c r="A57" i="10"/>
  <c r="A61" i="17"/>
  <c r="A61" i="14"/>
  <c r="A61" i="13"/>
  <c r="A61" i="15"/>
  <c r="A61" i="9"/>
  <c r="A61" i="12"/>
  <c r="A61" i="11"/>
  <c r="A61" i="10"/>
  <c r="A65" i="17"/>
  <c r="A65" i="14"/>
  <c r="A65" i="13"/>
  <c r="A65" i="15"/>
  <c r="A65" i="9"/>
  <c r="A65" i="12"/>
  <c r="A65" i="11"/>
  <c r="A65" i="10"/>
  <c r="A7" i="3"/>
  <c r="A9" i="3"/>
  <c r="A11" i="3"/>
  <c r="A13" i="3"/>
  <c r="A15" i="3"/>
  <c r="A17" i="3"/>
  <c r="A19" i="3"/>
  <c r="A21" i="3"/>
  <c r="A23" i="3"/>
  <c r="A25" i="3"/>
  <c r="A27" i="3"/>
  <c r="A29" i="3"/>
  <c r="A31" i="3"/>
  <c r="A33" i="3"/>
  <c r="A35" i="3"/>
  <c r="A37" i="3"/>
  <c r="A39" i="3"/>
  <c r="A41" i="3"/>
  <c r="A43" i="3"/>
  <c r="A45" i="3"/>
  <c r="A47" i="3"/>
  <c r="A49" i="3"/>
  <c r="A51" i="3"/>
  <c r="A53" i="3"/>
  <c r="A55" i="3"/>
  <c r="A57" i="3"/>
  <c r="A59" i="3"/>
  <c r="A61" i="3"/>
  <c r="A63" i="3"/>
  <c r="A65" i="3"/>
  <c r="A6" i="5"/>
  <c r="A8" i="5"/>
  <c r="A10" i="5"/>
  <c r="A12" i="5"/>
  <c r="A14" i="5"/>
  <c r="A16" i="5"/>
  <c r="A18" i="5"/>
  <c r="A20" i="5"/>
  <c r="A22" i="5"/>
  <c r="A24" i="5"/>
  <c r="A26" i="5"/>
  <c r="A28" i="5"/>
  <c r="A30" i="5"/>
  <c r="A32" i="5"/>
  <c r="A34" i="5"/>
  <c r="A36" i="5"/>
  <c r="A38" i="5"/>
  <c r="A40" i="5"/>
  <c r="A42" i="5"/>
  <c r="A44" i="5"/>
  <c r="A48" i="5"/>
  <c r="A52" i="5"/>
  <c r="A56" i="5"/>
  <c r="A60" i="5"/>
  <c r="A64" i="5"/>
  <c r="A7" i="7"/>
  <c r="A9" i="7"/>
  <c r="A11" i="7"/>
  <c r="A13" i="7"/>
  <c r="A15" i="7"/>
  <c r="A17" i="7"/>
  <c r="A19" i="7"/>
  <c r="A21" i="7"/>
  <c r="A23" i="7"/>
  <c r="A25" i="7"/>
  <c r="A27" i="7"/>
  <c r="A29" i="7"/>
  <c r="A31" i="7"/>
  <c r="A33" i="7"/>
  <c r="A35" i="7"/>
  <c r="A37" i="7"/>
  <c r="A39" i="7"/>
  <c r="A41" i="7"/>
  <c r="A43" i="7"/>
  <c r="A45" i="7"/>
  <c r="A47" i="7"/>
  <c r="A49" i="7"/>
  <c r="A51" i="7"/>
  <c r="A53" i="7"/>
  <c r="A55" i="7"/>
  <c r="A57" i="7"/>
  <c r="A59" i="7"/>
  <c r="A61" i="7"/>
  <c r="A63" i="7"/>
  <c r="A65" i="7"/>
  <c r="A6" i="9"/>
  <c r="A8" i="9"/>
  <c r="A14" i="9"/>
  <c r="A16" i="9"/>
  <c r="A20" i="9"/>
  <c r="A22" i="9"/>
  <c r="A24" i="9"/>
  <c r="A28" i="9"/>
  <c r="A32" i="9"/>
  <c r="A36" i="9"/>
  <c r="A40" i="9"/>
  <c r="A44" i="9"/>
  <c r="A12" i="17"/>
  <c r="A12" i="15"/>
  <c r="A12" i="14"/>
  <c r="A12" i="11"/>
  <c r="A12" i="10"/>
  <c r="A12" i="13"/>
  <c r="A12" i="12"/>
  <c r="A10" i="17"/>
  <c r="A10" i="15"/>
  <c r="A10" i="14"/>
  <c r="A10" i="11"/>
  <c r="A10" i="10"/>
  <c r="A10" i="13"/>
  <c r="A10" i="12"/>
  <c r="A18" i="17"/>
  <c r="A18" i="15"/>
  <c r="A18" i="14"/>
  <c r="A18" i="11"/>
  <c r="A18" i="10"/>
  <c r="A18" i="13"/>
  <c r="A18" i="12"/>
  <c r="A26" i="17"/>
  <c r="A26" i="15"/>
  <c r="A26" i="14"/>
  <c r="A26" i="13"/>
  <c r="A26" i="11"/>
  <c r="A26" i="10"/>
  <c r="A26" i="12"/>
  <c r="A30" i="17"/>
  <c r="A30" i="15"/>
  <c r="A30" i="14"/>
  <c r="A30" i="13"/>
  <c r="A30" i="11"/>
  <c r="A30" i="10"/>
  <c r="A30" i="12"/>
  <c r="A34" i="17"/>
  <c r="A34" i="15"/>
  <c r="A34" i="14"/>
  <c r="A34" i="13"/>
  <c r="A34" i="11"/>
  <c r="A34" i="10"/>
  <c r="A34" i="12"/>
  <c r="A38" i="17"/>
  <c r="A38" i="15"/>
  <c r="A38" i="14"/>
  <c r="A38" i="13"/>
  <c r="A38" i="11"/>
  <c r="A38" i="10"/>
  <c r="A38" i="12"/>
  <c r="A42" i="17"/>
  <c r="A42" i="15"/>
  <c r="A42" i="14"/>
  <c r="A42" i="13"/>
  <c r="A42" i="11"/>
  <c r="A42" i="10"/>
  <c r="A42" i="12"/>
  <c r="A46" i="17"/>
  <c r="A46" i="15"/>
  <c r="A46" i="14"/>
  <c r="A46" i="13"/>
  <c r="A46" i="11"/>
  <c r="A46" i="10"/>
  <c r="A46" i="12"/>
  <c r="A50" i="17"/>
  <c r="A50" i="15"/>
  <c r="A50" i="14"/>
  <c r="A50" i="13"/>
  <c r="A50" i="11"/>
  <c r="A50" i="10"/>
  <c r="A50" i="9"/>
  <c r="A50" i="12"/>
  <c r="A54" i="17"/>
  <c r="A54" i="15"/>
  <c r="A54" i="14"/>
  <c r="A54" i="13"/>
  <c r="A54" i="11"/>
  <c r="A54" i="10"/>
  <c r="A54" i="9"/>
  <c r="A54" i="12"/>
  <c r="A58" i="17"/>
  <c r="A58" i="15"/>
  <c r="A58" i="14"/>
  <c r="A58" i="13"/>
  <c r="A58" i="11"/>
  <c r="A58" i="10"/>
  <c r="A58" i="9"/>
  <c r="A58" i="12"/>
  <c r="A62" i="17"/>
  <c r="A62" i="15"/>
  <c r="A62" i="14"/>
  <c r="A62" i="13"/>
  <c r="A62" i="11"/>
  <c r="A62" i="10"/>
  <c r="A62" i="9"/>
  <c r="A62" i="12"/>
  <c r="A7" i="4"/>
  <c r="A9" i="4"/>
  <c r="A11" i="4"/>
  <c r="A13" i="4"/>
  <c r="A15" i="4"/>
  <c r="A17" i="4"/>
  <c r="A19" i="4"/>
  <c r="A21" i="4"/>
  <c r="A23" i="4"/>
  <c r="A25" i="4"/>
  <c r="A27" i="4"/>
  <c r="A29" i="4"/>
  <c r="A31" i="4"/>
  <c r="A33" i="4"/>
  <c r="A35" i="4"/>
  <c r="A37" i="4"/>
  <c r="A39" i="4"/>
  <c r="A41" i="4"/>
  <c r="A43" i="4"/>
  <c r="A45" i="4"/>
  <c r="A47" i="4"/>
  <c r="A49" i="4"/>
  <c r="A51" i="4"/>
  <c r="A53" i="4"/>
  <c r="A55" i="4"/>
  <c r="A57" i="4"/>
  <c r="A59" i="4"/>
  <c r="A61" i="4"/>
  <c r="A63" i="4"/>
  <c r="A65" i="4"/>
  <c r="A6" i="6"/>
  <c r="A8" i="6"/>
  <c r="A10" i="6"/>
  <c r="A12" i="6"/>
  <c r="A14" i="6"/>
  <c r="A16" i="6"/>
  <c r="A18" i="6"/>
  <c r="A20" i="6"/>
  <c r="A22" i="6"/>
  <c r="A24" i="6"/>
  <c r="A26" i="6"/>
  <c r="A28" i="6"/>
  <c r="A30" i="6"/>
  <c r="A32" i="6"/>
  <c r="A34" i="6"/>
  <c r="A36" i="6"/>
  <c r="A38" i="6"/>
  <c r="A40" i="6"/>
  <c r="A42" i="6"/>
  <c r="A44" i="6"/>
  <c r="A46" i="6"/>
  <c r="A48" i="6"/>
  <c r="A50" i="6"/>
  <c r="A52" i="6"/>
  <c r="A54" i="6"/>
  <c r="A56" i="6"/>
  <c r="A58" i="6"/>
  <c r="A60" i="6"/>
  <c r="A62" i="6"/>
  <c r="A64" i="6"/>
  <c r="A7" i="8"/>
  <c r="A9" i="8"/>
  <c r="A11" i="8"/>
  <c r="A13" i="8"/>
  <c r="A15" i="8"/>
  <c r="A17" i="8"/>
  <c r="A19" i="8"/>
  <c r="A21" i="8"/>
  <c r="A23" i="8"/>
  <c r="A25" i="8"/>
  <c r="A27" i="8"/>
  <c r="A29" i="8"/>
  <c r="A31" i="8"/>
  <c r="A33" i="8"/>
  <c r="A35" i="8"/>
  <c r="A37" i="8"/>
  <c r="A39" i="8"/>
  <c r="A41" i="8"/>
  <c r="A43" i="8"/>
  <c r="A45" i="8"/>
  <c r="A47" i="8"/>
  <c r="A49" i="8"/>
  <c r="A51" i="8"/>
  <c r="A53" i="8"/>
  <c r="A55" i="8"/>
  <c r="A57" i="8"/>
  <c r="A59" i="8"/>
  <c r="A61" i="8"/>
  <c r="A63" i="8"/>
  <c r="A65" i="8"/>
  <c r="A47" i="9"/>
  <c r="I6" i="17"/>
  <c r="B28" i="16"/>
  <c r="C28" i="16" s="1"/>
  <c r="N6" i="17"/>
  <c r="B33" i="16"/>
  <c r="C33" i="16" s="1"/>
  <c r="AV24" i="13"/>
  <c r="T24" i="17" s="1"/>
  <c r="AV26" i="13"/>
  <c r="AF32" i="13"/>
  <c r="L32" i="17" s="1"/>
  <c r="AV34" i="13"/>
  <c r="T34" i="17" s="1"/>
  <c r="AF40" i="13"/>
  <c r="L40" i="17" s="1"/>
  <c r="AV42" i="13"/>
  <c r="AF48" i="13"/>
  <c r="L48" i="17" s="1"/>
  <c r="O48" i="17" s="1"/>
  <c r="AV50" i="13"/>
  <c r="T50" i="17" s="1"/>
  <c r="AF25" i="13"/>
  <c r="L25" i="17" s="1"/>
  <c r="AF28" i="13"/>
  <c r="L28" i="17" s="1"/>
  <c r="O28" i="17" s="1"/>
  <c r="AV30" i="13"/>
  <c r="T30" i="17" s="1"/>
  <c r="AF36" i="13"/>
  <c r="L36" i="17" s="1"/>
  <c r="R36" i="17" s="1"/>
  <c r="AV38" i="13"/>
  <c r="T38" i="17" s="1"/>
  <c r="AF44" i="13"/>
  <c r="L44" i="17" s="1"/>
  <c r="Q44" i="17" s="1"/>
  <c r="AV46" i="13"/>
  <c r="T46" i="17" s="1"/>
  <c r="AF52" i="13"/>
  <c r="L52" i="17" s="1"/>
  <c r="AV54" i="13"/>
  <c r="B32" i="16"/>
  <c r="C32" i="16" s="1"/>
  <c r="M6" i="17"/>
  <c r="AC17" i="16"/>
  <c r="B35" i="16" s="1"/>
  <c r="R49" i="17" l="1"/>
  <c r="O22" i="17"/>
  <c r="R19" i="17"/>
  <c r="R52" i="17"/>
  <c r="O20" i="17"/>
  <c r="R50" i="17"/>
  <c r="Q20" i="17"/>
  <c r="O19" i="17"/>
  <c r="T26" i="17"/>
  <c r="U26" i="17" s="1"/>
  <c r="Q25" i="17"/>
  <c r="O8" i="17"/>
  <c r="R8" i="17"/>
  <c r="R51" i="17"/>
  <c r="Q35" i="17"/>
  <c r="R35" i="17"/>
  <c r="R7" i="17"/>
  <c r="Q59" i="17"/>
  <c r="O50" i="17"/>
  <c r="O7" i="17"/>
  <c r="O59" i="17"/>
  <c r="O46" i="17"/>
  <c r="R11" i="17"/>
  <c r="Q39" i="17"/>
  <c r="O26" i="17"/>
  <c r="R39" i="17"/>
  <c r="O11" i="17"/>
  <c r="R32" i="17"/>
  <c r="Q65" i="17"/>
  <c r="Q22" i="17"/>
  <c r="R57" i="17"/>
  <c r="T54" i="17"/>
  <c r="U54" i="17" s="1"/>
  <c r="O54" i="17"/>
  <c r="Q55" i="17"/>
  <c r="O53" i="17"/>
  <c r="Q54" i="17"/>
  <c r="R31" i="17"/>
  <c r="O57" i="17"/>
  <c r="O42" i="17"/>
  <c r="R62" i="17"/>
  <c r="R65" i="17"/>
  <c r="Q26" i="17"/>
  <c r="Q58" i="17"/>
  <c r="O31" i="17"/>
  <c r="Q18" i="17"/>
  <c r="O51" i="17"/>
  <c r="O62" i="17"/>
  <c r="R55" i="17"/>
  <c r="Q15" i="17"/>
  <c r="R53" i="17"/>
  <c r="Q42" i="17"/>
  <c r="R34" i="17"/>
  <c r="R15" i="17"/>
  <c r="Q46" i="17"/>
  <c r="Q34" i="17"/>
  <c r="R18" i="17"/>
  <c r="T60" i="17"/>
  <c r="U60" i="17" s="1"/>
  <c r="S60" i="17" s="1"/>
  <c r="T55" i="17"/>
  <c r="U55" i="17" s="1"/>
  <c r="S55" i="17" s="1"/>
  <c r="T35" i="17"/>
  <c r="U35" i="17" s="1"/>
  <c r="S35" i="17" s="1"/>
  <c r="T19" i="17"/>
  <c r="U19" i="17" s="1"/>
  <c r="T11" i="17"/>
  <c r="U11" i="17" s="1"/>
  <c r="T52" i="17"/>
  <c r="U52" i="17" s="1"/>
  <c r="T49" i="17"/>
  <c r="U49" i="17" s="1"/>
  <c r="S49" i="17" s="1"/>
  <c r="T41" i="17"/>
  <c r="U41" i="17" s="1"/>
  <c r="S41" i="17" s="1"/>
  <c r="T25" i="17"/>
  <c r="U25" i="17" s="1"/>
  <c r="T17" i="17"/>
  <c r="T9" i="17"/>
  <c r="U9" i="17" s="1"/>
  <c r="S9" i="17" s="1"/>
  <c r="T59" i="17"/>
  <c r="U59" i="17" s="1"/>
  <c r="T51" i="17"/>
  <c r="U51" i="17" s="1"/>
  <c r="T64" i="17"/>
  <c r="U64" i="17" s="1"/>
  <c r="T39" i="17"/>
  <c r="U39" i="17" s="1"/>
  <c r="S39" i="17" s="1"/>
  <c r="T31" i="17"/>
  <c r="U31" i="17" s="1"/>
  <c r="T23" i="17"/>
  <c r="U23" i="17" s="1"/>
  <c r="T15" i="17"/>
  <c r="U15" i="17" s="1"/>
  <c r="S15" i="17" s="1"/>
  <c r="T7" i="17"/>
  <c r="U7" i="17" s="1"/>
  <c r="T62" i="17"/>
  <c r="U62" i="17" s="1"/>
  <c r="T57" i="17"/>
  <c r="U57" i="17" s="1"/>
  <c r="T37" i="17"/>
  <c r="U37" i="17" s="1"/>
  <c r="S37" i="17" s="1"/>
  <c r="T29" i="17"/>
  <c r="U29" i="17" s="1"/>
  <c r="S29" i="17" s="1"/>
  <c r="T13" i="17"/>
  <c r="U13" i="17" s="1"/>
  <c r="S13" i="17" s="1"/>
  <c r="T44" i="17"/>
  <c r="U44" i="17" s="1"/>
  <c r="T56" i="17"/>
  <c r="U56" i="17" s="1"/>
  <c r="S56" i="17" s="1"/>
  <c r="T53" i="17"/>
  <c r="U53" i="17" s="1"/>
  <c r="S53" i="17" s="1"/>
  <c r="T18" i="17"/>
  <c r="U18" i="17" s="1"/>
  <c r="S18" i="17" s="1"/>
  <c r="Q10" i="17"/>
  <c r="R10" i="17"/>
  <c r="R58" i="17"/>
  <c r="O40" i="17"/>
  <c r="Q43" i="17"/>
  <c r="R43" i="17"/>
  <c r="Q47" i="17"/>
  <c r="O47" i="17"/>
  <c r="O64" i="17"/>
  <c r="T42" i="17"/>
  <c r="U42" i="17" s="1"/>
  <c r="R16" i="17"/>
  <c r="R64" i="17"/>
  <c r="O63" i="17"/>
  <c r="Q30" i="17"/>
  <c r="R30" i="17"/>
  <c r="O16" i="17"/>
  <c r="Q63" i="17"/>
  <c r="Q61" i="17"/>
  <c r="R61" i="17"/>
  <c r="O33" i="17"/>
  <c r="Q33" i="17"/>
  <c r="O14" i="17"/>
  <c r="Q14" i="17"/>
  <c r="R21" i="17"/>
  <c r="R12" i="17"/>
  <c r="Q21" i="17"/>
  <c r="O12" i="17"/>
  <c r="Q38" i="17"/>
  <c r="O23" i="17"/>
  <c r="R38" i="17"/>
  <c r="Q27" i="17"/>
  <c r="R23" i="17"/>
  <c r="R27" i="17"/>
  <c r="B23" i="16"/>
  <c r="C23" i="16" s="1"/>
  <c r="U65" i="17"/>
  <c r="S65" i="17" s="1"/>
  <c r="U61" i="17"/>
  <c r="S61" i="17" s="1"/>
  <c r="U45" i="17"/>
  <c r="S45" i="17" s="1"/>
  <c r="U58" i="17"/>
  <c r="S58" i="17" s="1"/>
  <c r="U43" i="17"/>
  <c r="S43" i="17" s="1"/>
  <c r="U33" i="17"/>
  <c r="U21" i="17"/>
  <c r="S21" i="17" s="1"/>
  <c r="U17" i="17"/>
  <c r="S17" i="17" s="1"/>
  <c r="U63" i="17"/>
  <c r="U48" i="17"/>
  <c r="S48" i="17" s="1"/>
  <c r="U47" i="17"/>
  <c r="U46" i="17"/>
  <c r="S46" i="17" s="1"/>
  <c r="U36" i="17"/>
  <c r="U32" i="17"/>
  <c r="U28" i="17"/>
  <c r="S28" i="17" s="1"/>
  <c r="U50" i="17"/>
  <c r="U12" i="17"/>
  <c r="U10" i="17"/>
  <c r="S10" i="17" s="1"/>
  <c r="U40" i="17"/>
  <c r="U34" i="17"/>
  <c r="S34" i="17" s="1"/>
  <c r="U16" i="17"/>
  <c r="U14" i="17"/>
  <c r="U27" i="17"/>
  <c r="S27" i="17" s="1"/>
  <c r="U38" i="17"/>
  <c r="S38" i="17" s="1"/>
  <c r="U30" i="17"/>
  <c r="S30" i="17" s="1"/>
  <c r="U24" i="17"/>
  <c r="S24" i="17" s="1"/>
  <c r="U22" i="17"/>
  <c r="S22" i="17" s="1"/>
  <c r="U8" i="17"/>
  <c r="U6" i="17"/>
  <c r="U20" i="17"/>
  <c r="R6" i="17"/>
  <c r="Q6" i="17"/>
  <c r="O6" i="17"/>
  <c r="Q48" i="17"/>
  <c r="O44" i="17"/>
  <c r="R40" i="17"/>
  <c r="O32" i="17"/>
  <c r="Q28" i="17"/>
  <c r="O52" i="17"/>
  <c r="R25" i="17"/>
  <c r="R48" i="17"/>
  <c r="R44" i="17"/>
  <c r="O36" i="17"/>
  <c r="Q32" i="17"/>
  <c r="R28" i="17"/>
  <c r="Q52" i="17"/>
  <c r="O25" i="17"/>
  <c r="B31" i="16"/>
  <c r="C31" i="16" s="1"/>
  <c r="Q40" i="17"/>
  <c r="Q36" i="17"/>
  <c r="C21" i="16"/>
  <c r="S20" i="17" l="1"/>
  <c r="S19" i="17"/>
  <c r="S8" i="17"/>
  <c r="S7" i="17"/>
  <c r="S50" i="17"/>
  <c r="S26" i="17"/>
  <c r="S59" i="17"/>
  <c r="S11" i="17"/>
  <c r="S54" i="17"/>
  <c r="S31" i="17"/>
  <c r="S57" i="17"/>
  <c r="S51" i="17"/>
  <c r="S42" i="17"/>
  <c r="S62" i="17"/>
  <c r="S40" i="17"/>
  <c r="S47" i="17"/>
  <c r="S64" i="17"/>
  <c r="S63" i="17"/>
  <c r="S16" i="17"/>
  <c r="S14" i="17"/>
  <c r="S33" i="17"/>
  <c r="P50" i="17"/>
  <c r="S12" i="17"/>
  <c r="S23" i="17"/>
  <c r="S32" i="17"/>
  <c r="S25" i="17"/>
  <c r="S36" i="17"/>
  <c r="P9" i="17"/>
  <c r="P28" i="17"/>
  <c r="P27" i="17"/>
  <c r="P53" i="17"/>
  <c r="P64" i="17"/>
  <c r="P34" i="17"/>
  <c r="P54" i="17"/>
  <c r="P21" i="17"/>
  <c r="P23" i="17"/>
  <c r="P39" i="17"/>
  <c r="P36" i="17"/>
  <c r="P15" i="17"/>
  <c r="P35" i="17"/>
  <c r="P32" i="17"/>
  <c r="P29" i="17"/>
  <c r="P48" i="17"/>
  <c r="P6" i="17"/>
  <c r="P22" i="17"/>
  <c r="P38" i="17"/>
  <c r="P59" i="17"/>
  <c r="P42" i="17"/>
  <c r="P58" i="17"/>
  <c r="S6" i="17"/>
  <c r="P20" i="17"/>
  <c r="P31" i="17"/>
  <c r="P57" i="17"/>
  <c r="P13" i="17"/>
  <c r="P47" i="17"/>
  <c r="P18" i="17"/>
  <c r="P45" i="17"/>
  <c r="P65" i="17"/>
  <c r="P7" i="17"/>
  <c r="P40" i="17"/>
  <c r="P16" i="17"/>
  <c r="P51" i="17"/>
  <c r="P49" i="17"/>
  <c r="P43" i="17"/>
  <c r="P62" i="17"/>
  <c r="P24" i="17"/>
  <c r="P55" i="17"/>
  <c r="P11" i="17"/>
  <c r="P33" i="17"/>
  <c r="P10" i="17"/>
  <c r="P26" i="17"/>
  <c r="P60" i="17"/>
  <c r="P46" i="17"/>
  <c r="P19" i="17"/>
  <c r="P8" i="17"/>
  <c r="P25" i="17"/>
  <c r="P41" i="17"/>
  <c r="P56" i="17"/>
  <c r="P17" i="17"/>
  <c r="P12" i="17"/>
  <c r="P52" i="17"/>
  <c r="P37" i="17"/>
  <c r="P63" i="17"/>
  <c r="P14" i="17"/>
  <c r="P30" i="17"/>
  <c r="P44" i="17"/>
  <c r="P61" i="17"/>
  <c r="S52" i="17"/>
  <c r="S44" i="17"/>
  <c r="G69" i="18" l="1"/>
  <c r="C69" i="18"/>
  <c r="E68" i="18"/>
  <c r="G67" i="18"/>
  <c r="C67" i="18"/>
  <c r="E66" i="18"/>
  <c r="G65" i="18"/>
  <c r="C65" i="18"/>
  <c r="E64" i="18"/>
  <c r="G63" i="18"/>
  <c r="C63" i="18"/>
  <c r="E62" i="18"/>
  <c r="G61" i="18"/>
  <c r="C61" i="18"/>
  <c r="E60" i="18"/>
  <c r="G59" i="18"/>
  <c r="C59" i="18"/>
  <c r="E58" i="18"/>
  <c r="G57" i="18"/>
  <c r="C57" i="18"/>
  <c r="E56" i="18"/>
  <c r="G55" i="18"/>
  <c r="C55" i="18"/>
  <c r="E54" i="18"/>
  <c r="G53" i="18"/>
  <c r="C53" i="18"/>
  <c r="E52" i="18"/>
  <c r="G51" i="18"/>
  <c r="C51" i="18"/>
  <c r="E50" i="18"/>
  <c r="G49" i="18"/>
  <c r="C49" i="18"/>
  <c r="E48" i="18"/>
  <c r="G47" i="18"/>
  <c r="C47" i="18"/>
  <c r="E46" i="18"/>
  <c r="G45" i="18"/>
  <c r="C45" i="18"/>
  <c r="E44" i="18"/>
  <c r="G43" i="18"/>
  <c r="C43" i="18"/>
  <c r="E42" i="18"/>
  <c r="G41" i="18"/>
  <c r="C41" i="18"/>
  <c r="E40" i="18"/>
  <c r="G39" i="18"/>
  <c r="C39" i="18"/>
  <c r="E38" i="18"/>
  <c r="G37" i="18"/>
  <c r="C37" i="18"/>
  <c r="E36" i="18"/>
  <c r="G35" i="18"/>
  <c r="C35" i="18"/>
  <c r="E34" i="18"/>
  <c r="G33" i="18"/>
  <c r="C33" i="18"/>
  <c r="E32" i="18"/>
  <c r="G31" i="18"/>
  <c r="C31" i="18"/>
  <c r="E30" i="18"/>
  <c r="G29" i="18"/>
  <c r="C29" i="18"/>
  <c r="E28" i="18"/>
  <c r="G27" i="18"/>
  <c r="C27" i="18"/>
  <c r="E26" i="18"/>
  <c r="G25" i="18"/>
  <c r="C25" i="18"/>
  <c r="E24" i="18"/>
  <c r="G23" i="18"/>
  <c r="C23" i="18"/>
  <c r="E22" i="18"/>
  <c r="G21" i="18"/>
  <c r="C21" i="18"/>
  <c r="E20" i="18"/>
  <c r="G19" i="18"/>
  <c r="C19" i="18"/>
  <c r="E18" i="18"/>
  <c r="G17" i="18"/>
  <c r="C17" i="18"/>
  <c r="E16" i="18"/>
  <c r="G15" i="18"/>
  <c r="C15" i="18"/>
  <c r="E14" i="18"/>
  <c r="G13" i="18"/>
  <c r="F69" i="18"/>
  <c r="B69" i="18"/>
  <c r="D68" i="18"/>
  <c r="F67" i="18"/>
  <c r="B67" i="18"/>
  <c r="D66" i="18"/>
  <c r="F65" i="18"/>
  <c r="B65" i="18"/>
  <c r="D64" i="18"/>
  <c r="F63" i="18"/>
  <c r="B63" i="18"/>
  <c r="D62" i="18"/>
  <c r="F61" i="18"/>
  <c r="B61" i="18"/>
  <c r="D60" i="18"/>
  <c r="F59" i="18"/>
  <c r="B59" i="18"/>
  <c r="D58" i="18"/>
  <c r="F57" i="18"/>
  <c r="B57" i="18"/>
  <c r="D56" i="18"/>
  <c r="F55" i="18"/>
  <c r="B55" i="18"/>
  <c r="D54" i="18"/>
  <c r="F53" i="18"/>
  <c r="B53" i="18"/>
  <c r="D52" i="18"/>
  <c r="F51" i="18"/>
  <c r="B51" i="18"/>
  <c r="D50" i="18"/>
  <c r="F49" i="18"/>
  <c r="B49" i="18"/>
  <c r="D48" i="18"/>
  <c r="F47" i="18"/>
  <c r="B47" i="18"/>
  <c r="D46" i="18"/>
  <c r="F45" i="18"/>
  <c r="B45" i="18"/>
  <c r="D44" i="18"/>
  <c r="F43" i="18"/>
  <c r="B43" i="18"/>
  <c r="D42" i="18"/>
  <c r="F41" i="18"/>
  <c r="B41" i="18"/>
  <c r="D40" i="18"/>
  <c r="F39" i="18"/>
  <c r="B39" i="18"/>
  <c r="D38" i="18"/>
  <c r="F37" i="18"/>
  <c r="B37" i="18"/>
  <c r="D36" i="18"/>
  <c r="F35" i="18"/>
  <c r="B35" i="18"/>
  <c r="D34" i="18"/>
  <c r="F33" i="18"/>
  <c r="B33" i="18"/>
  <c r="D32" i="18"/>
  <c r="F31" i="18"/>
  <c r="B31" i="18"/>
  <c r="D30" i="18"/>
  <c r="F29" i="18"/>
  <c r="B29" i="18"/>
  <c r="D28" i="18"/>
  <c r="F27" i="18"/>
  <c r="B27" i="18"/>
  <c r="D26" i="18"/>
  <c r="F25" i="18"/>
  <c r="B25" i="18"/>
  <c r="D24" i="18"/>
  <c r="F23" i="18"/>
  <c r="B23" i="18"/>
  <c r="D22" i="18"/>
  <c r="F21" i="18"/>
  <c r="B21" i="18"/>
  <c r="D20" i="18"/>
  <c r="F19" i="18"/>
  <c r="B19" i="18"/>
  <c r="D18" i="18"/>
  <c r="F17" i="18"/>
  <c r="B17" i="18"/>
  <c r="D16" i="18"/>
  <c r="F15" i="18"/>
  <c r="B15" i="18"/>
  <c r="D14" i="18"/>
  <c r="F13" i="18"/>
  <c r="E69" i="18"/>
  <c r="G68" i="18"/>
  <c r="C68" i="18"/>
  <c r="E67" i="18"/>
  <c r="G66" i="18"/>
  <c r="C66" i="18"/>
  <c r="E65" i="18"/>
  <c r="G64" i="18"/>
  <c r="C64" i="18"/>
  <c r="E63" i="18"/>
  <c r="G62" i="18"/>
  <c r="C62" i="18"/>
  <c r="E61" i="18"/>
  <c r="G60" i="18"/>
  <c r="C60" i="18"/>
  <c r="E59" i="18"/>
  <c r="G58" i="18"/>
  <c r="C58" i="18"/>
  <c r="E57" i="18"/>
  <c r="G56" i="18"/>
  <c r="C56" i="18"/>
  <c r="E55" i="18"/>
  <c r="G54" i="18"/>
  <c r="C54" i="18"/>
  <c r="E53" i="18"/>
  <c r="G52" i="18"/>
  <c r="C52" i="18"/>
  <c r="E51" i="18"/>
  <c r="G50" i="18"/>
  <c r="C50" i="18"/>
  <c r="E49" i="18"/>
  <c r="G48" i="18"/>
  <c r="C48" i="18"/>
  <c r="E47" i="18"/>
  <c r="G46" i="18"/>
  <c r="C46" i="18"/>
  <c r="E45" i="18"/>
  <c r="G44" i="18"/>
  <c r="C44" i="18"/>
  <c r="E43" i="18"/>
  <c r="G42" i="18"/>
  <c r="C42" i="18"/>
  <c r="E41" i="18"/>
  <c r="G40" i="18"/>
  <c r="C40" i="18"/>
  <c r="E39" i="18"/>
  <c r="G38" i="18"/>
  <c r="C38" i="18"/>
  <c r="E37" i="18"/>
  <c r="G36" i="18"/>
  <c r="C36" i="18"/>
  <c r="E35" i="18"/>
  <c r="G34" i="18"/>
  <c r="C34" i="18"/>
  <c r="E33" i="18"/>
  <c r="G32" i="18"/>
  <c r="C32" i="18"/>
  <c r="E31" i="18"/>
  <c r="G30" i="18"/>
  <c r="C30" i="18"/>
  <c r="E29" i="18"/>
  <c r="G28" i="18"/>
  <c r="C28" i="18"/>
  <c r="E27" i="18"/>
  <c r="G26" i="18"/>
  <c r="C26" i="18"/>
  <c r="E25" i="18"/>
  <c r="G24" i="18"/>
  <c r="C24" i="18"/>
  <c r="E23" i="18"/>
  <c r="G22" i="18"/>
  <c r="C22" i="18"/>
  <c r="E21" i="18"/>
  <c r="G20" i="18"/>
  <c r="C20" i="18"/>
  <c r="E19" i="18"/>
  <c r="G18" i="18"/>
  <c r="C18" i="18"/>
  <c r="E17" i="18"/>
  <c r="G16" i="18"/>
  <c r="C16" i="18"/>
  <c r="E15" i="18"/>
  <c r="G14" i="18"/>
  <c r="C14" i="18"/>
  <c r="E13" i="18"/>
  <c r="D69" i="18"/>
  <c r="F68" i="18"/>
  <c r="B66" i="18"/>
  <c r="D63" i="18"/>
  <c r="F60" i="18"/>
  <c r="B58" i="18"/>
  <c r="D55" i="18"/>
  <c r="F52" i="18"/>
  <c r="B50" i="18"/>
  <c r="D47" i="18"/>
  <c r="F44" i="18"/>
  <c r="B42" i="18"/>
  <c r="D39" i="18"/>
  <c r="F36" i="18"/>
  <c r="B34" i="18"/>
  <c r="D31" i="18"/>
  <c r="F28" i="18"/>
  <c r="B26" i="18"/>
  <c r="D23" i="18"/>
  <c r="F20" i="18"/>
  <c r="B18" i="18"/>
  <c r="D15" i="18"/>
  <c r="C13" i="18"/>
  <c r="E12" i="18"/>
  <c r="G11" i="18"/>
  <c r="C11" i="18"/>
  <c r="E10" i="18"/>
  <c r="G9" i="18"/>
  <c r="C9" i="18"/>
  <c r="E8" i="18"/>
  <c r="G7" i="18"/>
  <c r="C7" i="18"/>
  <c r="E6" i="18"/>
  <c r="B68" i="18"/>
  <c r="D65" i="18"/>
  <c r="F62" i="18"/>
  <c r="B60" i="18"/>
  <c r="D57" i="18"/>
  <c r="F54" i="18"/>
  <c r="B52" i="18"/>
  <c r="D49" i="18"/>
  <c r="F46" i="18"/>
  <c r="B44" i="18"/>
  <c r="D41" i="18"/>
  <c r="F38" i="18"/>
  <c r="B36" i="18"/>
  <c r="D33" i="18"/>
  <c r="F30" i="18"/>
  <c r="B28" i="18"/>
  <c r="D25" i="18"/>
  <c r="F22" i="18"/>
  <c r="B20" i="18"/>
  <c r="D17" i="18"/>
  <c r="F14" i="18"/>
  <c r="B13" i="18"/>
  <c r="D12" i="18"/>
  <c r="F11" i="18"/>
  <c r="B11" i="18"/>
  <c r="D10" i="18"/>
  <c r="F9" i="18"/>
  <c r="B9" i="18"/>
  <c r="D8" i="18"/>
  <c r="F7" i="18"/>
  <c r="B7" i="18"/>
  <c r="D6" i="18"/>
  <c r="D67" i="18"/>
  <c r="F64" i="18"/>
  <c r="B62" i="18"/>
  <c r="D59" i="18"/>
  <c r="F56" i="18"/>
  <c r="B54" i="18"/>
  <c r="D51" i="18"/>
  <c r="F48" i="18"/>
  <c r="B46" i="18"/>
  <c r="D43" i="18"/>
  <c r="F40" i="18"/>
  <c r="B38" i="18"/>
  <c r="D35" i="18"/>
  <c r="F32" i="18"/>
  <c r="B30" i="18"/>
  <c r="D27" i="18"/>
  <c r="F24" i="18"/>
  <c r="B22" i="18"/>
  <c r="D19" i="18"/>
  <c r="F16" i="18"/>
  <c r="B14" i="18"/>
  <c r="G12" i="18"/>
  <c r="C12" i="18"/>
  <c r="E11" i="18"/>
  <c r="G10" i="18"/>
  <c r="C10" i="18"/>
  <c r="E9" i="18"/>
  <c r="G8" i="18"/>
  <c r="C8" i="18"/>
  <c r="E7" i="18"/>
  <c r="G6" i="18"/>
  <c r="C6" i="18"/>
  <c r="F66" i="18"/>
  <c r="B64" i="18"/>
  <c r="D61" i="18"/>
  <c r="F58" i="18"/>
  <c r="B56" i="18"/>
  <c r="D53" i="18"/>
  <c r="F50" i="18"/>
  <c r="B48" i="18"/>
  <c r="D45" i="18"/>
  <c r="F42" i="18"/>
  <c r="B40" i="18"/>
  <c r="D37" i="18"/>
  <c r="F34" i="18"/>
  <c r="B32" i="18"/>
  <c r="D29" i="18"/>
  <c r="F26" i="18"/>
  <c r="B24" i="18"/>
  <c r="D21" i="18"/>
  <c r="F18" i="18"/>
  <c r="B16" i="18"/>
  <c r="D13" i="18"/>
  <c r="F12" i="18"/>
  <c r="B12" i="18"/>
  <c r="D11" i="18"/>
  <c r="F10" i="18"/>
  <c r="B10" i="18"/>
  <c r="D9" i="18"/>
  <c r="F8" i="18"/>
  <c r="B8" i="18"/>
  <c r="D7" i="18"/>
  <c r="F6" i="18"/>
  <c r="B6" i="18"/>
</calcChain>
</file>

<file path=xl/sharedStrings.xml><?xml version="1.0" encoding="utf-8"?>
<sst xmlns="http://schemas.openxmlformats.org/spreadsheetml/2006/main" count="2953" uniqueCount="387">
  <si>
    <t>Players</t>
  </si>
  <si>
    <t>Legend: yellow cells = type here. Source: Splash Sports contest export (Aug 25, 2026). 14 players had no first/last name on file in that export - fill those in manually. 'Method' isn't tracked by Splash - fill in manually if you want it.</t>
  </si>
  <si>
    <t>Player ID</t>
  </si>
  <si>
    <t>First Name</t>
  </si>
  <si>
    <t>Last Name</t>
  </si>
  <si>
    <t>Display Name</t>
  </si>
  <si>
    <t>Email</t>
  </si>
  <si>
    <t>Paid?</t>
  </si>
  <si>
    <t>Method</t>
  </si>
  <si>
    <t>Amie</t>
  </si>
  <si>
    <t>Macdonald</t>
  </si>
  <si>
    <t>amie5550@gmail.com</t>
  </si>
  <si>
    <t>Y</t>
  </si>
  <si>
    <t>Andy</t>
  </si>
  <si>
    <t>Kempf</t>
  </si>
  <si>
    <t>akempf2@gmail.com</t>
  </si>
  <si>
    <t>Bryan</t>
  </si>
  <si>
    <t>Chauvin</t>
  </si>
  <si>
    <t>bchauvin73@gmail.com</t>
  </si>
  <si>
    <t>N</t>
  </si>
  <si>
    <t>Mink</t>
  </si>
  <si>
    <t>mink1371@gmail.com</t>
  </si>
  <si>
    <t>Charlie</t>
  </si>
  <si>
    <t>Fadoul</t>
  </si>
  <si>
    <t>cfadoul@yahoo.com</t>
  </si>
  <si>
    <t>Chris</t>
  </si>
  <si>
    <t>Pearsall</t>
  </si>
  <si>
    <t>christophermpearsall@yahoo.com</t>
  </si>
  <si>
    <t>Corey</t>
  </si>
  <si>
    <t>Howard</t>
  </si>
  <si>
    <t>c.howard1865@gmail.com</t>
  </si>
  <si>
    <t>Cori</t>
  </si>
  <si>
    <t>Padgett</t>
  </si>
  <si>
    <t>Corirambow@gmail.com</t>
  </si>
  <si>
    <t>Dan</t>
  </si>
  <si>
    <t>Bonner</t>
  </si>
  <si>
    <t>danielkbonner@gmail.com</t>
  </si>
  <si>
    <t>Lundy</t>
  </si>
  <si>
    <t>4thdownu@gmail.com</t>
  </si>
  <si>
    <t>Dave</t>
  </si>
  <si>
    <t>Hennington</t>
  </si>
  <si>
    <t>dhennington1975@gmail.com</t>
  </si>
  <si>
    <t>David</t>
  </si>
  <si>
    <t>Young</t>
  </si>
  <si>
    <t>dfy582@yahoo.com</t>
  </si>
  <si>
    <t>Dino</t>
  </si>
  <si>
    <t>Campanaro</t>
  </si>
  <si>
    <t>jdcampanaro@yahoo.com</t>
  </si>
  <si>
    <t>Dona</t>
  </si>
  <si>
    <t>Bockoven</t>
  </si>
  <si>
    <t>gonegolfin18@aol.com</t>
  </si>
  <si>
    <t>Dylan</t>
  </si>
  <si>
    <t>Gilmore</t>
  </si>
  <si>
    <t>drgilmore@imsa.com</t>
  </si>
  <si>
    <t>Evan</t>
  </si>
  <si>
    <t>Huston</t>
  </si>
  <si>
    <t>ehuston@imsa.com</t>
  </si>
  <si>
    <t>Gene</t>
  </si>
  <si>
    <t>Picaut</t>
  </si>
  <si>
    <t>gpicaut@aol.com</t>
  </si>
  <si>
    <t>Greyson</t>
  </si>
  <si>
    <t>Rossi</t>
  </si>
  <si>
    <t>greyrossi85@gmail.com</t>
  </si>
  <si>
    <t>James</t>
  </si>
  <si>
    <t>Mrnacaj</t>
  </si>
  <si>
    <t>jamesmrnacaj@gmail.com</t>
  </si>
  <si>
    <t>Jamie</t>
  </si>
  <si>
    <t>Zugelder</t>
  </si>
  <si>
    <t>jamie@babylonbee.com</t>
  </si>
  <si>
    <t>JC</t>
  </si>
  <si>
    <t>Blass</t>
  </si>
  <si>
    <t>jc.blass@yahoo.com</t>
  </si>
  <si>
    <t>Jeff</t>
  </si>
  <si>
    <t>Dudo</t>
  </si>
  <si>
    <t>jeffdudo3836@gmail.com</t>
  </si>
  <si>
    <t>Krall</t>
  </si>
  <si>
    <t>j_rkrall@msn.com</t>
  </si>
  <si>
    <t>Rehrmann</t>
  </si>
  <si>
    <t>jeffrehrmann@yahoo.com</t>
  </si>
  <si>
    <t>Jill</t>
  </si>
  <si>
    <t>Bosang</t>
  </si>
  <si>
    <t>jbosang@imsa.com</t>
  </si>
  <si>
    <t>Joel</t>
  </si>
  <si>
    <t>Greenstein</t>
  </si>
  <si>
    <t>jbgreenstein@gmail.com</t>
  </si>
  <si>
    <t>John</t>
  </si>
  <si>
    <t>jokempf@hotmail.com</t>
  </si>
  <si>
    <t>Tiberi</t>
  </si>
  <si>
    <t>jtiberi19@gmail.com</t>
  </si>
  <si>
    <t>Josh</t>
  </si>
  <si>
    <t>Hamilton</t>
  </si>
  <si>
    <t>joshahamilton@gmail.com</t>
  </si>
  <si>
    <t>Justin</t>
  </si>
  <si>
    <t>Sark</t>
  </si>
  <si>
    <t>justin.sark@yahoo.com</t>
  </si>
  <si>
    <t>Venmo 9/3</t>
  </si>
  <si>
    <t>Kaley</t>
  </si>
  <si>
    <t>Pettenger</t>
  </si>
  <si>
    <t>klpettenger@aol.com</t>
  </si>
  <si>
    <t>Kate</t>
  </si>
  <si>
    <t>katesark88@gmail.com</t>
  </si>
  <si>
    <t>Ken</t>
  </si>
  <si>
    <t>Lewis</t>
  </si>
  <si>
    <t>mrlouman3@hotmail.com</t>
  </si>
  <si>
    <t>Kyle</t>
  </si>
  <si>
    <t>Wolfersteig</t>
  </si>
  <si>
    <t>kwolfersteig86@gmail.com</t>
  </si>
  <si>
    <t>Lauren</t>
  </si>
  <si>
    <t>Crowe</t>
  </si>
  <si>
    <t>lfreed18@gmail.com</t>
  </si>
  <si>
    <t>llandau3@yahoo.com</t>
  </si>
  <si>
    <t>Lucas</t>
  </si>
  <si>
    <t>DeBella</t>
  </si>
  <si>
    <t>lucasdebella1@gmail.com</t>
  </si>
  <si>
    <t>Lynn</t>
  </si>
  <si>
    <t>kabrmom1214@aol.com</t>
  </si>
  <si>
    <t>Martin</t>
  </si>
  <si>
    <t>Jackson</t>
  </si>
  <si>
    <t>martingjackson@gmail.com</t>
  </si>
  <si>
    <t>Matt</t>
  </si>
  <si>
    <t>mbosang98@gmail.com</t>
  </si>
  <si>
    <t>Cabrera</t>
  </si>
  <si>
    <t>cabbiem@hotmail.com</t>
  </si>
  <si>
    <t>Max</t>
  </si>
  <si>
    <t>Rosier</t>
  </si>
  <si>
    <t>mrosier@imsa.com</t>
  </si>
  <si>
    <t>Merritt</t>
  </si>
  <si>
    <t>Eubanks</t>
  </si>
  <si>
    <t>Merritteubanks1@gmail.com</t>
  </si>
  <si>
    <t>Mike</t>
  </si>
  <si>
    <t>Barocas</t>
  </si>
  <si>
    <t>barocasm@yahoo.com</t>
  </si>
  <si>
    <t>mcampanaro888@gmail.com</t>
  </si>
  <si>
    <t>Nathan</t>
  </si>
  <si>
    <t>padgett.nathan@yahoo.com</t>
  </si>
  <si>
    <t>Nick</t>
  </si>
  <si>
    <t>npicaut86@gmail.com</t>
  </si>
  <si>
    <t>Oliver</t>
  </si>
  <si>
    <t>Winn</t>
  </si>
  <si>
    <t>bluehunter90@yahoo.com</t>
  </si>
  <si>
    <t>Pete</t>
  </si>
  <si>
    <t>Sobotka</t>
  </si>
  <si>
    <t>petersobotka32@gmail.com</t>
  </si>
  <si>
    <t>Richie</t>
  </si>
  <si>
    <t>puckstop62@aol.com</t>
  </si>
  <si>
    <t>Roger</t>
  </si>
  <si>
    <t>Lawson</t>
  </si>
  <si>
    <t>r.lawson234@yahoo.com</t>
  </si>
  <si>
    <t>Ryan</t>
  </si>
  <si>
    <t>Cooper</t>
  </si>
  <si>
    <t>rcooper2308@yahoo.com</t>
  </si>
  <si>
    <t>Tilev</t>
  </si>
  <si>
    <t>ryanstilev@gmail.com</t>
  </si>
  <si>
    <t>Stephanie</t>
  </si>
  <si>
    <t>stephhass90@gmail.com</t>
  </si>
  <si>
    <t>PayPal (via Mike C.)</t>
  </si>
  <si>
    <t>Taylor</t>
  </si>
  <si>
    <t>Mowid</t>
  </si>
  <si>
    <t>taylormowid@gmail.com</t>
  </si>
  <si>
    <t>Tom</t>
  </si>
  <si>
    <t>Bryant</t>
  </si>
  <si>
    <t>j.thomasbryant@yahoo.com</t>
  </si>
  <si>
    <t>Tucker</t>
  </si>
  <si>
    <t>Maletta</t>
  </si>
  <si>
    <t>ktownbaseball21@gmail.com</t>
  </si>
  <si>
    <t>Tye</t>
  </si>
  <si>
    <t>Edwards</t>
  </si>
  <si>
    <t>tye.edwards@dmedelivers.com</t>
  </si>
  <si>
    <t>Tyler</t>
  </si>
  <si>
    <t>Asher</t>
  </si>
  <si>
    <t>twacolts@aol.com</t>
  </si>
  <si>
    <t>Vicki</t>
  </si>
  <si>
    <t>nukemom@aol.com</t>
  </si>
  <si>
    <t>Games — 2026 Season</t>
  </si>
  <si>
    <t>13 weeks (Thu Sep 3, 2026 - Sat Nov 28, 2026), week before conference championships. Week 1 populated with confirmed matchups. Weeks 2-13: enter as each week's slate is set. TV Channel left blank where not yet confirmed - fill in when announced. Favorite/Underdog: spreads sourced from covers.com, locked in Thursday night before each week's games. True pick'em (0-point spread): the road team is designated the favorite.</t>
  </si>
  <si>
    <t>Week</t>
  </si>
  <si>
    <t>Game #</t>
  </si>
  <si>
    <t>Favorite</t>
  </si>
  <si>
    <t>Underdog</t>
  </si>
  <si>
    <t>Date</t>
  </si>
  <si>
    <t>Time</t>
  </si>
  <si>
    <t>TV Channel</t>
  </si>
  <si>
    <t>Home Team</t>
  </si>
  <si>
    <t>Georgia Tech</t>
  </si>
  <si>
    <t>Colorado</t>
  </si>
  <si>
    <t>8:00 PM</t>
  </si>
  <si>
    <t>ESPN</t>
  </si>
  <si>
    <t>Eastern Michigan</t>
  </si>
  <si>
    <t>San Jose State</t>
  </si>
  <si>
    <t>6:30 PM</t>
  </si>
  <si>
    <t>ESPN+</t>
  </si>
  <si>
    <t>James Madison</t>
  </si>
  <si>
    <t>Liberty</t>
  </si>
  <si>
    <t>12:00 PM</t>
  </si>
  <si>
    <t>ESPNU</t>
  </si>
  <si>
    <t>Cincinnati</t>
  </si>
  <si>
    <t>Boston College</t>
  </si>
  <si>
    <t>3:30 PM</t>
  </si>
  <si>
    <t>FOX</t>
  </si>
  <si>
    <t>Duke</t>
  </si>
  <si>
    <t>Tulane</t>
  </si>
  <si>
    <t>ACCN</t>
  </si>
  <si>
    <t>Auburn</t>
  </si>
  <si>
    <t>Baylor</t>
  </si>
  <si>
    <t>ABC</t>
  </si>
  <si>
    <t>Neutral - Atlanta, GA (Mercedes-Benz Stadium)</t>
  </si>
  <si>
    <t>Colorado State</t>
  </si>
  <si>
    <t>Wyoming</t>
  </si>
  <si>
    <t>6:00 PM</t>
  </si>
  <si>
    <t>USA</t>
  </si>
  <si>
    <t>LSU</t>
  </si>
  <si>
    <t>Clemson</t>
  </si>
  <si>
    <t>7:30 PM</t>
  </si>
  <si>
    <t>UNLV</t>
  </si>
  <si>
    <t>Hawai'i</t>
  </si>
  <si>
    <t>10:00 PM</t>
  </si>
  <si>
    <t>CW</t>
  </si>
  <si>
    <t>UCLA</t>
  </si>
  <si>
    <t>California</t>
  </si>
  <si>
    <t>10:30 PM</t>
  </si>
  <si>
    <t>Western Kentucky</t>
  </si>
  <si>
    <t>Nevada</t>
  </si>
  <si>
    <t>CBSSN</t>
  </si>
  <si>
    <t>Ole Miss</t>
  </si>
  <si>
    <t>Louisville</t>
  </si>
  <si>
    <t>Neutral - Nashville, TN (Nissan Stadium)</t>
  </si>
  <si>
    <t>SMU</t>
  </si>
  <si>
    <t>Florida State</t>
  </si>
  <si>
    <t>Rutgers</t>
  </si>
  <si>
    <t>ESPN2</t>
  </si>
  <si>
    <t>Missouri</t>
  </si>
  <si>
    <t>Kansas</t>
  </si>
  <si>
    <t>Oklahoma</t>
  </si>
  <si>
    <t>Michigan</t>
  </si>
  <si>
    <t>Wake Forest</t>
  </si>
  <si>
    <t>Purdue</t>
  </si>
  <si>
    <t>FS1</t>
  </si>
  <si>
    <t>Army</t>
  </si>
  <si>
    <t>South Florida</t>
  </si>
  <si>
    <t>Mississippi State</t>
  </si>
  <si>
    <t>Minnesota</t>
  </si>
  <si>
    <t>CBS</t>
  </si>
  <si>
    <t>Syracuse</t>
  </si>
  <si>
    <t>ACC Network</t>
  </si>
  <si>
    <t>Illinois</t>
  </si>
  <si>
    <t>Pitt</t>
  </si>
  <si>
    <t>UCF</t>
  </si>
  <si>
    <t>BYU</t>
  </si>
  <si>
    <t>Arizona</t>
  </si>
  <si>
    <t>Navy</t>
  </si>
  <si>
    <t>Florida Atlantic</t>
  </si>
  <si>
    <t>Texas</t>
  </si>
  <si>
    <t>Ohio State</t>
  </si>
  <si>
    <t>North Dakota State</t>
  </si>
  <si>
    <t>Air Force</t>
  </si>
  <si>
    <t>Texas Tech</t>
  </si>
  <si>
    <t>Houston</t>
  </si>
  <si>
    <t>North Carolina</t>
  </si>
  <si>
    <t>Arizona State</t>
  </si>
  <si>
    <t>Neutral - London, England (Wembley Stadium)</t>
  </si>
  <si>
    <t>Texas State</t>
  </si>
  <si>
    <t>North Texas</t>
  </si>
  <si>
    <t>Vanderbilt</t>
  </si>
  <si>
    <t>NC State</t>
  </si>
  <si>
    <t>12:45 PM</t>
  </si>
  <si>
    <t>SEC Network</t>
  </si>
  <si>
    <t>South Carolina</t>
  </si>
  <si>
    <t>4:15 PM</t>
  </si>
  <si>
    <t>Northwestern</t>
  </si>
  <si>
    <t>Florida</t>
  </si>
  <si>
    <t>7:00 PM</t>
  </si>
  <si>
    <t>Virginia Tech</t>
  </si>
  <si>
    <t>Maryland</t>
  </si>
  <si>
    <t>Virginia</t>
  </si>
  <si>
    <t>West Virginia</t>
  </si>
  <si>
    <t>Neutral - Charlotte, NC (Bank of America Stadium)</t>
  </si>
  <si>
    <t>San Diego State</t>
  </si>
  <si>
    <t>Picks — Week 1</t>
  </si>
  <si>
    <t>Sorted alphabetically by first name. Yellow cells = type here. Pick columns are dropdowns (Favorite/Underdog team). 2PT columns: enter the game # (1-13) for each of the 3 games this player doubled.</t>
  </si>
  <si>
    <t>Player</t>
  </si>
  <si>
    <t>2PT Game #1</t>
  </si>
  <si>
    <t>2PT Game #2</t>
  </si>
  <si>
    <t>2PT Game #3</t>
  </si>
  <si>
    <t>Tiebreaker Guess</t>
  </si>
  <si>
    <t>Game 1 Pts</t>
  </si>
  <si>
    <t>Game 2 Pts</t>
  </si>
  <si>
    <t>Game 3 Pts</t>
  </si>
  <si>
    <t>Game 4 Pts</t>
  </si>
  <si>
    <t>Game 5 Pts</t>
  </si>
  <si>
    <t>Game 6 Pts</t>
  </si>
  <si>
    <t>Game 7 Pts</t>
  </si>
  <si>
    <t>Game 8 Pts</t>
  </si>
  <si>
    <t>Game 9 Pts</t>
  </si>
  <si>
    <t>Game 10 Pts</t>
  </si>
  <si>
    <t>Game 11 Pts</t>
  </si>
  <si>
    <t>Game 12 Pts</t>
  </si>
  <si>
    <t>Game 13 Pts</t>
  </si>
  <si>
    <t>Week Total</t>
  </si>
  <si>
    <t>TB Diff (helper)</t>
  </si>
  <si>
    <t>Player ID (helper)</t>
  </si>
  <si>
    <t>G1 Upset Correct?</t>
  </si>
  <si>
    <t>G2 Upset Correct?</t>
  </si>
  <si>
    <t>G3 Upset Correct?</t>
  </si>
  <si>
    <t>G4 Upset Correct?</t>
  </si>
  <si>
    <t>G5 Upset Correct?</t>
  </si>
  <si>
    <t>G6 Upset Correct?</t>
  </si>
  <si>
    <t>G7 Upset Correct?</t>
  </si>
  <si>
    <t>G8 Upset Correct?</t>
  </si>
  <si>
    <t>G9 Upset Correct?</t>
  </si>
  <si>
    <t>G10 Upset Correct?</t>
  </si>
  <si>
    <t>G11 Upset Correct?</t>
  </si>
  <si>
    <t>G12 Upset Correct?</t>
  </si>
  <si>
    <t>G13 Upset Correct?</t>
  </si>
  <si>
    <t>Weekly Upsets Correct</t>
  </si>
  <si>
    <t>NO PICK</t>
  </si>
  <si>
    <t>Picks — Week 2</t>
  </si>
  <si>
    <t>Picks — Week 3</t>
  </si>
  <si>
    <t>Picks — Week 4</t>
  </si>
  <si>
    <t>Picks — Week 5</t>
  </si>
  <si>
    <t>Picks — Week 6</t>
  </si>
  <si>
    <t>Picks — Week 7</t>
  </si>
  <si>
    <t>Picks — Week 8</t>
  </si>
  <si>
    <t>Picks — Week 9</t>
  </si>
  <si>
    <t>Picks — Week 10</t>
  </si>
  <si>
    <t>Picks — Week 11</t>
  </si>
  <si>
    <t>Picks — Week 12</t>
  </si>
  <si>
    <t>Picks — Week 13</t>
  </si>
  <si>
    <t>Results</t>
  </si>
  <si>
    <t>Yellow cells = type here. Enter which team (Favorite/Underdog) won each game, and the actual combined tiebreaker score, once a week is final.</t>
  </si>
  <si>
    <t>Game 1 Winner</t>
  </si>
  <si>
    <t>Game 2 Winner</t>
  </si>
  <si>
    <t>Game 3 Winner</t>
  </si>
  <si>
    <t>Game 4 Winner</t>
  </si>
  <si>
    <t>Game 5 Winner</t>
  </si>
  <si>
    <t>Game 6 Winner</t>
  </si>
  <si>
    <t>Game 7 Winner</t>
  </si>
  <si>
    <t>Game 8 Winner</t>
  </si>
  <si>
    <t>Game 9 Winner</t>
  </si>
  <si>
    <t>Game 10 Winner</t>
  </si>
  <si>
    <t>Game 11 Winner</t>
  </si>
  <si>
    <t>Game 12 Winner</t>
  </si>
  <si>
    <t>Game 13 Winner</t>
  </si>
  <si>
    <t>Tiebreaker Actual</t>
  </si>
  <si>
    <t>G1 Upset?</t>
  </si>
  <si>
    <t>G2 Upset?</t>
  </si>
  <si>
    <t>G3 Upset?</t>
  </si>
  <si>
    <t>G4 Upset?</t>
  </si>
  <si>
    <t>G5 Upset?</t>
  </si>
  <si>
    <t>G6 Upset?</t>
  </si>
  <si>
    <t>G7 Upset?</t>
  </si>
  <si>
    <t>G8 Upset?</t>
  </si>
  <si>
    <t>G9 Upset?</t>
  </si>
  <si>
    <t>G10 Upset?</t>
  </si>
  <si>
    <t>G11 Upset?</t>
  </si>
  <si>
    <t>G12 Upset?</t>
  </si>
  <si>
    <t>G13 Upset?</t>
  </si>
  <si>
    <t>Upsets This Week</t>
  </si>
  <si>
    <t>Week Summary (helper — used to determine each week's winner; do not edit)</t>
  </si>
  <si>
    <t>Max Score</t>
  </si>
  <si>
    <t>Min TB Diff (among max scorers)</t>
  </si>
  <si>
    <t>Total Season Upsets (all players' denominator):</t>
  </si>
  <si>
    <t>Scoring</t>
  </si>
  <si>
    <t>Fully formula-driven. Sort Key (col S) = Season Total + Upset% tiebreaker, used by the Standings tab to rank without manual sorting.</t>
  </si>
  <si>
    <t>Wk1 Pts</t>
  </si>
  <si>
    <t>Wk2 Pts</t>
  </si>
  <si>
    <t>Wk3 Pts</t>
  </si>
  <si>
    <t>Wk4 Pts</t>
  </si>
  <si>
    <t>Wk5 Pts</t>
  </si>
  <si>
    <t>Wk6 Pts</t>
  </si>
  <si>
    <t>Wk7 Pts</t>
  </si>
  <si>
    <t>Wk8 Pts</t>
  </si>
  <si>
    <t>Wk9 Pts</t>
  </si>
  <si>
    <t>Wk10 Pts</t>
  </si>
  <si>
    <t>Wk11 Pts</t>
  </si>
  <si>
    <t>Wk12 Pts</t>
  </si>
  <si>
    <t>Wk13 Pts</t>
  </si>
  <si>
    <t>Season Total</t>
  </si>
  <si>
    <t>Weeks Won</t>
  </si>
  <si>
    <t>Best Week</t>
  </si>
  <si>
    <t>Worst Week</t>
  </si>
  <si>
    <t>Sort Key (helper)</t>
  </si>
  <si>
    <t>Upsets Correct</t>
  </si>
  <si>
    <t>Upset %</t>
  </si>
  <si>
    <t>Standings</t>
  </si>
  <si>
    <t>Ranked by Season Total. Ties are broken by Underdog % (per league rules) — the % of the season's upsets each player correctly predicted. Weeks Won/Best/Worst are informational only and don't affect ranking.</t>
  </si>
  <si>
    <t>Rank</t>
  </si>
  <si>
    <t>Underdog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</si>
</sst>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yyyy\-mm\-dd\ h:mm:ss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2937"/>
      <name val="Arial"/>
      <charset val="1"/>
    </font>
    <font>
      <i/>
      <sz val="9"/>
      <color rgb="FF6B728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DE7"/>
        <bgColor rgb="FFFFFFFF"/>
      </patternFill>
    </fill>
    <fill>
      <patternFill patternType="solid">
        <fgColor rgb="FFE5E7EB"/>
        <bgColor rgb="FFD1D5D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  <xf numFmtId="165" fontId="0" fillId="3" borderId="1" xfId="0" applyNumberFormat="1" applyFill="1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4" fillId="0" borderId="0" xfId="0" applyFont="1"/>
    <xf numFmtId="0" fontId="4" fillId="4" borderId="1" xfId="0" applyFont="1" applyFill="1" applyBorder="1"/>
    <xf numFmtId="0" fontId="6" fillId="4" borderId="1" xfId="0" applyFont="1" applyFill="1" applyBorder="1"/>
    <xf numFmtId="0" fontId="4" fillId="4" borderId="0" xfId="0" applyFont="1" applyFill="1"/>
    <xf numFmtId="0" fontId="7" fillId="0" borderId="0" xfId="0" applyFont="1"/>
    <xf numFmtId="166" fontId="4" fillId="0" borderId="1" xfId="0" applyNumberFormat="1" applyFont="1" applyBorder="1"/>
    <xf numFmtId="0" fontId="6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3" width="14" customWidth="1"/>
    <col min="4" max="4" width="16" customWidth="1"/>
    <col min="5" max="5" width="26" customWidth="1"/>
    <col min="6" max="6" width="8" customWidth="1"/>
    <col min="7" max="7" width="14" customWidth="1"/>
    <col min="8" max="8" width="18" customWidth="1"/>
  </cols>
  <sheetData>
    <row r="1" spans="1:8" ht="17.25" customHeight="1" x14ac:dyDescent="0.25">
      <c r="A1" s="2" t="s">
        <v>0</v>
      </c>
    </row>
    <row r="2" spans="1:8" ht="15" customHeight="1" x14ac:dyDescent="0.25">
      <c r="A2" s="19" t="s">
        <v>1</v>
      </c>
      <c r="B2" s="19"/>
      <c r="C2" s="19"/>
      <c r="D2" s="19"/>
      <c r="E2" s="19"/>
      <c r="F2" s="19"/>
      <c r="G2" s="19"/>
      <c r="H2" s="19"/>
    </row>
    <row r="4" spans="1:8" ht="15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8" ht="15" customHeight="1" x14ac:dyDescent="0.25">
      <c r="A5" s="4"/>
      <c r="B5" s="4"/>
      <c r="C5" s="4"/>
      <c r="D5" s="4"/>
      <c r="E5" s="4"/>
      <c r="F5" s="4"/>
      <c r="G5" s="4"/>
    </row>
    <row r="6" spans="1:8" ht="15" customHeight="1" x14ac:dyDescent="0.25">
      <c r="A6" s="5">
        <v>2</v>
      </c>
      <c r="B6" s="5" t="s">
        <v>9</v>
      </c>
      <c r="C6" s="5" t="s">
        <v>10</v>
      </c>
      <c r="D6" s="5" t="str">
        <f t="shared" ref="D6:D37" si="0">IF(B6&lt;&gt;"",B6&amp;" "&amp;LEFT(C6,1)&amp;".","")</f>
        <v>Amie M.</v>
      </c>
      <c r="E6" s="5" t="s">
        <v>11</v>
      </c>
      <c r="F6" s="5" t="s">
        <v>12</v>
      </c>
      <c r="G6" s="5"/>
    </row>
    <row r="7" spans="1:8" ht="15" customHeight="1" x14ac:dyDescent="0.25">
      <c r="A7" s="5">
        <v>53</v>
      </c>
      <c r="B7" s="5" t="s">
        <v>13</v>
      </c>
      <c r="C7" s="5" t="s">
        <v>14</v>
      </c>
      <c r="D7" s="5" t="str">
        <f t="shared" si="0"/>
        <v>Andy K.</v>
      </c>
      <c r="E7" s="5" t="s">
        <v>15</v>
      </c>
      <c r="F7" s="5" t="s">
        <v>12</v>
      </c>
      <c r="G7" s="5"/>
    </row>
    <row r="8" spans="1:8" ht="15" customHeight="1" x14ac:dyDescent="0.25">
      <c r="A8" s="5">
        <v>61</v>
      </c>
      <c r="B8" s="5" t="s">
        <v>16</v>
      </c>
      <c r="C8" s="5" t="s">
        <v>17</v>
      </c>
      <c r="D8" s="5" t="str">
        <f t="shared" si="0"/>
        <v>Bryan C.</v>
      </c>
      <c r="E8" s="5" t="s">
        <v>18</v>
      </c>
      <c r="F8" s="5" t="s">
        <v>19</v>
      </c>
      <c r="G8" s="5"/>
    </row>
    <row r="9" spans="1:8" ht="15" customHeight="1" x14ac:dyDescent="0.25">
      <c r="A9" s="5">
        <v>41</v>
      </c>
      <c r="B9" s="5" t="s">
        <v>16</v>
      </c>
      <c r="C9" s="5" t="s">
        <v>20</v>
      </c>
      <c r="D9" s="5" t="str">
        <f t="shared" si="0"/>
        <v>Bryan M.</v>
      </c>
      <c r="E9" s="5" t="s">
        <v>21</v>
      </c>
      <c r="F9" s="5" t="s">
        <v>12</v>
      </c>
      <c r="G9" s="5"/>
    </row>
    <row r="10" spans="1:8" ht="15" customHeight="1" x14ac:dyDescent="0.25">
      <c r="A10" s="5">
        <v>3</v>
      </c>
      <c r="B10" s="5" t="s">
        <v>22</v>
      </c>
      <c r="C10" s="5" t="s">
        <v>23</v>
      </c>
      <c r="D10" s="5" t="str">
        <f t="shared" si="0"/>
        <v>Charlie F.</v>
      </c>
      <c r="E10" s="5" t="s">
        <v>24</v>
      </c>
      <c r="F10" s="5" t="s">
        <v>12</v>
      </c>
      <c r="G10" s="5"/>
    </row>
    <row r="11" spans="1:8" ht="15" customHeight="1" x14ac:dyDescent="0.25">
      <c r="A11" s="5">
        <v>58</v>
      </c>
      <c r="B11" s="5" t="s">
        <v>25</v>
      </c>
      <c r="C11" s="5" t="s">
        <v>26</v>
      </c>
      <c r="D11" s="5" t="str">
        <f t="shared" si="0"/>
        <v>Chris P.</v>
      </c>
      <c r="E11" s="5" t="s">
        <v>27</v>
      </c>
      <c r="F11" s="5" t="s">
        <v>19</v>
      </c>
      <c r="G11" s="5"/>
    </row>
    <row r="12" spans="1:8" ht="15" customHeight="1" x14ac:dyDescent="0.25">
      <c r="A12" s="5">
        <v>4</v>
      </c>
      <c r="B12" s="5" t="s">
        <v>28</v>
      </c>
      <c r="C12" s="5" t="s">
        <v>29</v>
      </c>
      <c r="D12" s="5" t="str">
        <f t="shared" si="0"/>
        <v>Corey H.</v>
      </c>
      <c r="E12" s="5" t="s">
        <v>30</v>
      </c>
      <c r="F12" s="5" t="s">
        <v>12</v>
      </c>
      <c r="G12" s="5"/>
    </row>
    <row r="13" spans="1:8" ht="15" customHeight="1" x14ac:dyDescent="0.25">
      <c r="A13" s="5">
        <v>57</v>
      </c>
      <c r="B13" s="5" t="s">
        <v>31</v>
      </c>
      <c r="C13" s="5" t="s">
        <v>32</v>
      </c>
      <c r="D13" s="5" t="str">
        <f t="shared" si="0"/>
        <v>Cori P.</v>
      </c>
      <c r="E13" s="5" t="s">
        <v>33</v>
      </c>
      <c r="F13" s="5" t="s">
        <v>12</v>
      </c>
      <c r="G13" s="5"/>
    </row>
    <row r="14" spans="1:8" ht="15" customHeight="1" x14ac:dyDescent="0.25">
      <c r="A14" s="5">
        <v>6</v>
      </c>
      <c r="B14" s="5" t="s">
        <v>34</v>
      </c>
      <c r="C14" s="5" t="s">
        <v>35</v>
      </c>
      <c r="D14" s="5" t="str">
        <f t="shared" si="0"/>
        <v>Dan B.</v>
      </c>
      <c r="E14" s="5" t="s">
        <v>36</v>
      </c>
      <c r="F14" s="5" t="s">
        <v>12</v>
      </c>
      <c r="G14" s="5"/>
    </row>
    <row r="15" spans="1:8" ht="15" customHeight="1" x14ac:dyDescent="0.25">
      <c r="A15" s="5">
        <v>5</v>
      </c>
      <c r="B15" s="5" t="s">
        <v>34</v>
      </c>
      <c r="C15" s="5" t="s">
        <v>37</v>
      </c>
      <c r="D15" s="5" t="str">
        <f t="shared" si="0"/>
        <v>Dan L.</v>
      </c>
      <c r="E15" s="5" t="s">
        <v>38</v>
      </c>
      <c r="F15" s="5" t="s">
        <v>12</v>
      </c>
      <c r="G15" s="5"/>
    </row>
    <row r="16" spans="1:8" ht="15" customHeight="1" x14ac:dyDescent="0.25">
      <c r="A16" s="5">
        <v>8</v>
      </c>
      <c r="B16" s="5" t="s">
        <v>39</v>
      </c>
      <c r="C16" s="5" t="s">
        <v>40</v>
      </c>
      <c r="D16" s="5" t="str">
        <f t="shared" si="0"/>
        <v>Dave H.</v>
      </c>
      <c r="E16" s="5" t="s">
        <v>41</v>
      </c>
      <c r="F16" s="5" t="s">
        <v>12</v>
      </c>
      <c r="G16" s="5"/>
    </row>
    <row r="17" spans="1:7" ht="15" customHeight="1" x14ac:dyDescent="0.25">
      <c r="A17" s="5">
        <v>7</v>
      </c>
      <c r="B17" s="5" t="s">
        <v>42</v>
      </c>
      <c r="C17" s="5" t="s">
        <v>43</v>
      </c>
      <c r="D17" s="5" t="str">
        <f t="shared" si="0"/>
        <v>David Y.</v>
      </c>
      <c r="E17" s="5" t="s">
        <v>44</v>
      </c>
      <c r="F17" s="5" t="s">
        <v>12</v>
      </c>
      <c r="G17" s="5"/>
    </row>
    <row r="18" spans="1:7" ht="15" customHeight="1" x14ac:dyDescent="0.25">
      <c r="A18" s="5">
        <v>37</v>
      </c>
      <c r="B18" s="5" t="s">
        <v>45</v>
      </c>
      <c r="C18" s="5" t="s">
        <v>46</v>
      </c>
      <c r="D18" s="5" t="str">
        <f t="shared" si="0"/>
        <v>Dino C.</v>
      </c>
      <c r="E18" s="5" t="s">
        <v>47</v>
      </c>
      <c r="F18" s="5" t="s">
        <v>12</v>
      </c>
      <c r="G18" s="5"/>
    </row>
    <row r="19" spans="1:7" ht="15" customHeight="1" x14ac:dyDescent="0.25">
      <c r="A19" s="5">
        <v>26</v>
      </c>
      <c r="B19" s="5" t="s">
        <v>48</v>
      </c>
      <c r="C19" s="5" t="s">
        <v>49</v>
      </c>
      <c r="D19" s="5" t="str">
        <f t="shared" si="0"/>
        <v>Dona B.</v>
      </c>
      <c r="E19" s="5" t="s">
        <v>50</v>
      </c>
      <c r="F19" s="5" t="s">
        <v>12</v>
      </c>
      <c r="G19" s="5"/>
    </row>
    <row r="20" spans="1:7" ht="15" customHeight="1" x14ac:dyDescent="0.25">
      <c r="A20" s="5">
        <v>52</v>
      </c>
      <c r="B20" s="5" t="s">
        <v>51</v>
      </c>
      <c r="C20" s="5" t="s">
        <v>52</v>
      </c>
      <c r="D20" s="5" t="str">
        <f t="shared" si="0"/>
        <v>Dylan G.</v>
      </c>
      <c r="E20" s="5" t="s">
        <v>53</v>
      </c>
      <c r="F20" s="5" t="s">
        <v>12</v>
      </c>
      <c r="G20" s="5"/>
    </row>
    <row r="21" spans="1:7" ht="15" customHeight="1" x14ac:dyDescent="0.25">
      <c r="A21" s="5">
        <v>9</v>
      </c>
      <c r="B21" s="5" t="s">
        <v>54</v>
      </c>
      <c r="C21" s="5" t="s">
        <v>55</v>
      </c>
      <c r="D21" s="5" t="str">
        <f t="shared" si="0"/>
        <v>Evan H.</v>
      </c>
      <c r="E21" s="5" t="s">
        <v>56</v>
      </c>
      <c r="F21" s="5" t="s">
        <v>12</v>
      </c>
      <c r="G21" s="5"/>
    </row>
    <row r="22" spans="1:7" ht="15" customHeight="1" x14ac:dyDescent="0.25">
      <c r="A22" s="5">
        <v>10</v>
      </c>
      <c r="B22" s="5" t="s">
        <v>57</v>
      </c>
      <c r="C22" s="5" t="s">
        <v>58</v>
      </c>
      <c r="D22" s="5" t="str">
        <f t="shared" si="0"/>
        <v>Gene P.</v>
      </c>
      <c r="E22" s="5" t="s">
        <v>59</v>
      </c>
      <c r="F22" s="5" t="s">
        <v>12</v>
      </c>
      <c r="G22" s="5"/>
    </row>
    <row r="23" spans="1:7" ht="15" customHeight="1" x14ac:dyDescent="0.25">
      <c r="A23" s="5">
        <v>55</v>
      </c>
      <c r="B23" s="5" t="s">
        <v>60</v>
      </c>
      <c r="C23" s="5" t="s">
        <v>61</v>
      </c>
      <c r="D23" s="5" t="str">
        <f t="shared" si="0"/>
        <v>Greyson R.</v>
      </c>
      <c r="E23" s="5" t="s">
        <v>62</v>
      </c>
      <c r="F23" s="5" t="s">
        <v>12</v>
      </c>
      <c r="G23" s="5"/>
    </row>
    <row r="24" spans="1:7" ht="15" customHeight="1" x14ac:dyDescent="0.25">
      <c r="A24" s="5">
        <v>47</v>
      </c>
      <c r="B24" s="5" t="s">
        <v>63</v>
      </c>
      <c r="C24" s="5" t="s">
        <v>64</v>
      </c>
      <c r="D24" s="5" t="str">
        <f t="shared" si="0"/>
        <v>James M.</v>
      </c>
      <c r="E24" s="5" t="s">
        <v>65</v>
      </c>
      <c r="F24" s="5" t="s">
        <v>12</v>
      </c>
      <c r="G24" s="5"/>
    </row>
    <row r="25" spans="1:7" ht="15" customHeight="1" x14ac:dyDescent="0.25">
      <c r="A25" s="5">
        <v>54</v>
      </c>
      <c r="B25" s="5" t="s">
        <v>66</v>
      </c>
      <c r="C25" s="5" t="s">
        <v>67</v>
      </c>
      <c r="D25" s="5" t="str">
        <f t="shared" si="0"/>
        <v>Jamie Z.</v>
      </c>
      <c r="E25" s="5" t="s">
        <v>68</v>
      </c>
      <c r="F25" s="5" t="s">
        <v>12</v>
      </c>
      <c r="G25" s="5"/>
    </row>
    <row r="26" spans="1:7" ht="15" customHeight="1" x14ac:dyDescent="0.25">
      <c r="A26" s="5">
        <v>48</v>
      </c>
      <c r="B26" s="5" t="s">
        <v>69</v>
      </c>
      <c r="C26" s="5" t="s">
        <v>70</v>
      </c>
      <c r="D26" s="5" t="str">
        <f t="shared" si="0"/>
        <v>JC B.</v>
      </c>
      <c r="E26" s="5" t="s">
        <v>71</v>
      </c>
      <c r="F26" s="5" t="s">
        <v>12</v>
      </c>
      <c r="G26" s="5"/>
    </row>
    <row r="27" spans="1:7" ht="15" customHeight="1" x14ac:dyDescent="0.25">
      <c r="A27" s="5">
        <v>38</v>
      </c>
      <c r="B27" s="5" t="s">
        <v>72</v>
      </c>
      <c r="C27" s="5" t="s">
        <v>73</v>
      </c>
      <c r="D27" s="5" t="str">
        <f t="shared" si="0"/>
        <v>Jeff D.</v>
      </c>
      <c r="E27" s="5" t="s">
        <v>74</v>
      </c>
      <c r="F27" s="5" t="s">
        <v>12</v>
      </c>
      <c r="G27" s="5"/>
    </row>
    <row r="28" spans="1:7" ht="15" customHeight="1" x14ac:dyDescent="0.25">
      <c r="A28" s="5">
        <v>60</v>
      </c>
      <c r="B28" s="5" t="s">
        <v>72</v>
      </c>
      <c r="C28" s="5" t="s">
        <v>75</v>
      </c>
      <c r="D28" s="5" t="str">
        <f t="shared" si="0"/>
        <v>Jeff K.</v>
      </c>
      <c r="E28" s="5" t="s">
        <v>76</v>
      </c>
      <c r="F28" s="5" t="s">
        <v>19</v>
      </c>
      <c r="G28" s="5"/>
    </row>
    <row r="29" spans="1:7" ht="15" customHeight="1" x14ac:dyDescent="0.25">
      <c r="A29" s="5">
        <v>11</v>
      </c>
      <c r="B29" s="5" t="s">
        <v>72</v>
      </c>
      <c r="C29" s="5" t="s">
        <v>77</v>
      </c>
      <c r="D29" s="5" t="str">
        <f t="shared" si="0"/>
        <v>Jeff R.</v>
      </c>
      <c r="E29" s="5" t="s">
        <v>78</v>
      </c>
      <c r="F29" s="5" t="s">
        <v>12</v>
      </c>
      <c r="G29" s="5"/>
    </row>
    <row r="30" spans="1:7" ht="15" customHeight="1" x14ac:dyDescent="0.25">
      <c r="A30" s="5">
        <v>12</v>
      </c>
      <c r="B30" s="5" t="s">
        <v>79</v>
      </c>
      <c r="C30" s="5" t="s">
        <v>80</v>
      </c>
      <c r="D30" s="5" t="str">
        <f t="shared" si="0"/>
        <v>Jill B.</v>
      </c>
      <c r="E30" s="5" t="s">
        <v>81</v>
      </c>
      <c r="F30" s="5" t="s">
        <v>12</v>
      </c>
      <c r="G30" s="5"/>
    </row>
    <row r="31" spans="1:7" ht="15" customHeight="1" x14ac:dyDescent="0.25">
      <c r="A31" s="5">
        <v>13</v>
      </c>
      <c r="B31" s="5" t="s">
        <v>82</v>
      </c>
      <c r="C31" s="5" t="s">
        <v>83</v>
      </c>
      <c r="D31" s="5" t="str">
        <f t="shared" si="0"/>
        <v>Joel G.</v>
      </c>
      <c r="E31" s="5" t="s">
        <v>84</v>
      </c>
      <c r="F31" s="5" t="s">
        <v>12</v>
      </c>
      <c r="G31" s="5"/>
    </row>
    <row r="32" spans="1:7" ht="15" customHeight="1" x14ac:dyDescent="0.25">
      <c r="A32" s="5">
        <v>14</v>
      </c>
      <c r="B32" s="5" t="s">
        <v>85</v>
      </c>
      <c r="C32" s="5" t="s">
        <v>14</v>
      </c>
      <c r="D32" s="5" t="str">
        <f t="shared" si="0"/>
        <v>John K.</v>
      </c>
      <c r="E32" s="5" t="s">
        <v>86</v>
      </c>
      <c r="F32" s="5" t="s">
        <v>12</v>
      </c>
      <c r="G32" s="5"/>
    </row>
    <row r="33" spans="1:7" ht="15" customHeight="1" x14ac:dyDescent="0.25">
      <c r="A33" s="5">
        <v>15</v>
      </c>
      <c r="B33" s="5" t="s">
        <v>85</v>
      </c>
      <c r="C33" s="5" t="s">
        <v>87</v>
      </c>
      <c r="D33" s="5" t="str">
        <f t="shared" si="0"/>
        <v>John T.</v>
      </c>
      <c r="E33" s="5" t="s">
        <v>88</v>
      </c>
      <c r="F33" s="5" t="s">
        <v>12</v>
      </c>
      <c r="G33" s="5"/>
    </row>
    <row r="34" spans="1:7" ht="15" customHeight="1" x14ac:dyDescent="0.25">
      <c r="A34" s="5">
        <v>16</v>
      </c>
      <c r="B34" s="5" t="s">
        <v>89</v>
      </c>
      <c r="C34" s="5" t="s">
        <v>90</v>
      </c>
      <c r="D34" s="5" t="str">
        <f t="shared" si="0"/>
        <v>Josh H.</v>
      </c>
      <c r="E34" s="5" t="s">
        <v>91</v>
      </c>
      <c r="F34" s="5" t="s">
        <v>12</v>
      </c>
      <c r="G34" s="5"/>
    </row>
    <row r="35" spans="1:7" ht="15" customHeight="1" x14ac:dyDescent="0.25">
      <c r="A35" s="5">
        <v>17</v>
      </c>
      <c r="B35" s="5" t="s">
        <v>92</v>
      </c>
      <c r="C35" s="5" t="s">
        <v>93</v>
      </c>
      <c r="D35" s="5" t="str">
        <f t="shared" si="0"/>
        <v>Justin S.</v>
      </c>
      <c r="E35" s="5" t="s">
        <v>94</v>
      </c>
      <c r="F35" s="5" t="s">
        <v>12</v>
      </c>
      <c r="G35" s="5" t="s">
        <v>95</v>
      </c>
    </row>
    <row r="36" spans="1:7" ht="15" customHeight="1" x14ac:dyDescent="0.25">
      <c r="A36" s="5">
        <v>39</v>
      </c>
      <c r="B36" s="5" t="s">
        <v>96</v>
      </c>
      <c r="C36" s="5" t="s">
        <v>97</v>
      </c>
      <c r="D36" s="5" t="str">
        <f t="shared" si="0"/>
        <v>Kaley P.</v>
      </c>
      <c r="E36" s="5" t="s">
        <v>98</v>
      </c>
      <c r="F36" s="5" t="s">
        <v>12</v>
      </c>
      <c r="G36" s="5"/>
    </row>
    <row r="37" spans="1:7" ht="15" customHeight="1" x14ac:dyDescent="0.25">
      <c r="A37" s="5">
        <v>49</v>
      </c>
      <c r="B37" s="5" t="s">
        <v>99</v>
      </c>
      <c r="C37" s="5" t="s">
        <v>93</v>
      </c>
      <c r="D37" s="5" t="str">
        <f t="shared" si="0"/>
        <v>Kate S.</v>
      </c>
      <c r="E37" s="5" t="s">
        <v>100</v>
      </c>
      <c r="F37" s="5" t="s">
        <v>12</v>
      </c>
      <c r="G37" s="5"/>
    </row>
    <row r="38" spans="1:7" ht="15" customHeight="1" x14ac:dyDescent="0.25">
      <c r="A38" s="5">
        <v>18</v>
      </c>
      <c r="B38" s="5" t="s">
        <v>101</v>
      </c>
      <c r="C38" s="5" t="s">
        <v>102</v>
      </c>
      <c r="D38" s="5" t="str">
        <f t="shared" ref="D38:D69" si="1">IF(B38&lt;&gt;"",B38&amp;" "&amp;LEFT(C38,1)&amp;".","")</f>
        <v>Ken L.</v>
      </c>
      <c r="E38" s="5" t="s">
        <v>103</v>
      </c>
      <c r="F38" s="5" t="s">
        <v>12</v>
      </c>
      <c r="G38" s="5"/>
    </row>
    <row r="39" spans="1:7" ht="15" customHeight="1" x14ac:dyDescent="0.25">
      <c r="A39" s="5">
        <v>50</v>
      </c>
      <c r="B39" s="5" t="s">
        <v>104</v>
      </c>
      <c r="C39" s="5" t="s">
        <v>105</v>
      </c>
      <c r="D39" s="5" t="str">
        <f t="shared" si="1"/>
        <v>Kyle W.</v>
      </c>
      <c r="E39" s="5" t="s">
        <v>106</v>
      </c>
      <c r="F39" s="5" t="s">
        <v>12</v>
      </c>
      <c r="G39" s="5"/>
    </row>
    <row r="40" spans="1:7" ht="15" customHeight="1" x14ac:dyDescent="0.25">
      <c r="A40" s="5">
        <v>19</v>
      </c>
      <c r="B40" s="5" t="s">
        <v>107</v>
      </c>
      <c r="C40" s="5" t="s">
        <v>108</v>
      </c>
      <c r="D40" s="5" t="str">
        <f t="shared" si="1"/>
        <v>Lauren C.</v>
      </c>
      <c r="E40" s="5" t="s">
        <v>109</v>
      </c>
      <c r="F40" s="5" t="s">
        <v>12</v>
      </c>
      <c r="G40" s="5"/>
    </row>
    <row r="41" spans="1:7" ht="15" customHeight="1" x14ac:dyDescent="0.25">
      <c r="A41" s="5">
        <v>20</v>
      </c>
      <c r="B41" s="5" t="s">
        <v>107</v>
      </c>
      <c r="C41" s="5" t="s">
        <v>58</v>
      </c>
      <c r="D41" s="5" t="str">
        <f t="shared" si="1"/>
        <v>Lauren P.</v>
      </c>
      <c r="E41" s="5" t="s">
        <v>110</v>
      </c>
      <c r="F41" s="5" t="s">
        <v>12</v>
      </c>
      <c r="G41" s="5"/>
    </row>
    <row r="42" spans="1:7" ht="15" customHeight="1" x14ac:dyDescent="0.25">
      <c r="A42" s="5">
        <v>21</v>
      </c>
      <c r="B42" s="5" t="s">
        <v>111</v>
      </c>
      <c r="C42" s="5" t="s">
        <v>112</v>
      </c>
      <c r="D42" s="5" t="str">
        <f t="shared" si="1"/>
        <v>Lucas D.</v>
      </c>
      <c r="E42" s="5" t="s">
        <v>113</v>
      </c>
      <c r="F42" s="5" t="s">
        <v>12</v>
      </c>
      <c r="G42" s="5"/>
    </row>
    <row r="43" spans="1:7" ht="15" customHeight="1" x14ac:dyDescent="0.25">
      <c r="A43" s="5">
        <v>22</v>
      </c>
      <c r="B43" s="5" t="s">
        <v>114</v>
      </c>
      <c r="C43" s="5" t="s">
        <v>97</v>
      </c>
      <c r="D43" s="5" t="str">
        <f t="shared" si="1"/>
        <v>Lynn P.</v>
      </c>
      <c r="E43" s="5" t="s">
        <v>115</v>
      </c>
      <c r="F43" s="5" t="s">
        <v>12</v>
      </c>
      <c r="G43" s="5"/>
    </row>
    <row r="44" spans="1:7" ht="15" customHeight="1" x14ac:dyDescent="0.25">
      <c r="A44" s="5">
        <v>23</v>
      </c>
      <c r="B44" s="5" t="s">
        <v>116</v>
      </c>
      <c r="C44" s="5" t="s">
        <v>117</v>
      </c>
      <c r="D44" s="5" t="str">
        <f t="shared" si="1"/>
        <v>Martin J.</v>
      </c>
      <c r="E44" s="5" t="s">
        <v>118</v>
      </c>
      <c r="F44" s="5" t="s">
        <v>12</v>
      </c>
      <c r="G44" s="5"/>
    </row>
    <row r="45" spans="1:7" ht="15" customHeight="1" x14ac:dyDescent="0.25">
      <c r="A45" s="5">
        <v>24</v>
      </c>
      <c r="B45" s="5" t="s">
        <v>119</v>
      </c>
      <c r="C45" s="5" t="s">
        <v>80</v>
      </c>
      <c r="D45" s="5" t="str">
        <f t="shared" si="1"/>
        <v>Matt B.</v>
      </c>
      <c r="E45" s="5" t="s">
        <v>120</v>
      </c>
      <c r="F45" s="5" t="s">
        <v>12</v>
      </c>
      <c r="G45" s="5"/>
    </row>
    <row r="46" spans="1:7" ht="15" customHeight="1" x14ac:dyDescent="0.25">
      <c r="A46" s="5">
        <v>36</v>
      </c>
      <c r="B46" s="5" t="s">
        <v>119</v>
      </c>
      <c r="C46" s="5" t="s">
        <v>121</v>
      </c>
      <c r="D46" s="5" t="str">
        <f t="shared" si="1"/>
        <v>Matt C.</v>
      </c>
      <c r="E46" s="5" t="s">
        <v>122</v>
      </c>
      <c r="F46" s="5" t="s">
        <v>12</v>
      </c>
      <c r="G46" s="5"/>
    </row>
    <row r="47" spans="1:7" ht="15" customHeight="1" x14ac:dyDescent="0.25">
      <c r="A47" s="5">
        <v>25</v>
      </c>
      <c r="B47" s="5" t="s">
        <v>123</v>
      </c>
      <c r="C47" s="5" t="s">
        <v>124</v>
      </c>
      <c r="D47" s="5" t="str">
        <f t="shared" si="1"/>
        <v>Max R.</v>
      </c>
      <c r="E47" s="5" t="s">
        <v>125</v>
      </c>
      <c r="F47" s="5" t="s">
        <v>12</v>
      </c>
      <c r="G47" s="5"/>
    </row>
    <row r="48" spans="1:7" ht="15" customHeight="1" x14ac:dyDescent="0.25">
      <c r="A48" s="5">
        <v>56</v>
      </c>
      <c r="B48" s="5" t="s">
        <v>126</v>
      </c>
      <c r="C48" s="5" t="s">
        <v>127</v>
      </c>
      <c r="D48" s="5" t="str">
        <f t="shared" si="1"/>
        <v>Merritt E.</v>
      </c>
      <c r="E48" s="5" t="s">
        <v>128</v>
      </c>
      <c r="F48" s="5" t="s">
        <v>12</v>
      </c>
      <c r="G48" s="5"/>
    </row>
    <row r="49" spans="1:7" ht="15" customHeight="1" x14ac:dyDescent="0.25">
      <c r="A49" s="5">
        <v>34</v>
      </c>
      <c r="B49" s="5" t="s">
        <v>129</v>
      </c>
      <c r="C49" s="5" t="s">
        <v>130</v>
      </c>
      <c r="D49" s="5" t="str">
        <f t="shared" si="1"/>
        <v>Mike B.</v>
      </c>
      <c r="E49" s="5" t="s">
        <v>131</v>
      </c>
      <c r="F49" s="5" t="s">
        <v>12</v>
      </c>
      <c r="G49" s="5"/>
    </row>
    <row r="50" spans="1:7" ht="15" customHeight="1" x14ac:dyDescent="0.25">
      <c r="A50" s="5">
        <v>40</v>
      </c>
      <c r="B50" s="5" t="s">
        <v>129</v>
      </c>
      <c r="C50" s="5" t="s">
        <v>46</v>
      </c>
      <c r="D50" s="5" t="str">
        <f t="shared" si="1"/>
        <v>Mike C.</v>
      </c>
      <c r="E50" s="5" t="s">
        <v>132</v>
      </c>
      <c r="F50" s="5" t="s">
        <v>12</v>
      </c>
      <c r="G50" s="5"/>
    </row>
    <row r="51" spans="1:7" ht="15" customHeight="1" x14ac:dyDescent="0.25">
      <c r="A51" s="5">
        <v>42</v>
      </c>
      <c r="B51" s="5" t="s">
        <v>133</v>
      </c>
      <c r="C51" s="5" t="s">
        <v>32</v>
      </c>
      <c r="D51" s="5" t="str">
        <f t="shared" si="1"/>
        <v>Nathan P.</v>
      </c>
      <c r="E51" s="5" t="s">
        <v>134</v>
      </c>
      <c r="F51" s="5" t="s">
        <v>12</v>
      </c>
      <c r="G51" s="5"/>
    </row>
    <row r="52" spans="1:7" ht="15" customHeight="1" x14ac:dyDescent="0.25">
      <c r="A52" s="5">
        <v>27</v>
      </c>
      <c r="B52" s="5" t="s">
        <v>135</v>
      </c>
      <c r="C52" s="5" t="s">
        <v>58</v>
      </c>
      <c r="D52" s="5" t="str">
        <f t="shared" si="1"/>
        <v>Nick P.</v>
      </c>
      <c r="E52" s="5" t="s">
        <v>136</v>
      </c>
      <c r="F52" s="5" t="s">
        <v>19</v>
      </c>
      <c r="G52" s="5"/>
    </row>
    <row r="53" spans="1:7" ht="15" customHeight="1" x14ac:dyDescent="0.25">
      <c r="A53" s="5">
        <v>35</v>
      </c>
      <c r="B53" s="5" t="s">
        <v>137</v>
      </c>
      <c r="C53" s="5" t="s">
        <v>138</v>
      </c>
      <c r="D53" s="5" t="str">
        <f t="shared" si="1"/>
        <v>Oliver W.</v>
      </c>
      <c r="E53" s="5" t="s">
        <v>139</v>
      </c>
      <c r="F53" s="5" t="s">
        <v>12</v>
      </c>
      <c r="G53" s="5"/>
    </row>
    <row r="54" spans="1:7" ht="15" customHeight="1" x14ac:dyDescent="0.25">
      <c r="A54" s="5">
        <v>43</v>
      </c>
      <c r="B54" s="5" t="s">
        <v>140</v>
      </c>
      <c r="C54" s="5" t="s">
        <v>141</v>
      </c>
      <c r="D54" s="5" t="str">
        <f t="shared" si="1"/>
        <v>Pete S.</v>
      </c>
      <c r="E54" s="5" t="s">
        <v>142</v>
      </c>
      <c r="F54" s="5" t="s">
        <v>12</v>
      </c>
      <c r="G54" s="5"/>
    </row>
    <row r="55" spans="1:7" ht="15" customHeight="1" x14ac:dyDescent="0.25">
      <c r="A55" s="5">
        <v>44</v>
      </c>
      <c r="B55" s="5" t="s">
        <v>143</v>
      </c>
      <c r="C55" s="5" t="s">
        <v>46</v>
      </c>
      <c r="D55" s="5" t="str">
        <f t="shared" si="1"/>
        <v>Richie C.</v>
      </c>
      <c r="E55" s="5" t="s">
        <v>144</v>
      </c>
      <c r="F55" s="5" t="s">
        <v>12</v>
      </c>
      <c r="G55" s="5"/>
    </row>
    <row r="56" spans="1:7" ht="15" customHeight="1" x14ac:dyDescent="0.25">
      <c r="A56" s="5">
        <v>59</v>
      </c>
      <c r="B56" s="5" t="s">
        <v>145</v>
      </c>
      <c r="C56" s="5" t="s">
        <v>146</v>
      </c>
      <c r="D56" s="5" t="str">
        <f t="shared" si="1"/>
        <v>Roger L.</v>
      </c>
      <c r="E56" s="5" t="s">
        <v>147</v>
      </c>
      <c r="F56" s="5" t="s">
        <v>12</v>
      </c>
      <c r="G56" s="5" t="s">
        <v>95</v>
      </c>
    </row>
    <row r="57" spans="1:7" ht="15" customHeight="1" x14ac:dyDescent="0.25">
      <c r="A57" s="5">
        <v>28</v>
      </c>
      <c r="B57" s="5" t="s">
        <v>148</v>
      </c>
      <c r="C57" s="5" t="s">
        <v>149</v>
      </c>
      <c r="D57" s="5" t="str">
        <f t="shared" si="1"/>
        <v>Ryan C.</v>
      </c>
      <c r="E57" s="5" t="s">
        <v>150</v>
      </c>
      <c r="F57" s="5" t="s">
        <v>12</v>
      </c>
      <c r="G57" s="5"/>
    </row>
    <row r="58" spans="1:7" ht="15" customHeight="1" x14ac:dyDescent="0.25">
      <c r="A58" s="5">
        <v>29</v>
      </c>
      <c r="B58" s="5" t="s">
        <v>148</v>
      </c>
      <c r="C58" s="5" t="s">
        <v>151</v>
      </c>
      <c r="D58" s="5" t="str">
        <f t="shared" si="1"/>
        <v>Ryan T.</v>
      </c>
      <c r="E58" s="5" t="s">
        <v>152</v>
      </c>
      <c r="F58" s="5" t="s">
        <v>12</v>
      </c>
      <c r="G58" s="5"/>
    </row>
    <row r="59" spans="1:7" ht="15" customHeight="1" x14ac:dyDescent="0.25">
      <c r="A59" s="5">
        <v>51</v>
      </c>
      <c r="B59" s="5" t="s">
        <v>153</v>
      </c>
      <c r="C59" s="5" t="s">
        <v>46</v>
      </c>
      <c r="D59" s="5" t="str">
        <f t="shared" si="1"/>
        <v>Stephanie C.</v>
      </c>
      <c r="E59" s="5" t="s">
        <v>154</v>
      </c>
      <c r="F59" s="5" t="s">
        <v>12</v>
      </c>
      <c r="G59" s="5" t="s">
        <v>155</v>
      </c>
    </row>
    <row r="60" spans="1:7" ht="15" customHeight="1" x14ac:dyDescent="0.25">
      <c r="A60" s="5">
        <v>45</v>
      </c>
      <c r="B60" s="5" t="s">
        <v>156</v>
      </c>
      <c r="C60" s="5" t="s">
        <v>157</v>
      </c>
      <c r="D60" s="5" t="str">
        <f t="shared" si="1"/>
        <v>Taylor M.</v>
      </c>
      <c r="E60" s="5" t="s">
        <v>158</v>
      </c>
      <c r="F60" s="5" t="s">
        <v>12</v>
      </c>
      <c r="G60" s="5"/>
    </row>
    <row r="61" spans="1:7" ht="15" customHeight="1" x14ac:dyDescent="0.25">
      <c r="A61" s="5">
        <v>30</v>
      </c>
      <c r="B61" s="5" t="s">
        <v>159</v>
      </c>
      <c r="C61" s="5" t="s">
        <v>160</v>
      </c>
      <c r="D61" s="5" t="str">
        <f t="shared" si="1"/>
        <v>Tom B.</v>
      </c>
      <c r="E61" s="5" t="s">
        <v>161</v>
      </c>
      <c r="F61" s="5" t="s">
        <v>12</v>
      </c>
      <c r="G61" s="5"/>
    </row>
    <row r="62" spans="1:7" ht="15" customHeight="1" x14ac:dyDescent="0.25">
      <c r="A62" s="5">
        <v>31</v>
      </c>
      <c r="B62" s="5" t="s">
        <v>162</v>
      </c>
      <c r="C62" s="5" t="s">
        <v>163</v>
      </c>
      <c r="D62" s="5" t="str">
        <f t="shared" si="1"/>
        <v>Tucker M.</v>
      </c>
      <c r="E62" s="5" t="s">
        <v>164</v>
      </c>
      <c r="F62" s="5" t="s">
        <v>12</v>
      </c>
      <c r="G62" s="5"/>
    </row>
    <row r="63" spans="1:7" ht="15" customHeight="1" x14ac:dyDescent="0.25">
      <c r="A63" s="5">
        <v>32</v>
      </c>
      <c r="B63" s="5" t="s">
        <v>165</v>
      </c>
      <c r="C63" s="5" t="s">
        <v>166</v>
      </c>
      <c r="D63" s="5" t="str">
        <f t="shared" si="1"/>
        <v>Tye E.</v>
      </c>
      <c r="E63" s="5" t="s">
        <v>167</v>
      </c>
      <c r="F63" s="5" t="s">
        <v>12</v>
      </c>
      <c r="G63" s="5"/>
    </row>
    <row r="64" spans="1:7" ht="15" customHeight="1" x14ac:dyDescent="0.25">
      <c r="A64" s="5">
        <v>46</v>
      </c>
      <c r="B64" s="5" t="s">
        <v>168</v>
      </c>
      <c r="C64" s="5" t="s">
        <v>169</v>
      </c>
      <c r="D64" s="5" t="str">
        <f t="shared" si="1"/>
        <v>Tyler A.</v>
      </c>
      <c r="E64" s="5" t="s">
        <v>170</v>
      </c>
      <c r="F64" s="5" t="s">
        <v>12</v>
      </c>
      <c r="G64" s="5"/>
    </row>
    <row r="65" spans="1:7" ht="15" customHeight="1" x14ac:dyDescent="0.25">
      <c r="A65" s="5">
        <v>33</v>
      </c>
      <c r="B65" s="5" t="s">
        <v>171</v>
      </c>
      <c r="C65" s="5" t="s">
        <v>58</v>
      </c>
      <c r="D65" s="5" t="str">
        <f t="shared" si="1"/>
        <v>Vicki P.</v>
      </c>
      <c r="E65" s="5" t="s">
        <v>172</v>
      </c>
      <c r="F65" s="5" t="s">
        <v>12</v>
      </c>
      <c r="G65" s="5"/>
    </row>
    <row r="66" spans="1:7" ht="15" customHeight="1" x14ac:dyDescent="0.25">
      <c r="A66" s="5"/>
      <c r="B66" s="5"/>
      <c r="C66" s="5"/>
      <c r="D66" s="5" t="str">
        <f t="shared" si="1"/>
        <v/>
      </c>
      <c r="E66" s="5"/>
      <c r="F66" s="5"/>
      <c r="G66" s="5"/>
    </row>
    <row r="67" spans="1:7" ht="15" customHeight="1" x14ac:dyDescent="0.25">
      <c r="A67" s="5"/>
      <c r="B67" s="5"/>
      <c r="C67" s="5"/>
      <c r="D67" s="5" t="str">
        <f t="shared" si="1"/>
        <v/>
      </c>
      <c r="E67" s="5"/>
      <c r="F67" s="5"/>
      <c r="G67" s="5"/>
    </row>
    <row r="68" spans="1:7" ht="15" customHeight="1" x14ac:dyDescent="0.25">
      <c r="A68" s="5"/>
      <c r="B68" s="5"/>
      <c r="C68" s="5"/>
      <c r="D68" s="5" t="str">
        <f t="shared" si="1"/>
        <v/>
      </c>
      <c r="E68" s="5"/>
      <c r="F68" s="5"/>
      <c r="G68" s="5"/>
    </row>
    <row r="69" spans="1:7" ht="15" customHeight="1" x14ac:dyDescent="0.25">
      <c r="A69" s="5"/>
      <c r="B69" s="5"/>
      <c r="C69" s="5"/>
      <c r="D69" s="5" t="str">
        <f t="shared" si="1"/>
        <v/>
      </c>
      <c r="E69" s="5"/>
      <c r="F69" s="5"/>
      <c r="G69" s="5"/>
    </row>
  </sheetData>
  <mergeCells count="1">
    <mergeCell ref="A2:H2"/>
  </mergeCells>
  <dataValidations count="1">
    <dataValidation type="list" allowBlank="1" sqref="F5:F69" xr:uid="{00000000-0002-0000-00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3"/>
  <sheetViews>
    <sheetView zoomScaleNormal="100" workbookViewId="0">
      <pane ySplit="4" topLeftCell="A26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9" customWidth="1"/>
    <col min="3" max="4" width="20" customWidth="1"/>
    <col min="5" max="5" width="17.28515625" bestFit="1" customWidth="1"/>
    <col min="6" max="6" width="10" customWidth="1"/>
    <col min="7" max="7" width="14" customWidth="1"/>
    <col min="8" max="8" width="18" customWidth="1"/>
  </cols>
  <sheetData>
    <row r="1" spans="1:8" ht="17.25" customHeight="1" x14ac:dyDescent="0.25">
      <c r="A1" s="2" t="s">
        <v>173</v>
      </c>
    </row>
    <row r="2" spans="1:8" ht="15" customHeight="1" x14ac:dyDescent="0.25">
      <c r="A2" s="19" t="s">
        <v>174</v>
      </c>
      <c r="B2" s="19"/>
      <c r="C2" s="19"/>
      <c r="D2" s="19"/>
      <c r="E2" s="19"/>
      <c r="F2" s="19"/>
      <c r="G2" s="19"/>
    </row>
    <row r="4" spans="1:8" ht="15" customHeight="1" x14ac:dyDescent="0.25">
      <c r="A4" s="3" t="s">
        <v>175</v>
      </c>
      <c r="B4" s="3" t="s">
        <v>176</v>
      </c>
      <c r="C4" s="3" t="s">
        <v>177</v>
      </c>
      <c r="D4" s="3" t="s">
        <v>178</v>
      </c>
      <c r="E4" s="3" t="s">
        <v>179</v>
      </c>
      <c r="F4" s="3" t="s">
        <v>180</v>
      </c>
      <c r="G4" s="3" t="s">
        <v>181</v>
      </c>
      <c r="H4" s="3" t="s">
        <v>182</v>
      </c>
    </row>
    <row r="5" spans="1:8" ht="15" customHeight="1" x14ac:dyDescent="0.25">
      <c r="A5" s="6">
        <v>1</v>
      </c>
      <c r="B5" s="6">
        <v>1</v>
      </c>
      <c r="C5" s="6" t="s">
        <v>183</v>
      </c>
      <c r="D5" s="6" t="s">
        <v>184</v>
      </c>
      <c r="E5" s="7">
        <v>46268</v>
      </c>
      <c r="F5" s="6" t="s">
        <v>185</v>
      </c>
      <c r="G5" s="6" t="s">
        <v>186</v>
      </c>
      <c r="H5" s="4" t="s">
        <v>183</v>
      </c>
    </row>
    <row r="6" spans="1:8" ht="15" customHeight="1" x14ac:dyDescent="0.25">
      <c r="A6" s="6">
        <v>1</v>
      </c>
      <c r="B6" s="6">
        <v>2</v>
      </c>
      <c r="C6" s="6" t="s">
        <v>187</v>
      </c>
      <c r="D6" s="6" t="s">
        <v>188</v>
      </c>
      <c r="E6" s="7">
        <v>46269</v>
      </c>
      <c r="F6" s="6" t="s">
        <v>189</v>
      </c>
      <c r="G6" s="6" t="s">
        <v>190</v>
      </c>
      <c r="H6" s="4" t="s">
        <v>187</v>
      </c>
    </row>
    <row r="7" spans="1:8" ht="15" customHeight="1" x14ac:dyDescent="0.25">
      <c r="A7" s="6">
        <v>1</v>
      </c>
      <c r="B7" s="6">
        <v>3</v>
      </c>
      <c r="C7" s="6" t="s">
        <v>191</v>
      </c>
      <c r="D7" s="6" t="s">
        <v>192</v>
      </c>
      <c r="E7" s="7">
        <v>46270</v>
      </c>
      <c r="F7" s="6" t="s">
        <v>193</v>
      </c>
      <c r="G7" s="6" t="s">
        <v>194</v>
      </c>
      <c r="H7" s="4" t="s">
        <v>191</v>
      </c>
    </row>
    <row r="8" spans="1:8" ht="15" customHeight="1" x14ac:dyDescent="0.25">
      <c r="A8" s="6">
        <v>1</v>
      </c>
      <c r="B8" s="6">
        <v>4</v>
      </c>
      <c r="C8" s="6" t="s">
        <v>195</v>
      </c>
      <c r="D8" s="6" t="s">
        <v>196</v>
      </c>
      <c r="E8" s="7">
        <v>46270</v>
      </c>
      <c r="F8" s="6" t="s">
        <v>197</v>
      </c>
      <c r="G8" s="6" t="s">
        <v>198</v>
      </c>
      <c r="H8" s="4" t="s">
        <v>195</v>
      </c>
    </row>
    <row r="9" spans="1:8" ht="15" customHeight="1" x14ac:dyDescent="0.25">
      <c r="A9" s="6">
        <v>1</v>
      </c>
      <c r="B9" s="6">
        <v>5</v>
      </c>
      <c r="C9" s="6" t="s">
        <v>199</v>
      </c>
      <c r="D9" s="6" t="s">
        <v>200</v>
      </c>
      <c r="E9" s="7">
        <v>46270</v>
      </c>
      <c r="F9" s="6" t="s">
        <v>197</v>
      </c>
      <c r="G9" s="6" t="s">
        <v>201</v>
      </c>
      <c r="H9" s="4" t="s">
        <v>199</v>
      </c>
    </row>
    <row r="10" spans="1:8" ht="15" customHeight="1" x14ac:dyDescent="0.25">
      <c r="A10" s="6">
        <v>1</v>
      </c>
      <c r="B10" s="6">
        <v>6</v>
      </c>
      <c r="C10" s="6" t="s">
        <v>202</v>
      </c>
      <c r="D10" s="6" t="s">
        <v>203</v>
      </c>
      <c r="E10" s="7">
        <v>46270</v>
      </c>
      <c r="F10" s="6" t="s">
        <v>197</v>
      </c>
      <c r="G10" s="6" t="s">
        <v>204</v>
      </c>
      <c r="H10" s="4" t="s">
        <v>205</v>
      </c>
    </row>
    <row r="11" spans="1:8" ht="15" customHeight="1" x14ac:dyDescent="0.25">
      <c r="A11" s="6">
        <v>1</v>
      </c>
      <c r="B11" s="6">
        <v>7</v>
      </c>
      <c r="C11" s="6" t="s">
        <v>206</v>
      </c>
      <c r="D11" s="6" t="s">
        <v>207</v>
      </c>
      <c r="E11" s="7">
        <v>46270</v>
      </c>
      <c r="F11" s="6" t="s">
        <v>208</v>
      </c>
      <c r="G11" s="6" t="s">
        <v>209</v>
      </c>
      <c r="H11" s="4" t="s">
        <v>206</v>
      </c>
    </row>
    <row r="12" spans="1:8" ht="15" customHeight="1" x14ac:dyDescent="0.25">
      <c r="A12" s="6">
        <v>1</v>
      </c>
      <c r="B12" s="6">
        <v>8</v>
      </c>
      <c r="C12" s="6" t="s">
        <v>210</v>
      </c>
      <c r="D12" s="6" t="s">
        <v>211</v>
      </c>
      <c r="E12" s="7">
        <v>46270</v>
      </c>
      <c r="F12" s="6" t="s">
        <v>212</v>
      </c>
      <c r="G12" s="6" t="s">
        <v>204</v>
      </c>
      <c r="H12" s="4" t="s">
        <v>210</v>
      </c>
    </row>
    <row r="13" spans="1:8" ht="15" customHeight="1" x14ac:dyDescent="0.25">
      <c r="A13" s="6">
        <v>1</v>
      </c>
      <c r="B13" s="6">
        <v>9</v>
      </c>
      <c r="C13" s="6" t="s">
        <v>213</v>
      </c>
      <c r="D13" s="6" t="s">
        <v>214</v>
      </c>
      <c r="E13" s="7">
        <v>46270</v>
      </c>
      <c r="F13" s="6" t="s">
        <v>215</v>
      </c>
      <c r="G13" s="6" t="s">
        <v>216</v>
      </c>
      <c r="H13" s="4" t="s">
        <v>214</v>
      </c>
    </row>
    <row r="14" spans="1:8" ht="15" customHeight="1" x14ac:dyDescent="0.25">
      <c r="A14" s="6">
        <v>1</v>
      </c>
      <c r="B14" s="6">
        <v>10</v>
      </c>
      <c r="C14" s="6" t="s">
        <v>217</v>
      </c>
      <c r="D14" s="6" t="s">
        <v>218</v>
      </c>
      <c r="E14" s="7">
        <v>46270</v>
      </c>
      <c r="F14" s="6" t="s">
        <v>219</v>
      </c>
      <c r="G14" s="6" t="s">
        <v>186</v>
      </c>
      <c r="H14" s="4" t="s">
        <v>218</v>
      </c>
    </row>
    <row r="15" spans="1:8" ht="15" customHeight="1" x14ac:dyDescent="0.25">
      <c r="A15" s="6">
        <v>1</v>
      </c>
      <c r="B15" s="6">
        <v>11</v>
      </c>
      <c r="C15" s="6" t="s">
        <v>220</v>
      </c>
      <c r="D15" s="6" t="s">
        <v>221</v>
      </c>
      <c r="E15" s="7">
        <v>46270</v>
      </c>
      <c r="F15" s="6" t="s">
        <v>219</v>
      </c>
      <c r="G15" s="6" t="s">
        <v>222</v>
      </c>
      <c r="H15" s="4" t="s">
        <v>221</v>
      </c>
    </row>
    <row r="16" spans="1:8" ht="15" customHeight="1" x14ac:dyDescent="0.25">
      <c r="A16" s="6">
        <v>1</v>
      </c>
      <c r="B16" s="6">
        <v>12</v>
      </c>
      <c r="C16" s="6" t="s">
        <v>223</v>
      </c>
      <c r="D16" s="6" t="s">
        <v>224</v>
      </c>
      <c r="E16" s="7">
        <v>46271</v>
      </c>
      <c r="F16" s="6" t="s">
        <v>212</v>
      </c>
      <c r="G16" s="6" t="s">
        <v>204</v>
      </c>
      <c r="H16" s="4" t="s">
        <v>225</v>
      </c>
    </row>
    <row r="17" spans="1:8" ht="15" customHeight="1" x14ac:dyDescent="0.25">
      <c r="A17" s="6">
        <v>1</v>
      </c>
      <c r="B17" s="6">
        <v>13</v>
      </c>
      <c r="C17" s="6" t="s">
        <v>226</v>
      </c>
      <c r="D17" s="6" t="s">
        <v>227</v>
      </c>
      <c r="E17" s="7">
        <v>46272</v>
      </c>
      <c r="F17" s="6" t="s">
        <v>212</v>
      </c>
      <c r="G17" s="6" t="s">
        <v>186</v>
      </c>
      <c r="H17" s="4" t="s">
        <v>227</v>
      </c>
    </row>
    <row r="18" spans="1:8" ht="15" customHeight="1" x14ac:dyDescent="0.25">
      <c r="A18" s="8">
        <v>2</v>
      </c>
      <c r="B18" s="8">
        <v>1</v>
      </c>
      <c r="C18" s="8" t="s">
        <v>196</v>
      </c>
      <c r="D18" s="8" t="s">
        <v>228</v>
      </c>
      <c r="E18" s="9">
        <v>46276</v>
      </c>
      <c r="F18" s="8" t="s">
        <v>212</v>
      </c>
      <c r="G18" s="8" t="s">
        <v>229</v>
      </c>
      <c r="H18" s="5" t="s">
        <v>196</v>
      </c>
    </row>
    <row r="19" spans="1:8" ht="15" customHeight="1" x14ac:dyDescent="0.25">
      <c r="A19" s="8">
        <v>2</v>
      </c>
      <c r="B19" s="8">
        <v>2</v>
      </c>
      <c r="C19" s="8" t="s">
        <v>230</v>
      </c>
      <c r="D19" s="8" t="s">
        <v>231</v>
      </c>
      <c r="E19" s="9">
        <v>46276</v>
      </c>
      <c r="F19" s="8" t="s">
        <v>185</v>
      </c>
      <c r="G19" s="8" t="s">
        <v>198</v>
      </c>
      <c r="H19" s="5" t="s">
        <v>231</v>
      </c>
    </row>
    <row r="20" spans="1:8" ht="15" customHeight="1" x14ac:dyDescent="0.25">
      <c r="A20" s="8">
        <v>2</v>
      </c>
      <c r="B20" s="8">
        <v>3</v>
      </c>
      <c r="C20" s="8" t="s">
        <v>232</v>
      </c>
      <c r="D20" s="8" t="s">
        <v>233</v>
      </c>
      <c r="E20" s="9">
        <v>46277</v>
      </c>
      <c r="F20" s="8" t="s">
        <v>193</v>
      </c>
      <c r="G20" s="8" t="s">
        <v>198</v>
      </c>
      <c r="H20" s="5" t="s">
        <v>233</v>
      </c>
    </row>
    <row r="21" spans="1:8" ht="15" customHeight="1" x14ac:dyDescent="0.25">
      <c r="A21" s="8">
        <v>2</v>
      </c>
      <c r="B21" s="8">
        <v>4</v>
      </c>
      <c r="C21" s="8" t="s">
        <v>234</v>
      </c>
      <c r="D21" s="8" t="s">
        <v>235</v>
      </c>
      <c r="E21" s="9">
        <v>46277</v>
      </c>
      <c r="F21" s="8" t="s">
        <v>193</v>
      </c>
      <c r="G21" s="8" t="s">
        <v>236</v>
      </c>
      <c r="H21" s="5" t="s">
        <v>235</v>
      </c>
    </row>
    <row r="22" spans="1:8" ht="15" customHeight="1" x14ac:dyDescent="0.25">
      <c r="A22" s="8">
        <v>2</v>
      </c>
      <c r="B22" s="8">
        <v>5</v>
      </c>
      <c r="C22" s="8" t="s">
        <v>237</v>
      </c>
      <c r="D22" s="8" t="s">
        <v>238</v>
      </c>
      <c r="E22" s="9">
        <v>46277</v>
      </c>
      <c r="F22" s="8" t="s">
        <v>193</v>
      </c>
      <c r="G22" s="8" t="s">
        <v>222</v>
      </c>
      <c r="H22" s="5" t="s">
        <v>237</v>
      </c>
    </row>
    <row r="23" spans="1:8" ht="15" customHeight="1" x14ac:dyDescent="0.25">
      <c r="A23" s="8">
        <v>2</v>
      </c>
      <c r="B23" s="8">
        <v>6</v>
      </c>
      <c r="C23" s="8" t="s">
        <v>239</v>
      </c>
      <c r="D23" s="8" t="s">
        <v>240</v>
      </c>
      <c r="E23" s="9">
        <v>46277</v>
      </c>
      <c r="F23" s="8" t="s">
        <v>197</v>
      </c>
      <c r="G23" s="8" t="s">
        <v>241</v>
      </c>
      <c r="H23" s="5" t="s">
        <v>240</v>
      </c>
    </row>
    <row r="24" spans="1:8" ht="15" customHeight="1" x14ac:dyDescent="0.25">
      <c r="A24" s="8">
        <v>2</v>
      </c>
      <c r="B24" s="8">
        <v>7</v>
      </c>
      <c r="C24" s="8" t="s">
        <v>242</v>
      </c>
      <c r="D24" s="8" t="s">
        <v>218</v>
      </c>
      <c r="E24" s="9">
        <v>46277</v>
      </c>
      <c r="F24" s="8" t="s">
        <v>197</v>
      </c>
      <c r="G24" s="8" t="s">
        <v>243</v>
      </c>
      <c r="H24" s="5" t="s">
        <v>242</v>
      </c>
    </row>
    <row r="25" spans="1:8" ht="15" customHeight="1" x14ac:dyDescent="0.25">
      <c r="A25" s="8">
        <v>2</v>
      </c>
      <c r="B25" s="8">
        <v>8</v>
      </c>
      <c r="C25" s="8" t="s">
        <v>244</v>
      </c>
      <c r="D25" s="8" t="s">
        <v>199</v>
      </c>
      <c r="E25" s="9">
        <v>46277</v>
      </c>
      <c r="F25" s="8" t="s">
        <v>197</v>
      </c>
      <c r="G25" s="8" t="s">
        <v>236</v>
      </c>
      <c r="H25" s="5" t="s">
        <v>244</v>
      </c>
    </row>
    <row r="26" spans="1:8" ht="15" customHeight="1" x14ac:dyDescent="0.25">
      <c r="A26" s="8">
        <v>2</v>
      </c>
      <c r="B26" s="8">
        <v>9</v>
      </c>
      <c r="C26" s="8" t="s">
        <v>245</v>
      </c>
      <c r="D26" s="8" t="s">
        <v>246</v>
      </c>
      <c r="E26" s="9">
        <v>46277</v>
      </c>
      <c r="F26" s="8" t="s">
        <v>197</v>
      </c>
      <c r="G26" s="8" t="s">
        <v>229</v>
      </c>
      <c r="H26" s="5" t="s">
        <v>245</v>
      </c>
    </row>
    <row r="27" spans="1:8" ht="15" customHeight="1" x14ac:dyDescent="0.25">
      <c r="A27" s="8">
        <v>2</v>
      </c>
      <c r="B27" s="8">
        <v>10</v>
      </c>
      <c r="C27" s="8" t="s">
        <v>247</v>
      </c>
      <c r="D27" s="8" t="s">
        <v>248</v>
      </c>
      <c r="E27" s="9">
        <v>46277</v>
      </c>
      <c r="F27" s="8" t="s">
        <v>197</v>
      </c>
      <c r="G27" s="8" t="s">
        <v>198</v>
      </c>
      <c r="H27" s="5" t="s">
        <v>247</v>
      </c>
    </row>
    <row r="28" spans="1:8" ht="15" customHeight="1" x14ac:dyDescent="0.25">
      <c r="A28" s="8">
        <v>2</v>
      </c>
      <c r="B28" s="8">
        <v>11</v>
      </c>
      <c r="C28" s="8" t="s">
        <v>249</v>
      </c>
      <c r="D28" s="8" t="s">
        <v>250</v>
      </c>
      <c r="E28" s="9">
        <v>46277</v>
      </c>
      <c r="F28" s="8" t="s">
        <v>212</v>
      </c>
      <c r="G28" s="8" t="s">
        <v>194</v>
      </c>
      <c r="H28" s="5" t="s">
        <v>250</v>
      </c>
    </row>
    <row r="29" spans="1:8" ht="15" customHeight="1" x14ac:dyDescent="0.25">
      <c r="A29" s="8">
        <v>2</v>
      </c>
      <c r="B29" s="8">
        <v>12</v>
      </c>
      <c r="C29" s="8" t="s">
        <v>251</v>
      </c>
      <c r="D29" s="8" t="s">
        <v>252</v>
      </c>
      <c r="E29" s="9">
        <v>46277</v>
      </c>
      <c r="F29" s="8" t="s">
        <v>212</v>
      </c>
      <c r="G29" s="8" t="s">
        <v>204</v>
      </c>
      <c r="H29" s="5" t="s">
        <v>251</v>
      </c>
    </row>
    <row r="30" spans="1:8" ht="15" customHeight="1" x14ac:dyDescent="0.25">
      <c r="A30" s="8">
        <v>2</v>
      </c>
      <c r="B30" s="8">
        <v>13</v>
      </c>
      <c r="C30" s="8" t="s">
        <v>253</v>
      </c>
      <c r="D30" s="8" t="s">
        <v>254</v>
      </c>
      <c r="E30" s="9">
        <v>46277</v>
      </c>
      <c r="F30" s="8" t="s">
        <v>215</v>
      </c>
      <c r="G30" s="8" t="s">
        <v>236</v>
      </c>
      <c r="H30" s="5" t="s">
        <v>254</v>
      </c>
    </row>
    <row r="31" spans="1:8" ht="15" customHeight="1" x14ac:dyDescent="0.25">
      <c r="A31" s="8">
        <v>3</v>
      </c>
      <c r="B31" s="8">
        <v>1</v>
      </c>
      <c r="C31" s="8" t="s">
        <v>255</v>
      </c>
      <c r="D31" s="8" t="s">
        <v>256</v>
      </c>
      <c r="E31" s="9">
        <v>46283</v>
      </c>
      <c r="F31" s="8" t="s">
        <v>185</v>
      </c>
      <c r="G31" s="8" t="s">
        <v>198</v>
      </c>
      <c r="H31" s="5" t="s">
        <v>255</v>
      </c>
    </row>
    <row r="32" spans="1:8" ht="15" customHeight="1" x14ac:dyDescent="0.25">
      <c r="A32" s="8">
        <v>3</v>
      </c>
      <c r="B32" s="8">
        <v>2</v>
      </c>
      <c r="C32" s="8" t="s">
        <v>211</v>
      </c>
      <c r="D32" s="8" t="s">
        <v>257</v>
      </c>
      <c r="E32" s="9">
        <v>46284</v>
      </c>
      <c r="F32" s="8" t="s">
        <v>193</v>
      </c>
      <c r="G32" s="8" t="s">
        <v>186</v>
      </c>
      <c r="H32" s="5" t="s">
        <v>211</v>
      </c>
    </row>
    <row r="33" spans="1:8" ht="15" customHeight="1" x14ac:dyDescent="0.25">
      <c r="A33" s="8">
        <v>3</v>
      </c>
      <c r="B33" s="8">
        <v>3</v>
      </c>
      <c r="C33" s="8" t="s">
        <v>258</v>
      </c>
      <c r="D33" s="8" t="s">
        <v>231</v>
      </c>
      <c r="E33" s="9">
        <v>46284</v>
      </c>
      <c r="F33" s="8" t="s">
        <v>193</v>
      </c>
      <c r="G33" s="8" t="s">
        <v>236</v>
      </c>
      <c r="H33" s="5" t="s">
        <v>259</v>
      </c>
    </row>
    <row r="34" spans="1:8" ht="15" customHeight="1" x14ac:dyDescent="0.25">
      <c r="A34" s="8">
        <v>3</v>
      </c>
      <c r="B34" s="8">
        <v>4</v>
      </c>
      <c r="C34" s="8" t="s">
        <v>260</v>
      </c>
      <c r="D34" s="8" t="s">
        <v>261</v>
      </c>
      <c r="E34" s="9">
        <v>46284</v>
      </c>
      <c r="F34" s="8" t="s">
        <v>193</v>
      </c>
      <c r="G34" s="8" t="s">
        <v>209</v>
      </c>
      <c r="H34" s="5" t="s">
        <v>260</v>
      </c>
    </row>
    <row r="35" spans="1:8" ht="15" customHeight="1" x14ac:dyDescent="0.25">
      <c r="A35" s="8">
        <v>3</v>
      </c>
      <c r="B35" s="8">
        <v>5</v>
      </c>
      <c r="C35" s="8" t="s">
        <v>262</v>
      </c>
      <c r="D35" s="8" t="s">
        <v>263</v>
      </c>
      <c r="E35" s="9">
        <v>46284</v>
      </c>
      <c r="F35" s="8" t="s">
        <v>264</v>
      </c>
      <c r="G35" s="8" t="s">
        <v>265</v>
      </c>
      <c r="H35" s="5" t="s">
        <v>262</v>
      </c>
    </row>
    <row r="36" spans="1:8" ht="15" customHeight="1" x14ac:dyDescent="0.25">
      <c r="A36" s="8">
        <v>3</v>
      </c>
      <c r="B36" s="8">
        <v>6</v>
      </c>
      <c r="C36" s="8" t="s">
        <v>224</v>
      </c>
      <c r="D36" s="8" t="s">
        <v>226</v>
      </c>
      <c r="E36" s="9">
        <v>46284</v>
      </c>
      <c r="F36" s="8" t="s">
        <v>197</v>
      </c>
      <c r="G36" s="8" t="s">
        <v>229</v>
      </c>
      <c r="H36" s="5" t="s">
        <v>224</v>
      </c>
    </row>
    <row r="37" spans="1:8" ht="15" customHeight="1" x14ac:dyDescent="0.25">
      <c r="A37" s="8">
        <v>3</v>
      </c>
      <c r="B37" s="8">
        <v>7</v>
      </c>
      <c r="C37" s="8" t="s">
        <v>266</v>
      </c>
      <c r="D37" s="8" t="s">
        <v>239</v>
      </c>
      <c r="E37" s="9">
        <v>46284</v>
      </c>
      <c r="F37" s="8" t="s">
        <v>267</v>
      </c>
      <c r="G37" s="8" t="s">
        <v>265</v>
      </c>
      <c r="H37" s="5" t="s">
        <v>266</v>
      </c>
    </row>
    <row r="38" spans="1:8" ht="15" customHeight="1" x14ac:dyDescent="0.25">
      <c r="A38" s="8">
        <v>3</v>
      </c>
      <c r="B38" s="8">
        <v>8</v>
      </c>
      <c r="C38" s="8" t="s">
        <v>268</v>
      </c>
      <c r="D38" s="8" t="s">
        <v>184</v>
      </c>
      <c r="E38" s="9">
        <v>46284</v>
      </c>
      <c r="F38" s="8" t="s">
        <v>212</v>
      </c>
      <c r="G38" s="8" t="s">
        <v>198</v>
      </c>
      <c r="H38" s="5" t="s">
        <v>268</v>
      </c>
    </row>
    <row r="39" spans="1:8" ht="15" customHeight="1" x14ac:dyDescent="0.25">
      <c r="A39" s="8">
        <v>3</v>
      </c>
      <c r="B39" s="8">
        <v>9</v>
      </c>
      <c r="C39" s="8" t="s">
        <v>269</v>
      </c>
      <c r="D39" s="8" t="s">
        <v>202</v>
      </c>
      <c r="E39" s="9">
        <v>46284</v>
      </c>
      <c r="F39" s="8" t="s">
        <v>270</v>
      </c>
      <c r="G39" s="8" t="s">
        <v>186</v>
      </c>
      <c r="H39" s="5" t="s">
        <v>202</v>
      </c>
    </row>
    <row r="40" spans="1:8" ht="15" customHeight="1" x14ac:dyDescent="0.25">
      <c r="A40" s="8">
        <v>3</v>
      </c>
      <c r="B40" s="8">
        <v>10</v>
      </c>
      <c r="C40" s="8" t="s">
        <v>210</v>
      </c>
      <c r="D40" s="8" t="s">
        <v>223</v>
      </c>
      <c r="E40" s="9">
        <v>46284</v>
      </c>
      <c r="F40" s="8" t="s">
        <v>212</v>
      </c>
      <c r="G40" s="8" t="s">
        <v>204</v>
      </c>
      <c r="H40" s="5" t="s">
        <v>223</v>
      </c>
    </row>
    <row r="41" spans="1:8" ht="15" customHeight="1" x14ac:dyDescent="0.25">
      <c r="A41" s="8">
        <v>3</v>
      </c>
      <c r="B41" s="8">
        <v>11</v>
      </c>
      <c r="C41" s="8" t="s">
        <v>271</v>
      </c>
      <c r="D41" s="8" t="s">
        <v>272</v>
      </c>
      <c r="E41" s="9">
        <v>46284</v>
      </c>
      <c r="F41" s="8" t="s">
        <v>212</v>
      </c>
      <c r="G41" s="8" t="s">
        <v>236</v>
      </c>
      <c r="H41" s="5" t="s">
        <v>272</v>
      </c>
    </row>
    <row r="42" spans="1:8" ht="15" customHeight="1" x14ac:dyDescent="0.25">
      <c r="A42" s="8">
        <v>3</v>
      </c>
      <c r="B42" s="8">
        <v>12</v>
      </c>
      <c r="C42" s="8" t="s">
        <v>273</v>
      </c>
      <c r="D42" s="8" t="s">
        <v>274</v>
      </c>
      <c r="E42" s="9">
        <v>46284</v>
      </c>
      <c r="F42" s="8" t="s">
        <v>212</v>
      </c>
      <c r="G42" s="8" t="s">
        <v>243</v>
      </c>
      <c r="H42" s="5" t="s">
        <v>275</v>
      </c>
    </row>
    <row r="43" spans="1:8" ht="15" customHeight="1" x14ac:dyDescent="0.25">
      <c r="A43" s="8">
        <v>3</v>
      </c>
      <c r="B43" s="8">
        <v>13</v>
      </c>
      <c r="C43" s="8" t="s">
        <v>191</v>
      </c>
      <c r="D43" s="8" t="s">
        <v>276</v>
      </c>
      <c r="E43" s="9">
        <v>46284</v>
      </c>
      <c r="F43" s="8" t="s">
        <v>215</v>
      </c>
      <c r="G43" s="8" t="s">
        <v>216</v>
      </c>
      <c r="H43" s="5" t="s">
        <v>276</v>
      </c>
    </row>
    <row r="44" spans="1:8" ht="15" customHeight="1" x14ac:dyDescent="0.25">
      <c r="A44" s="8">
        <v>4</v>
      </c>
      <c r="B44" s="8">
        <v>1</v>
      </c>
      <c r="C44" s="8"/>
      <c r="D44" s="8"/>
      <c r="E44" s="8"/>
      <c r="F44" s="8"/>
      <c r="G44" s="8"/>
      <c r="H44" s="5"/>
    </row>
    <row r="45" spans="1:8" ht="15" customHeight="1" x14ac:dyDescent="0.25">
      <c r="A45" s="8">
        <v>4</v>
      </c>
      <c r="B45" s="8">
        <v>2</v>
      </c>
      <c r="C45" s="8"/>
      <c r="D45" s="8"/>
      <c r="E45" s="8"/>
      <c r="F45" s="8"/>
      <c r="G45" s="8"/>
      <c r="H45" s="5"/>
    </row>
    <row r="46" spans="1:8" ht="15" customHeight="1" x14ac:dyDescent="0.25">
      <c r="A46" s="8">
        <v>4</v>
      </c>
      <c r="B46" s="8">
        <v>3</v>
      </c>
      <c r="C46" s="8"/>
      <c r="D46" s="8"/>
      <c r="E46" s="8"/>
      <c r="F46" s="8"/>
      <c r="G46" s="8"/>
      <c r="H46" s="5"/>
    </row>
    <row r="47" spans="1:8" ht="15" customHeight="1" x14ac:dyDescent="0.25">
      <c r="A47" s="8">
        <v>4</v>
      </c>
      <c r="B47" s="8">
        <v>4</v>
      </c>
      <c r="C47" s="8"/>
      <c r="D47" s="8"/>
      <c r="E47" s="8"/>
      <c r="F47" s="8"/>
      <c r="G47" s="8"/>
      <c r="H47" s="5"/>
    </row>
    <row r="48" spans="1:8" ht="15" customHeight="1" x14ac:dyDescent="0.25">
      <c r="A48" s="8">
        <v>4</v>
      </c>
      <c r="B48" s="8">
        <v>5</v>
      </c>
      <c r="C48" s="8"/>
      <c r="D48" s="8"/>
      <c r="E48" s="8"/>
      <c r="F48" s="8"/>
      <c r="G48" s="8"/>
      <c r="H48" s="5"/>
    </row>
    <row r="49" spans="1:8" ht="15" customHeight="1" x14ac:dyDescent="0.25">
      <c r="A49" s="8">
        <v>4</v>
      </c>
      <c r="B49" s="8">
        <v>6</v>
      </c>
      <c r="C49" s="8"/>
      <c r="D49" s="8"/>
      <c r="E49" s="8"/>
      <c r="F49" s="8"/>
      <c r="G49" s="8"/>
      <c r="H49" s="5"/>
    </row>
    <row r="50" spans="1:8" ht="15" customHeight="1" x14ac:dyDescent="0.25">
      <c r="A50" s="8">
        <v>4</v>
      </c>
      <c r="B50" s="8">
        <v>7</v>
      </c>
      <c r="C50" s="8"/>
      <c r="D50" s="8"/>
      <c r="E50" s="8"/>
      <c r="F50" s="8"/>
      <c r="G50" s="8"/>
      <c r="H50" s="5"/>
    </row>
    <row r="51" spans="1:8" ht="15" customHeight="1" x14ac:dyDescent="0.25">
      <c r="A51" s="8">
        <v>4</v>
      </c>
      <c r="B51" s="8">
        <v>8</v>
      </c>
      <c r="C51" s="8"/>
      <c r="D51" s="8"/>
      <c r="E51" s="8"/>
      <c r="F51" s="8"/>
      <c r="G51" s="8"/>
      <c r="H51" s="5"/>
    </row>
    <row r="52" spans="1:8" ht="15" customHeight="1" x14ac:dyDescent="0.25">
      <c r="A52" s="8">
        <v>4</v>
      </c>
      <c r="B52" s="8">
        <v>9</v>
      </c>
      <c r="C52" s="8"/>
      <c r="D52" s="8"/>
      <c r="E52" s="8"/>
      <c r="F52" s="8"/>
      <c r="G52" s="8"/>
      <c r="H52" s="5"/>
    </row>
    <row r="53" spans="1:8" ht="15" customHeight="1" x14ac:dyDescent="0.25">
      <c r="A53" s="8">
        <v>4</v>
      </c>
      <c r="B53" s="8">
        <v>10</v>
      </c>
      <c r="C53" s="8"/>
      <c r="D53" s="8"/>
      <c r="E53" s="8"/>
      <c r="F53" s="8"/>
      <c r="G53" s="8"/>
      <c r="H53" s="5"/>
    </row>
    <row r="54" spans="1:8" ht="15" customHeight="1" x14ac:dyDescent="0.25">
      <c r="A54" s="8">
        <v>4</v>
      </c>
      <c r="B54" s="8">
        <v>11</v>
      </c>
      <c r="C54" s="8"/>
      <c r="D54" s="8"/>
      <c r="E54" s="8"/>
      <c r="F54" s="8"/>
      <c r="G54" s="8"/>
      <c r="H54" s="5"/>
    </row>
    <row r="55" spans="1:8" ht="15" customHeight="1" x14ac:dyDescent="0.25">
      <c r="A55" s="8">
        <v>4</v>
      </c>
      <c r="B55" s="8">
        <v>12</v>
      </c>
      <c r="C55" s="8"/>
      <c r="D55" s="8"/>
      <c r="E55" s="8"/>
      <c r="F55" s="8"/>
      <c r="G55" s="8"/>
      <c r="H55" s="5"/>
    </row>
    <row r="56" spans="1:8" ht="15" customHeight="1" x14ac:dyDescent="0.25">
      <c r="A56" s="8">
        <v>4</v>
      </c>
      <c r="B56" s="8">
        <v>13</v>
      </c>
      <c r="C56" s="8"/>
      <c r="D56" s="8"/>
      <c r="E56" s="8"/>
      <c r="F56" s="8"/>
      <c r="G56" s="8"/>
      <c r="H56" s="5"/>
    </row>
    <row r="57" spans="1:8" ht="15" customHeight="1" x14ac:dyDescent="0.25">
      <c r="A57" s="8">
        <v>5</v>
      </c>
      <c r="B57" s="8">
        <v>1</v>
      </c>
      <c r="C57" s="8"/>
      <c r="D57" s="8"/>
      <c r="E57" s="8"/>
      <c r="F57" s="8"/>
      <c r="G57" s="8"/>
      <c r="H57" s="5"/>
    </row>
    <row r="58" spans="1:8" ht="15" customHeight="1" x14ac:dyDescent="0.25">
      <c r="A58" s="8">
        <v>5</v>
      </c>
      <c r="B58" s="8">
        <v>2</v>
      </c>
      <c r="C58" s="8"/>
      <c r="D58" s="8"/>
      <c r="E58" s="8"/>
      <c r="F58" s="8"/>
      <c r="G58" s="8"/>
      <c r="H58" s="5"/>
    </row>
    <row r="59" spans="1:8" ht="15" customHeight="1" x14ac:dyDescent="0.25">
      <c r="A59" s="8">
        <v>5</v>
      </c>
      <c r="B59" s="8">
        <v>3</v>
      </c>
      <c r="C59" s="8"/>
      <c r="D59" s="8"/>
      <c r="E59" s="8"/>
      <c r="F59" s="8"/>
      <c r="G59" s="8"/>
      <c r="H59" s="5"/>
    </row>
    <row r="60" spans="1:8" ht="15" customHeight="1" x14ac:dyDescent="0.25">
      <c r="A60" s="8">
        <v>5</v>
      </c>
      <c r="B60" s="8">
        <v>4</v>
      </c>
      <c r="C60" s="8"/>
      <c r="D60" s="8"/>
      <c r="E60" s="8"/>
      <c r="F60" s="8"/>
      <c r="G60" s="8"/>
      <c r="H60" s="5"/>
    </row>
    <row r="61" spans="1:8" ht="15" customHeight="1" x14ac:dyDescent="0.25">
      <c r="A61" s="8">
        <v>5</v>
      </c>
      <c r="B61" s="8">
        <v>5</v>
      </c>
      <c r="C61" s="8"/>
      <c r="D61" s="8"/>
      <c r="E61" s="8"/>
      <c r="F61" s="8"/>
      <c r="G61" s="8"/>
      <c r="H61" s="5"/>
    </row>
    <row r="62" spans="1:8" ht="15" customHeight="1" x14ac:dyDescent="0.25">
      <c r="A62" s="8">
        <v>5</v>
      </c>
      <c r="B62" s="8">
        <v>6</v>
      </c>
      <c r="C62" s="8"/>
      <c r="D62" s="8"/>
      <c r="E62" s="8"/>
      <c r="F62" s="8"/>
      <c r="G62" s="8"/>
      <c r="H62" s="5"/>
    </row>
    <row r="63" spans="1:8" ht="15" customHeight="1" x14ac:dyDescent="0.25">
      <c r="A63" s="8">
        <v>5</v>
      </c>
      <c r="B63" s="8">
        <v>7</v>
      </c>
      <c r="C63" s="8"/>
      <c r="D63" s="8"/>
      <c r="E63" s="8"/>
      <c r="F63" s="8"/>
      <c r="G63" s="8"/>
      <c r="H63" s="5"/>
    </row>
    <row r="64" spans="1:8" ht="15" customHeight="1" x14ac:dyDescent="0.25">
      <c r="A64" s="8">
        <v>5</v>
      </c>
      <c r="B64" s="8">
        <v>8</v>
      </c>
      <c r="C64" s="8"/>
      <c r="D64" s="8"/>
      <c r="E64" s="8"/>
      <c r="F64" s="8"/>
      <c r="G64" s="8"/>
      <c r="H64" s="5"/>
    </row>
    <row r="65" spans="1:8" ht="15" customHeight="1" x14ac:dyDescent="0.25">
      <c r="A65" s="8">
        <v>5</v>
      </c>
      <c r="B65" s="8">
        <v>9</v>
      </c>
      <c r="C65" s="8"/>
      <c r="D65" s="8"/>
      <c r="E65" s="8"/>
      <c r="F65" s="8"/>
      <c r="G65" s="8"/>
      <c r="H65" s="5"/>
    </row>
    <row r="66" spans="1:8" ht="15" customHeight="1" x14ac:dyDescent="0.25">
      <c r="A66" s="8">
        <v>5</v>
      </c>
      <c r="B66" s="8">
        <v>10</v>
      </c>
      <c r="C66" s="8"/>
      <c r="D66" s="8"/>
      <c r="E66" s="8"/>
      <c r="F66" s="8"/>
      <c r="G66" s="8"/>
      <c r="H66" s="5"/>
    </row>
    <row r="67" spans="1:8" ht="15" customHeight="1" x14ac:dyDescent="0.25">
      <c r="A67" s="8">
        <v>5</v>
      </c>
      <c r="B67" s="8">
        <v>11</v>
      </c>
      <c r="C67" s="8"/>
      <c r="D67" s="8"/>
      <c r="E67" s="8"/>
      <c r="F67" s="8"/>
      <c r="G67" s="8"/>
      <c r="H67" s="5"/>
    </row>
    <row r="68" spans="1:8" ht="15" customHeight="1" x14ac:dyDescent="0.25">
      <c r="A68" s="8">
        <v>5</v>
      </c>
      <c r="B68" s="8">
        <v>12</v>
      </c>
      <c r="C68" s="8"/>
      <c r="D68" s="8"/>
      <c r="E68" s="8"/>
      <c r="F68" s="8"/>
      <c r="G68" s="8"/>
      <c r="H68" s="5"/>
    </row>
    <row r="69" spans="1:8" ht="15" customHeight="1" x14ac:dyDescent="0.25">
      <c r="A69" s="8">
        <v>5</v>
      </c>
      <c r="B69" s="8">
        <v>13</v>
      </c>
      <c r="C69" s="8"/>
      <c r="D69" s="8"/>
      <c r="E69" s="8"/>
      <c r="F69" s="8"/>
      <c r="G69" s="8"/>
      <c r="H69" s="5"/>
    </row>
    <row r="70" spans="1:8" ht="15" customHeight="1" x14ac:dyDescent="0.25">
      <c r="A70" s="8">
        <v>6</v>
      </c>
      <c r="B70" s="8">
        <v>1</v>
      </c>
      <c r="C70" s="8"/>
      <c r="D70" s="8"/>
      <c r="E70" s="8"/>
      <c r="F70" s="8"/>
      <c r="G70" s="8"/>
      <c r="H70" s="5"/>
    </row>
    <row r="71" spans="1:8" ht="15" customHeight="1" x14ac:dyDescent="0.25">
      <c r="A71" s="8">
        <v>6</v>
      </c>
      <c r="B71" s="8">
        <v>2</v>
      </c>
      <c r="C71" s="8"/>
      <c r="D71" s="8"/>
      <c r="E71" s="8"/>
      <c r="F71" s="8"/>
      <c r="G71" s="8"/>
      <c r="H71" s="5"/>
    </row>
    <row r="72" spans="1:8" ht="15" customHeight="1" x14ac:dyDescent="0.25">
      <c r="A72" s="8">
        <v>6</v>
      </c>
      <c r="B72" s="8">
        <v>3</v>
      </c>
      <c r="C72" s="8"/>
      <c r="D72" s="8"/>
      <c r="E72" s="8"/>
      <c r="F72" s="8"/>
      <c r="G72" s="8"/>
      <c r="H72" s="5"/>
    </row>
    <row r="73" spans="1:8" ht="15" customHeight="1" x14ac:dyDescent="0.25">
      <c r="A73" s="8">
        <v>6</v>
      </c>
      <c r="B73" s="8">
        <v>4</v>
      </c>
      <c r="C73" s="8"/>
      <c r="D73" s="8"/>
      <c r="E73" s="8"/>
      <c r="F73" s="8"/>
      <c r="G73" s="8"/>
      <c r="H73" s="5"/>
    </row>
    <row r="74" spans="1:8" ht="15" customHeight="1" x14ac:dyDescent="0.25">
      <c r="A74" s="8">
        <v>6</v>
      </c>
      <c r="B74" s="8">
        <v>5</v>
      </c>
      <c r="C74" s="8"/>
      <c r="D74" s="8"/>
      <c r="E74" s="8"/>
      <c r="F74" s="8"/>
      <c r="G74" s="8"/>
      <c r="H74" s="5"/>
    </row>
    <row r="75" spans="1:8" ht="15" customHeight="1" x14ac:dyDescent="0.25">
      <c r="A75" s="8">
        <v>6</v>
      </c>
      <c r="B75" s="8">
        <v>6</v>
      </c>
      <c r="C75" s="8"/>
      <c r="D75" s="8"/>
      <c r="E75" s="8"/>
      <c r="F75" s="8"/>
      <c r="G75" s="8"/>
      <c r="H75" s="5"/>
    </row>
    <row r="76" spans="1:8" ht="15" customHeight="1" x14ac:dyDescent="0.25">
      <c r="A76" s="8">
        <v>6</v>
      </c>
      <c r="B76" s="8">
        <v>7</v>
      </c>
      <c r="C76" s="8"/>
      <c r="D76" s="8"/>
      <c r="E76" s="8"/>
      <c r="F76" s="8"/>
      <c r="G76" s="8"/>
      <c r="H76" s="5"/>
    </row>
    <row r="77" spans="1:8" ht="15" customHeight="1" x14ac:dyDescent="0.25">
      <c r="A77" s="8">
        <v>6</v>
      </c>
      <c r="B77" s="8">
        <v>8</v>
      </c>
      <c r="C77" s="8"/>
      <c r="D77" s="8"/>
      <c r="E77" s="8"/>
      <c r="F77" s="8"/>
      <c r="G77" s="8"/>
      <c r="H77" s="5"/>
    </row>
    <row r="78" spans="1:8" ht="15" customHeight="1" x14ac:dyDescent="0.25">
      <c r="A78" s="8">
        <v>6</v>
      </c>
      <c r="B78" s="8">
        <v>9</v>
      </c>
      <c r="C78" s="8"/>
      <c r="D78" s="8"/>
      <c r="E78" s="8"/>
      <c r="F78" s="8"/>
      <c r="G78" s="8"/>
      <c r="H78" s="5"/>
    </row>
    <row r="79" spans="1:8" ht="15" customHeight="1" x14ac:dyDescent="0.25">
      <c r="A79" s="8">
        <v>6</v>
      </c>
      <c r="B79" s="8">
        <v>10</v>
      </c>
      <c r="C79" s="8"/>
      <c r="D79" s="8"/>
      <c r="E79" s="8"/>
      <c r="F79" s="8"/>
      <c r="G79" s="8"/>
      <c r="H79" s="5"/>
    </row>
    <row r="80" spans="1:8" ht="15" customHeight="1" x14ac:dyDescent="0.25">
      <c r="A80" s="8">
        <v>6</v>
      </c>
      <c r="B80" s="8">
        <v>11</v>
      </c>
      <c r="C80" s="8"/>
      <c r="D80" s="8"/>
      <c r="E80" s="8"/>
      <c r="F80" s="8"/>
      <c r="G80" s="8"/>
      <c r="H80" s="5"/>
    </row>
    <row r="81" spans="1:8" ht="15" customHeight="1" x14ac:dyDescent="0.25">
      <c r="A81" s="8">
        <v>6</v>
      </c>
      <c r="B81" s="8">
        <v>12</v>
      </c>
      <c r="C81" s="8"/>
      <c r="D81" s="8"/>
      <c r="E81" s="8"/>
      <c r="F81" s="8"/>
      <c r="G81" s="8"/>
      <c r="H81" s="5"/>
    </row>
    <row r="82" spans="1:8" ht="15" customHeight="1" x14ac:dyDescent="0.25">
      <c r="A82" s="8">
        <v>6</v>
      </c>
      <c r="B82" s="8">
        <v>13</v>
      </c>
      <c r="C82" s="8"/>
      <c r="D82" s="8"/>
      <c r="E82" s="8"/>
      <c r="F82" s="8"/>
      <c r="G82" s="8"/>
      <c r="H82" s="5"/>
    </row>
    <row r="83" spans="1:8" ht="15" customHeight="1" x14ac:dyDescent="0.25">
      <c r="A83" s="8">
        <v>7</v>
      </c>
      <c r="B83" s="8">
        <v>1</v>
      </c>
      <c r="C83" s="8"/>
      <c r="D83" s="8"/>
      <c r="E83" s="8"/>
      <c r="F83" s="8"/>
      <c r="G83" s="8"/>
      <c r="H83" s="5"/>
    </row>
    <row r="84" spans="1:8" ht="15" customHeight="1" x14ac:dyDescent="0.25">
      <c r="A84" s="8">
        <v>7</v>
      </c>
      <c r="B84" s="8">
        <v>2</v>
      </c>
      <c r="C84" s="8"/>
      <c r="D84" s="8"/>
      <c r="E84" s="8"/>
      <c r="F84" s="8"/>
      <c r="G84" s="8"/>
      <c r="H84" s="5"/>
    </row>
    <row r="85" spans="1:8" ht="15" customHeight="1" x14ac:dyDescent="0.25">
      <c r="A85" s="8">
        <v>7</v>
      </c>
      <c r="B85" s="8">
        <v>3</v>
      </c>
      <c r="C85" s="8"/>
      <c r="D85" s="8"/>
      <c r="E85" s="8"/>
      <c r="F85" s="8"/>
      <c r="G85" s="8"/>
      <c r="H85" s="5"/>
    </row>
    <row r="86" spans="1:8" ht="15" customHeight="1" x14ac:dyDescent="0.25">
      <c r="A86" s="8">
        <v>7</v>
      </c>
      <c r="B86" s="8">
        <v>4</v>
      </c>
      <c r="C86" s="8"/>
      <c r="D86" s="8"/>
      <c r="E86" s="8"/>
      <c r="F86" s="8"/>
      <c r="G86" s="8"/>
      <c r="H86" s="5"/>
    </row>
    <row r="87" spans="1:8" ht="15" customHeight="1" x14ac:dyDescent="0.25">
      <c r="A87" s="8">
        <v>7</v>
      </c>
      <c r="B87" s="8">
        <v>5</v>
      </c>
      <c r="C87" s="8"/>
      <c r="D87" s="8"/>
      <c r="E87" s="8"/>
      <c r="F87" s="8"/>
      <c r="G87" s="8"/>
      <c r="H87" s="5"/>
    </row>
    <row r="88" spans="1:8" ht="15" customHeight="1" x14ac:dyDescent="0.25">
      <c r="A88" s="8">
        <v>7</v>
      </c>
      <c r="B88" s="8">
        <v>6</v>
      </c>
      <c r="C88" s="8"/>
      <c r="D88" s="8"/>
      <c r="E88" s="8"/>
      <c r="F88" s="8"/>
      <c r="G88" s="8"/>
      <c r="H88" s="5"/>
    </row>
    <row r="89" spans="1:8" ht="15" customHeight="1" x14ac:dyDescent="0.25">
      <c r="A89" s="8">
        <v>7</v>
      </c>
      <c r="B89" s="8">
        <v>7</v>
      </c>
      <c r="C89" s="8"/>
      <c r="D89" s="8"/>
      <c r="E89" s="8"/>
      <c r="F89" s="8"/>
      <c r="G89" s="8"/>
      <c r="H89" s="5"/>
    </row>
    <row r="90" spans="1:8" ht="15" customHeight="1" x14ac:dyDescent="0.25">
      <c r="A90" s="8">
        <v>7</v>
      </c>
      <c r="B90" s="8">
        <v>8</v>
      </c>
      <c r="C90" s="8"/>
      <c r="D90" s="8"/>
      <c r="E90" s="8"/>
      <c r="F90" s="8"/>
      <c r="G90" s="8"/>
      <c r="H90" s="5"/>
    </row>
    <row r="91" spans="1:8" ht="15" customHeight="1" x14ac:dyDescent="0.25">
      <c r="A91" s="8">
        <v>7</v>
      </c>
      <c r="B91" s="8">
        <v>9</v>
      </c>
      <c r="C91" s="8"/>
      <c r="D91" s="8"/>
      <c r="E91" s="8"/>
      <c r="F91" s="8"/>
      <c r="G91" s="8"/>
      <c r="H91" s="5"/>
    </row>
    <row r="92" spans="1:8" ht="15" customHeight="1" x14ac:dyDescent="0.25">
      <c r="A92" s="8">
        <v>7</v>
      </c>
      <c r="B92" s="8">
        <v>10</v>
      </c>
      <c r="C92" s="8"/>
      <c r="D92" s="8"/>
      <c r="E92" s="8"/>
      <c r="F92" s="8"/>
      <c r="G92" s="8"/>
      <c r="H92" s="5"/>
    </row>
    <row r="93" spans="1:8" ht="15" customHeight="1" x14ac:dyDescent="0.25">
      <c r="A93" s="8">
        <v>7</v>
      </c>
      <c r="B93" s="8">
        <v>11</v>
      </c>
      <c r="C93" s="8"/>
      <c r="D93" s="8"/>
      <c r="E93" s="8"/>
      <c r="F93" s="8"/>
      <c r="G93" s="8"/>
      <c r="H93" s="5"/>
    </row>
    <row r="94" spans="1:8" ht="15" customHeight="1" x14ac:dyDescent="0.25">
      <c r="A94" s="8">
        <v>7</v>
      </c>
      <c r="B94" s="8">
        <v>12</v>
      </c>
      <c r="C94" s="8"/>
      <c r="D94" s="8"/>
      <c r="E94" s="8"/>
      <c r="F94" s="8"/>
      <c r="G94" s="8"/>
      <c r="H94" s="5"/>
    </row>
    <row r="95" spans="1:8" ht="15" customHeight="1" x14ac:dyDescent="0.25">
      <c r="A95" s="8">
        <v>7</v>
      </c>
      <c r="B95" s="8">
        <v>13</v>
      </c>
      <c r="C95" s="8"/>
      <c r="D95" s="8"/>
      <c r="E95" s="8"/>
      <c r="F95" s="8"/>
      <c r="G95" s="8"/>
      <c r="H95" s="5"/>
    </row>
    <row r="96" spans="1:8" ht="15" customHeight="1" x14ac:dyDescent="0.25">
      <c r="A96" s="8">
        <v>8</v>
      </c>
      <c r="B96" s="8">
        <v>1</v>
      </c>
      <c r="C96" s="8"/>
      <c r="D96" s="8"/>
      <c r="E96" s="8"/>
      <c r="F96" s="8"/>
      <c r="G96" s="8"/>
      <c r="H96" s="5"/>
    </row>
    <row r="97" spans="1:8" ht="15" customHeight="1" x14ac:dyDescent="0.25">
      <c r="A97" s="8">
        <v>8</v>
      </c>
      <c r="B97" s="8">
        <v>2</v>
      </c>
      <c r="C97" s="8"/>
      <c r="D97" s="8"/>
      <c r="E97" s="8"/>
      <c r="F97" s="8"/>
      <c r="G97" s="8"/>
      <c r="H97" s="5"/>
    </row>
    <row r="98" spans="1:8" ht="15" customHeight="1" x14ac:dyDescent="0.25">
      <c r="A98" s="8">
        <v>8</v>
      </c>
      <c r="B98" s="8">
        <v>3</v>
      </c>
      <c r="C98" s="8"/>
      <c r="D98" s="8"/>
      <c r="E98" s="8"/>
      <c r="F98" s="8"/>
      <c r="G98" s="8"/>
      <c r="H98" s="5"/>
    </row>
    <row r="99" spans="1:8" ht="15" customHeight="1" x14ac:dyDescent="0.25">
      <c r="A99" s="8">
        <v>8</v>
      </c>
      <c r="B99" s="8">
        <v>4</v>
      </c>
      <c r="C99" s="8"/>
      <c r="D99" s="8"/>
      <c r="E99" s="8"/>
      <c r="F99" s="8"/>
      <c r="G99" s="8"/>
      <c r="H99" s="5"/>
    </row>
    <row r="100" spans="1:8" ht="15" customHeight="1" x14ac:dyDescent="0.25">
      <c r="A100" s="8">
        <v>8</v>
      </c>
      <c r="B100" s="8">
        <v>5</v>
      </c>
      <c r="C100" s="8"/>
      <c r="D100" s="8"/>
      <c r="E100" s="8"/>
      <c r="F100" s="8"/>
      <c r="G100" s="8"/>
      <c r="H100" s="5"/>
    </row>
    <row r="101" spans="1:8" ht="15" customHeight="1" x14ac:dyDescent="0.25">
      <c r="A101" s="8">
        <v>8</v>
      </c>
      <c r="B101" s="8">
        <v>6</v>
      </c>
      <c r="C101" s="8"/>
      <c r="D101" s="8"/>
      <c r="E101" s="8"/>
      <c r="F101" s="8"/>
      <c r="G101" s="8"/>
      <c r="H101" s="5"/>
    </row>
    <row r="102" spans="1:8" ht="15" customHeight="1" x14ac:dyDescent="0.25">
      <c r="A102" s="8">
        <v>8</v>
      </c>
      <c r="B102" s="8">
        <v>7</v>
      </c>
      <c r="C102" s="8"/>
      <c r="D102" s="8"/>
      <c r="E102" s="8"/>
      <c r="F102" s="8"/>
      <c r="G102" s="8"/>
      <c r="H102" s="5"/>
    </row>
    <row r="103" spans="1:8" ht="15" customHeight="1" x14ac:dyDescent="0.25">
      <c r="A103" s="8">
        <v>8</v>
      </c>
      <c r="B103" s="8">
        <v>8</v>
      </c>
      <c r="C103" s="8"/>
      <c r="D103" s="8"/>
      <c r="E103" s="8"/>
      <c r="F103" s="8"/>
      <c r="G103" s="8"/>
      <c r="H103" s="5"/>
    </row>
    <row r="104" spans="1:8" ht="15" customHeight="1" x14ac:dyDescent="0.25">
      <c r="A104" s="8">
        <v>8</v>
      </c>
      <c r="B104" s="8">
        <v>9</v>
      </c>
      <c r="C104" s="8"/>
      <c r="D104" s="8"/>
      <c r="E104" s="8"/>
      <c r="F104" s="8"/>
      <c r="G104" s="8"/>
      <c r="H104" s="5"/>
    </row>
    <row r="105" spans="1:8" ht="15" customHeight="1" x14ac:dyDescent="0.25">
      <c r="A105" s="8">
        <v>8</v>
      </c>
      <c r="B105" s="8">
        <v>10</v>
      </c>
      <c r="C105" s="8"/>
      <c r="D105" s="8"/>
      <c r="E105" s="8"/>
      <c r="F105" s="8"/>
      <c r="G105" s="8"/>
      <c r="H105" s="5"/>
    </row>
    <row r="106" spans="1:8" ht="15" customHeight="1" x14ac:dyDescent="0.25">
      <c r="A106" s="8">
        <v>8</v>
      </c>
      <c r="B106" s="8">
        <v>11</v>
      </c>
      <c r="C106" s="8"/>
      <c r="D106" s="8"/>
      <c r="E106" s="8"/>
      <c r="F106" s="8"/>
      <c r="G106" s="8"/>
      <c r="H106" s="5"/>
    </row>
    <row r="107" spans="1:8" ht="15" customHeight="1" x14ac:dyDescent="0.25">
      <c r="A107" s="8">
        <v>8</v>
      </c>
      <c r="B107" s="8">
        <v>12</v>
      </c>
      <c r="C107" s="8"/>
      <c r="D107" s="8"/>
      <c r="E107" s="8"/>
      <c r="F107" s="8"/>
      <c r="G107" s="8"/>
      <c r="H107" s="5"/>
    </row>
    <row r="108" spans="1:8" ht="15" customHeight="1" x14ac:dyDescent="0.25">
      <c r="A108" s="8">
        <v>8</v>
      </c>
      <c r="B108" s="8">
        <v>13</v>
      </c>
      <c r="C108" s="8"/>
      <c r="D108" s="8"/>
      <c r="E108" s="8"/>
      <c r="F108" s="8"/>
      <c r="G108" s="8"/>
      <c r="H108" s="5"/>
    </row>
    <row r="109" spans="1:8" ht="15" customHeight="1" x14ac:dyDescent="0.25">
      <c r="A109" s="8">
        <v>9</v>
      </c>
      <c r="B109" s="8">
        <v>1</v>
      </c>
      <c r="C109" s="8"/>
      <c r="D109" s="8"/>
      <c r="E109" s="8"/>
      <c r="F109" s="8"/>
      <c r="G109" s="8"/>
      <c r="H109" s="5"/>
    </row>
    <row r="110" spans="1:8" ht="15" customHeight="1" x14ac:dyDescent="0.25">
      <c r="A110" s="8">
        <v>9</v>
      </c>
      <c r="B110" s="8">
        <v>2</v>
      </c>
      <c r="C110" s="8"/>
      <c r="D110" s="8"/>
      <c r="E110" s="8"/>
      <c r="F110" s="8"/>
      <c r="G110" s="8"/>
      <c r="H110" s="5"/>
    </row>
    <row r="111" spans="1:8" ht="15" customHeight="1" x14ac:dyDescent="0.25">
      <c r="A111" s="8">
        <v>9</v>
      </c>
      <c r="B111" s="8">
        <v>3</v>
      </c>
      <c r="C111" s="8"/>
      <c r="D111" s="8"/>
      <c r="E111" s="8"/>
      <c r="F111" s="8"/>
      <c r="G111" s="8"/>
      <c r="H111" s="5"/>
    </row>
    <row r="112" spans="1:8" ht="15" customHeight="1" x14ac:dyDescent="0.25">
      <c r="A112" s="8">
        <v>9</v>
      </c>
      <c r="B112" s="8">
        <v>4</v>
      </c>
      <c r="C112" s="8"/>
      <c r="D112" s="8"/>
      <c r="E112" s="8"/>
      <c r="F112" s="8"/>
      <c r="G112" s="8"/>
      <c r="H112" s="5"/>
    </row>
    <row r="113" spans="1:8" ht="15" customHeight="1" x14ac:dyDescent="0.25">
      <c r="A113" s="8">
        <v>9</v>
      </c>
      <c r="B113" s="8">
        <v>5</v>
      </c>
      <c r="C113" s="8"/>
      <c r="D113" s="8"/>
      <c r="E113" s="8"/>
      <c r="F113" s="8"/>
      <c r="G113" s="8"/>
      <c r="H113" s="5"/>
    </row>
    <row r="114" spans="1:8" ht="15" customHeight="1" x14ac:dyDescent="0.25">
      <c r="A114" s="8">
        <v>9</v>
      </c>
      <c r="B114" s="8">
        <v>6</v>
      </c>
      <c r="C114" s="8"/>
      <c r="D114" s="8"/>
      <c r="E114" s="8"/>
      <c r="F114" s="8"/>
      <c r="G114" s="8"/>
      <c r="H114" s="5"/>
    </row>
    <row r="115" spans="1:8" ht="15" customHeight="1" x14ac:dyDescent="0.25">
      <c r="A115" s="8">
        <v>9</v>
      </c>
      <c r="B115" s="8">
        <v>7</v>
      </c>
      <c r="C115" s="8"/>
      <c r="D115" s="8"/>
      <c r="E115" s="8"/>
      <c r="F115" s="8"/>
      <c r="G115" s="8"/>
      <c r="H115" s="5"/>
    </row>
    <row r="116" spans="1:8" ht="15" customHeight="1" x14ac:dyDescent="0.25">
      <c r="A116" s="8">
        <v>9</v>
      </c>
      <c r="B116" s="8">
        <v>8</v>
      </c>
      <c r="C116" s="8"/>
      <c r="D116" s="8"/>
      <c r="E116" s="8"/>
      <c r="F116" s="8"/>
      <c r="G116" s="8"/>
      <c r="H116" s="5"/>
    </row>
    <row r="117" spans="1:8" ht="15" customHeight="1" x14ac:dyDescent="0.25">
      <c r="A117" s="8">
        <v>9</v>
      </c>
      <c r="B117" s="8">
        <v>9</v>
      </c>
      <c r="C117" s="8"/>
      <c r="D117" s="8"/>
      <c r="E117" s="8"/>
      <c r="F117" s="8"/>
      <c r="G117" s="8"/>
      <c r="H117" s="5"/>
    </row>
    <row r="118" spans="1:8" ht="15" customHeight="1" x14ac:dyDescent="0.25">
      <c r="A118" s="8">
        <v>9</v>
      </c>
      <c r="B118" s="8">
        <v>10</v>
      </c>
      <c r="C118" s="8"/>
      <c r="D118" s="8"/>
      <c r="E118" s="8"/>
      <c r="F118" s="8"/>
      <c r="G118" s="8"/>
      <c r="H118" s="5"/>
    </row>
    <row r="119" spans="1:8" ht="15" customHeight="1" x14ac:dyDescent="0.25">
      <c r="A119" s="8">
        <v>9</v>
      </c>
      <c r="B119" s="8">
        <v>11</v>
      </c>
      <c r="C119" s="8"/>
      <c r="D119" s="8"/>
      <c r="E119" s="8"/>
      <c r="F119" s="8"/>
      <c r="G119" s="8"/>
      <c r="H119" s="5"/>
    </row>
    <row r="120" spans="1:8" ht="15" customHeight="1" x14ac:dyDescent="0.25">
      <c r="A120" s="8">
        <v>9</v>
      </c>
      <c r="B120" s="8">
        <v>12</v>
      </c>
      <c r="C120" s="8"/>
      <c r="D120" s="8"/>
      <c r="E120" s="8"/>
      <c r="F120" s="8"/>
      <c r="G120" s="8"/>
      <c r="H120" s="5"/>
    </row>
    <row r="121" spans="1:8" ht="15" customHeight="1" x14ac:dyDescent="0.25">
      <c r="A121" s="8">
        <v>9</v>
      </c>
      <c r="B121" s="8">
        <v>13</v>
      </c>
      <c r="C121" s="8"/>
      <c r="D121" s="8"/>
      <c r="E121" s="8"/>
      <c r="F121" s="8"/>
      <c r="G121" s="8"/>
      <c r="H121" s="5"/>
    </row>
    <row r="122" spans="1:8" ht="15" customHeight="1" x14ac:dyDescent="0.25">
      <c r="A122" s="8">
        <v>10</v>
      </c>
      <c r="B122" s="8">
        <v>1</v>
      </c>
      <c r="C122" s="8"/>
      <c r="D122" s="8"/>
      <c r="E122" s="8"/>
      <c r="F122" s="8"/>
      <c r="G122" s="8"/>
      <c r="H122" s="5"/>
    </row>
    <row r="123" spans="1:8" ht="15" customHeight="1" x14ac:dyDescent="0.25">
      <c r="A123" s="8">
        <v>10</v>
      </c>
      <c r="B123" s="8">
        <v>2</v>
      </c>
      <c r="C123" s="8"/>
      <c r="D123" s="8"/>
      <c r="E123" s="8"/>
      <c r="F123" s="8"/>
      <c r="G123" s="8"/>
      <c r="H123" s="5"/>
    </row>
    <row r="124" spans="1:8" ht="15" customHeight="1" x14ac:dyDescent="0.25">
      <c r="A124" s="8">
        <v>10</v>
      </c>
      <c r="B124" s="8">
        <v>3</v>
      </c>
      <c r="C124" s="8"/>
      <c r="D124" s="8"/>
      <c r="E124" s="8"/>
      <c r="F124" s="8"/>
      <c r="G124" s="8"/>
      <c r="H124" s="5"/>
    </row>
    <row r="125" spans="1:8" ht="15" customHeight="1" x14ac:dyDescent="0.25">
      <c r="A125" s="8">
        <v>10</v>
      </c>
      <c r="B125" s="8">
        <v>4</v>
      </c>
      <c r="C125" s="8"/>
      <c r="D125" s="8"/>
      <c r="E125" s="8"/>
      <c r="F125" s="8"/>
      <c r="G125" s="8"/>
      <c r="H125" s="5"/>
    </row>
    <row r="126" spans="1:8" ht="15" customHeight="1" x14ac:dyDescent="0.25">
      <c r="A126" s="8">
        <v>10</v>
      </c>
      <c r="B126" s="8">
        <v>5</v>
      </c>
      <c r="C126" s="8"/>
      <c r="D126" s="8"/>
      <c r="E126" s="8"/>
      <c r="F126" s="8"/>
      <c r="G126" s="8"/>
      <c r="H126" s="5"/>
    </row>
    <row r="127" spans="1:8" ht="15" customHeight="1" x14ac:dyDescent="0.25">
      <c r="A127" s="8">
        <v>10</v>
      </c>
      <c r="B127" s="8">
        <v>6</v>
      </c>
      <c r="C127" s="8"/>
      <c r="D127" s="8"/>
      <c r="E127" s="8"/>
      <c r="F127" s="8"/>
      <c r="G127" s="8"/>
      <c r="H127" s="5"/>
    </row>
    <row r="128" spans="1:8" ht="15" customHeight="1" x14ac:dyDescent="0.25">
      <c r="A128" s="8">
        <v>10</v>
      </c>
      <c r="B128" s="8">
        <v>7</v>
      </c>
      <c r="C128" s="8"/>
      <c r="D128" s="8"/>
      <c r="E128" s="8"/>
      <c r="F128" s="8"/>
      <c r="G128" s="8"/>
      <c r="H128" s="5"/>
    </row>
    <row r="129" spans="1:8" ht="15" customHeight="1" x14ac:dyDescent="0.25">
      <c r="A129" s="8">
        <v>10</v>
      </c>
      <c r="B129" s="8">
        <v>8</v>
      </c>
      <c r="C129" s="8"/>
      <c r="D129" s="8"/>
      <c r="E129" s="8"/>
      <c r="F129" s="8"/>
      <c r="G129" s="8"/>
      <c r="H129" s="5"/>
    </row>
    <row r="130" spans="1:8" ht="15" customHeight="1" x14ac:dyDescent="0.25">
      <c r="A130" s="8">
        <v>10</v>
      </c>
      <c r="B130" s="8">
        <v>9</v>
      </c>
      <c r="C130" s="8"/>
      <c r="D130" s="8"/>
      <c r="E130" s="8"/>
      <c r="F130" s="8"/>
      <c r="G130" s="8"/>
      <c r="H130" s="5"/>
    </row>
    <row r="131" spans="1:8" ht="15" customHeight="1" x14ac:dyDescent="0.25">
      <c r="A131" s="8">
        <v>10</v>
      </c>
      <c r="B131" s="8">
        <v>10</v>
      </c>
      <c r="C131" s="8"/>
      <c r="D131" s="8"/>
      <c r="E131" s="8"/>
      <c r="F131" s="8"/>
      <c r="G131" s="8"/>
      <c r="H131" s="5"/>
    </row>
    <row r="132" spans="1:8" ht="15" customHeight="1" x14ac:dyDescent="0.25">
      <c r="A132" s="8">
        <v>10</v>
      </c>
      <c r="B132" s="8">
        <v>11</v>
      </c>
      <c r="C132" s="8"/>
      <c r="D132" s="8"/>
      <c r="E132" s="8"/>
      <c r="F132" s="8"/>
      <c r="G132" s="8"/>
      <c r="H132" s="5"/>
    </row>
    <row r="133" spans="1:8" ht="15" customHeight="1" x14ac:dyDescent="0.25">
      <c r="A133" s="8">
        <v>10</v>
      </c>
      <c r="B133" s="8">
        <v>12</v>
      </c>
      <c r="C133" s="8"/>
      <c r="D133" s="8"/>
      <c r="E133" s="8"/>
      <c r="F133" s="8"/>
      <c r="G133" s="8"/>
      <c r="H133" s="5"/>
    </row>
    <row r="134" spans="1:8" ht="15" customHeight="1" x14ac:dyDescent="0.25">
      <c r="A134" s="8">
        <v>10</v>
      </c>
      <c r="B134" s="8">
        <v>13</v>
      </c>
      <c r="C134" s="8"/>
      <c r="D134" s="8"/>
      <c r="E134" s="8"/>
      <c r="F134" s="8"/>
      <c r="G134" s="8"/>
      <c r="H134" s="5"/>
    </row>
    <row r="135" spans="1:8" ht="15" customHeight="1" x14ac:dyDescent="0.25">
      <c r="A135" s="8">
        <v>11</v>
      </c>
      <c r="B135" s="8">
        <v>1</v>
      </c>
      <c r="C135" s="8"/>
      <c r="D135" s="8"/>
      <c r="E135" s="8"/>
      <c r="F135" s="8"/>
      <c r="G135" s="8"/>
      <c r="H135" s="5"/>
    </row>
    <row r="136" spans="1:8" ht="15" customHeight="1" x14ac:dyDescent="0.25">
      <c r="A136" s="8">
        <v>11</v>
      </c>
      <c r="B136" s="8">
        <v>2</v>
      </c>
      <c r="C136" s="8"/>
      <c r="D136" s="8"/>
      <c r="E136" s="8"/>
      <c r="F136" s="8"/>
      <c r="G136" s="8"/>
      <c r="H136" s="5"/>
    </row>
    <row r="137" spans="1:8" ht="15" customHeight="1" x14ac:dyDescent="0.25">
      <c r="A137" s="8">
        <v>11</v>
      </c>
      <c r="B137" s="8">
        <v>3</v>
      </c>
      <c r="C137" s="8"/>
      <c r="D137" s="8"/>
      <c r="E137" s="8"/>
      <c r="F137" s="8"/>
      <c r="G137" s="8"/>
      <c r="H137" s="5"/>
    </row>
    <row r="138" spans="1:8" ht="15" customHeight="1" x14ac:dyDescent="0.25">
      <c r="A138" s="8">
        <v>11</v>
      </c>
      <c r="B138" s="8">
        <v>4</v>
      </c>
      <c r="C138" s="8"/>
      <c r="D138" s="8"/>
      <c r="E138" s="8"/>
      <c r="F138" s="8"/>
      <c r="G138" s="8"/>
      <c r="H138" s="5"/>
    </row>
    <row r="139" spans="1:8" ht="15" customHeight="1" x14ac:dyDescent="0.25">
      <c r="A139" s="8">
        <v>11</v>
      </c>
      <c r="B139" s="8">
        <v>5</v>
      </c>
      <c r="C139" s="8"/>
      <c r="D139" s="8"/>
      <c r="E139" s="8"/>
      <c r="F139" s="8"/>
      <c r="G139" s="8"/>
      <c r="H139" s="5"/>
    </row>
    <row r="140" spans="1:8" ht="15" customHeight="1" x14ac:dyDescent="0.25">
      <c r="A140" s="8">
        <v>11</v>
      </c>
      <c r="B140" s="8">
        <v>6</v>
      </c>
      <c r="C140" s="8"/>
      <c r="D140" s="8"/>
      <c r="E140" s="8"/>
      <c r="F140" s="8"/>
      <c r="G140" s="8"/>
      <c r="H140" s="5"/>
    </row>
    <row r="141" spans="1:8" ht="15" customHeight="1" x14ac:dyDescent="0.25">
      <c r="A141" s="8">
        <v>11</v>
      </c>
      <c r="B141" s="8">
        <v>7</v>
      </c>
      <c r="C141" s="8"/>
      <c r="D141" s="8"/>
      <c r="E141" s="8"/>
      <c r="F141" s="8"/>
      <c r="G141" s="8"/>
      <c r="H141" s="5"/>
    </row>
    <row r="142" spans="1:8" ht="15" customHeight="1" x14ac:dyDescent="0.25">
      <c r="A142" s="8">
        <v>11</v>
      </c>
      <c r="B142" s="8">
        <v>8</v>
      </c>
      <c r="C142" s="8"/>
      <c r="D142" s="8"/>
      <c r="E142" s="8"/>
      <c r="F142" s="8"/>
      <c r="G142" s="8"/>
      <c r="H142" s="5"/>
    </row>
    <row r="143" spans="1:8" ht="15" customHeight="1" x14ac:dyDescent="0.25">
      <c r="A143" s="8">
        <v>11</v>
      </c>
      <c r="B143" s="8">
        <v>9</v>
      </c>
      <c r="C143" s="8"/>
      <c r="D143" s="8"/>
      <c r="E143" s="8"/>
      <c r="F143" s="8"/>
      <c r="G143" s="8"/>
      <c r="H143" s="5"/>
    </row>
    <row r="144" spans="1:8" ht="15" customHeight="1" x14ac:dyDescent="0.25">
      <c r="A144" s="8">
        <v>11</v>
      </c>
      <c r="B144" s="8">
        <v>10</v>
      </c>
      <c r="C144" s="8"/>
      <c r="D144" s="8"/>
      <c r="E144" s="8"/>
      <c r="F144" s="8"/>
      <c r="G144" s="8"/>
      <c r="H144" s="5"/>
    </row>
    <row r="145" spans="1:8" ht="15" customHeight="1" x14ac:dyDescent="0.25">
      <c r="A145" s="8">
        <v>11</v>
      </c>
      <c r="B145" s="8">
        <v>11</v>
      </c>
      <c r="C145" s="8"/>
      <c r="D145" s="8"/>
      <c r="E145" s="8"/>
      <c r="F145" s="8"/>
      <c r="G145" s="8"/>
      <c r="H145" s="5"/>
    </row>
    <row r="146" spans="1:8" ht="15" customHeight="1" x14ac:dyDescent="0.25">
      <c r="A146" s="8">
        <v>11</v>
      </c>
      <c r="B146" s="8">
        <v>12</v>
      </c>
      <c r="C146" s="8"/>
      <c r="D146" s="8"/>
      <c r="E146" s="8"/>
      <c r="F146" s="8"/>
      <c r="G146" s="8"/>
      <c r="H146" s="5"/>
    </row>
    <row r="147" spans="1:8" ht="15" customHeight="1" x14ac:dyDescent="0.25">
      <c r="A147" s="8">
        <v>11</v>
      </c>
      <c r="B147" s="8">
        <v>13</v>
      </c>
      <c r="C147" s="8"/>
      <c r="D147" s="8"/>
      <c r="E147" s="8"/>
      <c r="F147" s="8"/>
      <c r="G147" s="8"/>
      <c r="H147" s="5"/>
    </row>
    <row r="148" spans="1:8" ht="15" customHeight="1" x14ac:dyDescent="0.25">
      <c r="A148" s="8">
        <v>12</v>
      </c>
      <c r="B148" s="8">
        <v>1</v>
      </c>
      <c r="C148" s="8"/>
      <c r="D148" s="8"/>
      <c r="E148" s="8"/>
      <c r="F148" s="8"/>
      <c r="G148" s="8"/>
      <c r="H148" s="5"/>
    </row>
    <row r="149" spans="1:8" ht="15" customHeight="1" x14ac:dyDescent="0.25">
      <c r="A149" s="8">
        <v>12</v>
      </c>
      <c r="B149" s="8">
        <v>2</v>
      </c>
      <c r="C149" s="8"/>
      <c r="D149" s="8"/>
      <c r="E149" s="8"/>
      <c r="F149" s="8"/>
      <c r="G149" s="8"/>
      <c r="H149" s="5"/>
    </row>
    <row r="150" spans="1:8" ht="15" customHeight="1" x14ac:dyDescent="0.25">
      <c r="A150" s="8">
        <v>12</v>
      </c>
      <c r="B150" s="8">
        <v>3</v>
      </c>
      <c r="C150" s="8"/>
      <c r="D150" s="8"/>
      <c r="E150" s="8"/>
      <c r="F150" s="8"/>
      <c r="G150" s="8"/>
      <c r="H150" s="5"/>
    </row>
    <row r="151" spans="1:8" ht="15" customHeight="1" x14ac:dyDescent="0.25">
      <c r="A151" s="8">
        <v>12</v>
      </c>
      <c r="B151" s="8">
        <v>4</v>
      </c>
      <c r="C151" s="8"/>
      <c r="D151" s="8"/>
      <c r="E151" s="8"/>
      <c r="F151" s="8"/>
      <c r="G151" s="8"/>
      <c r="H151" s="5"/>
    </row>
    <row r="152" spans="1:8" ht="15" customHeight="1" x14ac:dyDescent="0.25">
      <c r="A152" s="8">
        <v>12</v>
      </c>
      <c r="B152" s="8">
        <v>5</v>
      </c>
      <c r="C152" s="8"/>
      <c r="D152" s="8"/>
      <c r="E152" s="8"/>
      <c r="F152" s="8"/>
      <c r="G152" s="8"/>
      <c r="H152" s="5"/>
    </row>
    <row r="153" spans="1:8" ht="15" customHeight="1" x14ac:dyDescent="0.25">
      <c r="A153" s="8">
        <v>12</v>
      </c>
      <c r="B153" s="8">
        <v>6</v>
      </c>
      <c r="C153" s="8"/>
      <c r="D153" s="8"/>
      <c r="E153" s="8"/>
      <c r="F153" s="8"/>
      <c r="G153" s="8"/>
      <c r="H153" s="5"/>
    </row>
    <row r="154" spans="1:8" ht="15" customHeight="1" x14ac:dyDescent="0.25">
      <c r="A154" s="8">
        <v>12</v>
      </c>
      <c r="B154" s="8">
        <v>7</v>
      </c>
      <c r="C154" s="8"/>
      <c r="D154" s="8"/>
      <c r="E154" s="8"/>
      <c r="F154" s="8"/>
      <c r="G154" s="8"/>
      <c r="H154" s="5"/>
    </row>
    <row r="155" spans="1:8" ht="15" customHeight="1" x14ac:dyDescent="0.25">
      <c r="A155" s="8">
        <v>12</v>
      </c>
      <c r="B155" s="8">
        <v>8</v>
      </c>
      <c r="C155" s="8"/>
      <c r="D155" s="8"/>
      <c r="E155" s="8"/>
      <c r="F155" s="8"/>
      <c r="G155" s="8"/>
      <c r="H155" s="5"/>
    </row>
    <row r="156" spans="1:8" ht="15" customHeight="1" x14ac:dyDescent="0.25">
      <c r="A156" s="8">
        <v>12</v>
      </c>
      <c r="B156" s="8">
        <v>9</v>
      </c>
      <c r="C156" s="8"/>
      <c r="D156" s="8"/>
      <c r="E156" s="8"/>
      <c r="F156" s="8"/>
      <c r="G156" s="8"/>
      <c r="H156" s="5"/>
    </row>
    <row r="157" spans="1:8" ht="15" customHeight="1" x14ac:dyDescent="0.25">
      <c r="A157" s="8">
        <v>12</v>
      </c>
      <c r="B157" s="8">
        <v>10</v>
      </c>
      <c r="C157" s="8"/>
      <c r="D157" s="8"/>
      <c r="E157" s="8"/>
      <c r="F157" s="8"/>
      <c r="G157" s="8"/>
      <c r="H157" s="5"/>
    </row>
    <row r="158" spans="1:8" ht="15" customHeight="1" x14ac:dyDescent="0.25">
      <c r="A158" s="8">
        <v>12</v>
      </c>
      <c r="B158" s="8">
        <v>11</v>
      </c>
      <c r="C158" s="8"/>
      <c r="D158" s="8"/>
      <c r="E158" s="8"/>
      <c r="F158" s="8"/>
      <c r="G158" s="8"/>
      <c r="H158" s="5"/>
    </row>
    <row r="159" spans="1:8" ht="15" customHeight="1" x14ac:dyDescent="0.25">
      <c r="A159" s="8">
        <v>12</v>
      </c>
      <c r="B159" s="8">
        <v>12</v>
      </c>
      <c r="C159" s="8"/>
      <c r="D159" s="8"/>
      <c r="E159" s="8"/>
      <c r="F159" s="8"/>
      <c r="G159" s="8"/>
      <c r="H159" s="5"/>
    </row>
    <row r="160" spans="1:8" ht="15" customHeight="1" x14ac:dyDescent="0.25">
      <c r="A160" s="8">
        <v>12</v>
      </c>
      <c r="B160" s="8">
        <v>13</v>
      </c>
      <c r="C160" s="8"/>
      <c r="D160" s="8"/>
      <c r="E160" s="8"/>
      <c r="F160" s="8"/>
      <c r="G160" s="8"/>
      <c r="H160" s="5"/>
    </row>
    <row r="161" spans="1:8" ht="15" customHeight="1" x14ac:dyDescent="0.25">
      <c r="A161" s="8">
        <v>13</v>
      </c>
      <c r="B161" s="8">
        <v>1</v>
      </c>
      <c r="C161" s="8"/>
      <c r="D161" s="8"/>
      <c r="E161" s="8"/>
      <c r="F161" s="8"/>
      <c r="G161" s="8"/>
      <c r="H161" s="5"/>
    </row>
    <row r="162" spans="1:8" ht="15" customHeight="1" x14ac:dyDescent="0.25">
      <c r="A162" s="8">
        <v>13</v>
      </c>
      <c r="B162" s="8">
        <v>2</v>
      </c>
      <c r="C162" s="8"/>
      <c r="D162" s="8"/>
      <c r="E162" s="8"/>
      <c r="F162" s="8"/>
      <c r="G162" s="8"/>
      <c r="H162" s="5"/>
    </row>
    <row r="163" spans="1:8" ht="15" customHeight="1" x14ac:dyDescent="0.25">
      <c r="A163" s="8">
        <v>13</v>
      </c>
      <c r="B163" s="8">
        <v>3</v>
      </c>
      <c r="C163" s="8"/>
      <c r="D163" s="8"/>
      <c r="E163" s="8"/>
      <c r="F163" s="8"/>
      <c r="G163" s="8"/>
      <c r="H163" s="5"/>
    </row>
    <row r="164" spans="1:8" ht="15" customHeight="1" x14ac:dyDescent="0.25">
      <c r="A164" s="8">
        <v>13</v>
      </c>
      <c r="B164" s="8">
        <v>4</v>
      </c>
      <c r="C164" s="8"/>
      <c r="D164" s="8"/>
      <c r="E164" s="8"/>
      <c r="F164" s="8"/>
      <c r="G164" s="8"/>
      <c r="H164" s="5"/>
    </row>
    <row r="165" spans="1:8" ht="15" customHeight="1" x14ac:dyDescent="0.25">
      <c r="A165" s="8">
        <v>13</v>
      </c>
      <c r="B165" s="8">
        <v>5</v>
      </c>
      <c r="C165" s="8"/>
      <c r="D165" s="8"/>
      <c r="E165" s="8"/>
      <c r="F165" s="8"/>
      <c r="G165" s="8"/>
      <c r="H165" s="5"/>
    </row>
    <row r="166" spans="1:8" ht="15" customHeight="1" x14ac:dyDescent="0.25">
      <c r="A166" s="8">
        <v>13</v>
      </c>
      <c r="B166" s="8">
        <v>6</v>
      </c>
      <c r="C166" s="8"/>
      <c r="D166" s="8"/>
      <c r="E166" s="8"/>
      <c r="F166" s="8"/>
      <c r="G166" s="8"/>
      <c r="H166" s="5"/>
    </row>
    <row r="167" spans="1:8" ht="15" customHeight="1" x14ac:dyDescent="0.25">
      <c r="A167" s="8">
        <v>13</v>
      </c>
      <c r="B167" s="8">
        <v>7</v>
      </c>
      <c r="C167" s="8"/>
      <c r="D167" s="8"/>
      <c r="E167" s="8"/>
      <c r="F167" s="8"/>
      <c r="G167" s="8"/>
      <c r="H167" s="5"/>
    </row>
    <row r="168" spans="1:8" ht="15" customHeight="1" x14ac:dyDescent="0.25">
      <c r="A168" s="8">
        <v>13</v>
      </c>
      <c r="B168" s="8">
        <v>8</v>
      </c>
      <c r="C168" s="8"/>
      <c r="D168" s="8"/>
      <c r="E168" s="8"/>
      <c r="F168" s="8"/>
      <c r="G168" s="8"/>
      <c r="H168" s="5"/>
    </row>
    <row r="169" spans="1:8" ht="15" customHeight="1" x14ac:dyDescent="0.25">
      <c r="A169" s="8">
        <v>13</v>
      </c>
      <c r="B169" s="8">
        <v>9</v>
      </c>
      <c r="C169" s="8"/>
      <c r="D169" s="8"/>
      <c r="E169" s="8"/>
      <c r="F169" s="8"/>
      <c r="G169" s="8"/>
      <c r="H169" s="5"/>
    </row>
    <row r="170" spans="1:8" ht="15" customHeight="1" x14ac:dyDescent="0.25">
      <c r="A170" s="8">
        <v>13</v>
      </c>
      <c r="B170" s="8">
        <v>10</v>
      </c>
      <c r="C170" s="8"/>
      <c r="D170" s="8"/>
      <c r="E170" s="8"/>
      <c r="F170" s="8"/>
      <c r="G170" s="8"/>
      <c r="H170" s="5"/>
    </row>
    <row r="171" spans="1:8" ht="15" customHeight="1" x14ac:dyDescent="0.25">
      <c r="A171" s="8">
        <v>13</v>
      </c>
      <c r="B171" s="8">
        <v>11</v>
      </c>
      <c r="C171" s="8"/>
      <c r="D171" s="8"/>
      <c r="E171" s="8"/>
      <c r="F171" s="8"/>
      <c r="G171" s="8"/>
      <c r="H171" s="5"/>
    </row>
    <row r="172" spans="1:8" ht="15" customHeight="1" x14ac:dyDescent="0.25">
      <c r="A172" s="8">
        <v>13</v>
      </c>
      <c r="B172" s="8">
        <v>12</v>
      </c>
      <c r="C172" s="8"/>
      <c r="D172" s="8"/>
      <c r="E172" s="8"/>
      <c r="F172" s="8"/>
      <c r="G172" s="8"/>
      <c r="H172" s="5"/>
    </row>
    <row r="173" spans="1:8" ht="15" customHeight="1" x14ac:dyDescent="0.25">
      <c r="A173" s="8">
        <v>13</v>
      </c>
      <c r="B173" s="8">
        <v>13</v>
      </c>
      <c r="C173" s="8"/>
      <c r="D173" s="8"/>
      <c r="E173" s="8"/>
      <c r="F173" s="8"/>
      <c r="G173" s="8"/>
      <c r="H173" s="5"/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277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1&amp;CHAR(10)&amp;Games!C5&amp;" vs "&amp;Games!D5</f>
        <v>1
Georgia Tech vs Colorado</v>
      </c>
      <c r="C4" s="10" t="str">
        <f>2&amp;CHAR(10)&amp;Games!C6&amp;" vs "&amp;Games!D6</f>
        <v>2
Eastern Michigan vs San Jose State</v>
      </c>
      <c r="D4" s="10" t="str">
        <f>3&amp;CHAR(10)&amp;Games!C7&amp;" vs "&amp;Games!D7</f>
        <v>3
James Madison vs Liberty</v>
      </c>
      <c r="E4" s="10" t="str">
        <f>4&amp;CHAR(10)&amp;Games!C8&amp;" vs "&amp;Games!D8</f>
        <v>4
Cincinnati vs Boston College</v>
      </c>
      <c r="F4" s="10" t="str">
        <f>5&amp;CHAR(10)&amp;Games!C9&amp;" vs "&amp;Games!D9</f>
        <v>5
Duke vs Tulane</v>
      </c>
      <c r="G4" s="10" t="str">
        <f>6&amp;CHAR(10)&amp;Games!C10&amp;" vs "&amp;Games!D10</f>
        <v>6
Auburn vs Baylor</v>
      </c>
      <c r="H4" s="10" t="str">
        <f>7&amp;CHAR(10)&amp;Games!C11&amp;" vs "&amp;Games!D11</f>
        <v>7
Colorado State vs Wyoming</v>
      </c>
      <c r="I4" s="10" t="str">
        <f>8&amp;CHAR(10)&amp;Games!C12&amp;" vs "&amp;Games!D12</f>
        <v>8
LSU vs Clemson</v>
      </c>
      <c r="J4" s="10" t="str">
        <f>9&amp;CHAR(10)&amp;Games!C13&amp;" vs "&amp;Games!D13</f>
        <v>9
UNLV vs Hawai'i</v>
      </c>
      <c r="K4" s="10" t="str">
        <f>10&amp;CHAR(10)&amp;Games!C14&amp;" vs "&amp;Games!D14</f>
        <v>10
UCLA vs California</v>
      </c>
      <c r="L4" s="10" t="str">
        <f>11&amp;CHAR(10)&amp;Games!C15&amp;" vs "&amp;Games!D15</f>
        <v>11
Western Kentucky vs Nevada</v>
      </c>
      <c r="M4" s="10" t="str">
        <f>12&amp;CHAR(10)&amp;Games!C16&amp;" vs "&amp;Games!D16</f>
        <v>12
Ole Miss vs Louisville</v>
      </c>
      <c r="N4" s="10" t="str">
        <f>13&amp;CHAR(10)&amp;Games!C17&amp;" vs "&amp;Games!D17</f>
        <v>13
SMU vs Florida State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 t="s">
        <v>183</v>
      </c>
      <c r="C6" s="5" t="s">
        <v>187</v>
      </c>
      <c r="D6" s="5" t="s">
        <v>191</v>
      </c>
      <c r="E6" s="5" t="s">
        <v>195</v>
      </c>
      <c r="F6" s="5" t="s">
        <v>199</v>
      </c>
      <c r="G6" s="5" t="s">
        <v>202</v>
      </c>
      <c r="H6" s="5" t="s">
        <v>206</v>
      </c>
      <c r="I6" s="5" t="s">
        <v>210</v>
      </c>
      <c r="J6" s="5" t="s">
        <v>214</v>
      </c>
      <c r="K6" s="5" t="s">
        <v>218</v>
      </c>
      <c r="L6" s="5" t="s">
        <v>220</v>
      </c>
      <c r="M6" s="5" t="s">
        <v>223</v>
      </c>
      <c r="N6" s="5" t="s">
        <v>226</v>
      </c>
      <c r="O6" s="5">
        <v>4</v>
      </c>
      <c r="P6" s="5">
        <v>6</v>
      </c>
      <c r="Q6" s="5">
        <v>8</v>
      </c>
      <c r="R6" s="5">
        <v>55</v>
      </c>
      <c r="S6" s="4">
        <f>IF(OR(B6="",Results!B5=""),"",IF(B6=Results!B5,1+IF(OR($O6=1,$P6=1,$Q6=1),1,0),0))</f>
        <v>0</v>
      </c>
      <c r="T6" s="4">
        <f>IF(OR(C6="",Results!C5=""),"",IF(C6=Results!C5,1+IF(OR($O6=2,$P6=2,$Q6=2),1,0),0))</f>
        <v>0</v>
      </c>
      <c r="U6" s="4">
        <f>IF(OR(D6="",Results!D5=""),"",IF(D6=Results!D5,1+IF(OR($O6=3,$P6=3,$Q6=3),1,0),0))</f>
        <v>1</v>
      </c>
      <c r="V6" s="4">
        <f>IF(OR(E6="",Results!E5=""),"",IF(E6=Results!E5,1+IF(OR($O6=4,$P6=4,$Q6=4),1,0),0))</f>
        <v>2</v>
      </c>
      <c r="W6" s="4">
        <f>IF(OR(F6="",Results!F5=""),"",IF(F6=Results!F5,1+IF(OR($O6=5,$P6=5,$Q6=5),1,0),0))</f>
        <v>1</v>
      </c>
      <c r="X6" s="4">
        <f>IF(OR(G6="",Results!G5=""),"",IF(G6=Results!G5,1+IF(OR($O6=6,$P6=6,$Q6=6),1,0),0))</f>
        <v>2</v>
      </c>
      <c r="Y6" s="4">
        <f>IF(OR(H6="",Results!H5=""),"",IF(H6=Results!H5,1+IF(OR($O6=7,$P6=7,$Q6=7),1,0),0))</f>
        <v>1</v>
      </c>
      <c r="Z6" s="4">
        <f>IF(OR(I6="",Results!I5=""),"",IF(I6=Results!I5,1+IF(OR($O6=8,$P6=8,$Q6=8),1,0),0))</f>
        <v>2</v>
      </c>
      <c r="AA6" s="4">
        <f>IF(OR(J6="",Results!J5=""),"",IF(J6=Results!J5,1+IF(OR($O6=9,$P6=9,$Q6=9),1,0),0))</f>
        <v>0</v>
      </c>
      <c r="AB6" s="4">
        <f>IF(OR(K6="",Results!K5=""),"",IF(K6=Results!K5,1+IF(OR($O6=10,$P6=10,$Q6=10),1,0),0))</f>
        <v>0</v>
      </c>
      <c r="AC6" s="4">
        <f>IF(OR(L6="",Results!L5=""),"",IF(L6=Results!L5,1+IF(OR($O6=11,$P6=11,$Q6=11),1,0),0))</f>
        <v>0</v>
      </c>
      <c r="AD6" s="4">
        <f>IF(OR(M6="",Results!M5=""),"",IF(M6=Results!M5,1+IF(OR($O6=12,$P6=12,$Q6=12),1,0),0))</f>
        <v>1</v>
      </c>
      <c r="AE6" s="4">
        <f>IF(OR(N6="",Results!N5=""),"",IF(N6=Results!N5,1+IF(OR($O6=13,$P6=13,$Q6=13),1,0),0))</f>
        <v>1</v>
      </c>
      <c r="AF6" s="11">
        <f t="shared" ref="AF6:AF37" si="0">SUM(S6:AE6)</f>
        <v>11</v>
      </c>
      <c r="AG6" s="4">
        <f>IF(OR($R6="",Results!O5=""),"",ABS($R6-Results!O5))</f>
        <v>4</v>
      </c>
      <c r="AH6" s="12">
        <v>2</v>
      </c>
      <c r="AI6" s="13">
        <f>IF(OR(B6="",Results!B5=""),"",IF(AND(B6=Results!B5,Results!B5&lt;&gt;Games!$C$5),1,0))</f>
        <v>0</v>
      </c>
      <c r="AJ6" s="13">
        <f>IF(OR(C6="",Results!C5=""),"",IF(AND(C6=Results!C5,Results!C5&lt;&gt;Games!$C$6),1,0))</f>
        <v>0</v>
      </c>
      <c r="AK6" s="13">
        <f>IF(OR(D6="",Results!D5=""),"",IF(AND(D6=Results!D5,Results!D5&lt;&gt;Games!$C$7),1,0))</f>
        <v>0</v>
      </c>
      <c r="AL6" s="13">
        <f>IF(OR(E6="",Results!E5=""),"",IF(AND(E6=Results!E5,Results!E5&lt;&gt;Games!$C$8),1,0))</f>
        <v>0</v>
      </c>
      <c r="AM6" s="13">
        <f>IF(OR(F6="",Results!F5=""),"",IF(AND(F6=Results!F5,Results!F5&lt;&gt;Games!$C$9),1,0))</f>
        <v>0</v>
      </c>
      <c r="AN6" s="13">
        <f>IF(OR(G6="",Results!G5=""),"",IF(AND(G6=Results!G5,Results!G5&lt;&gt;Games!$C$10),1,0))</f>
        <v>0</v>
      </c>
      <c r="AO6" s="13">
        <f>IF(OR(H6="",Results!H5=""),"",IF(AND(H6=Results!H5,Results!H5&lt;&gt;Games!$C$11),1,0))</f>
        <v>0</v>
      </c>
      <c r="AP6" s="13">
        <f>IF(OR(I6="",Results!I5=""),"",IF(AND(I6=Results!I5,Results!I5&lt;&gt;Games!$C$12),1,0))</f>
        <v>0</v>
      </c>
      <c r="AQ6" s="13">
        <f>IF(OR(J6="",Results!J5=""),"",IF(AND(J6=Results!J5,Results!J5&lt;&gt;Games!$C$13),1,0))</f>
        <v>0</v>
      </c>
      <c r="AR6" s="13">
        <f>IF(OR(K6="",Results!K5=""),"",IF(AND(K6=Results!K5,Results!K5&lt;&gt;Games!$C$14),1,0))</f>
        <v>0</v>
      </c>
      <c r="AS6" s="13">
        <f>IF(OR(L6="",Results!L5=""),"",IF(AND(L6=Results!L5,Results!L5&lt;&gt;Games!$C$15),1,0))</f>
        <v>0</v>
      </c>
      <c r="AT6" s="13">
        <f>IF(OR(M6="",Results!M5=""),"",IF(AND(M6=Results!M5,Results!M5&lt;&gt;Games!$C$16),1,0))</f>
        <v>0</v>
      </c>
      <c r="AU6" s="13">
        <f>IF(OR(N6="",Results!N5=""),"",IF(AND(N6=Results!N5,Results!N5&lt;&gt;Games!$C$17),1,0))</f>
        <v>0</v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 t="s">
        <v>183</v>
      </c>
      <c r="C7" s="5" t="s">
        <v>187</v>
      </c>
      <c r="D7" s="5" t="s">
        <v>191</v>
      </c>
      <c r="E7" s="5" t="s">
        <v>195</v>
      </c>
      <c r="F7" s="5" t="s">
        <v>199</v>
      </c>
      <c r="G7" s="5" t="s">
        <v>202</v>
      </c>
      <c r="H7" s="5" t="s">
        <v>207</v>
      </c>
      <c r="I7" s="5" t="s">
        <v>210</v>
      </c>
      <c r="J7" s="5" t="s">
        <v>213</v>
      </c>
      <c r="K7" s="5" t="s">
        <v>218</v>
      </c>
      <c r="L7" s="5" t="s">
        <v>221</v>
      </c>
      <c r="M7" s="5" t="s">
        <v>223</v>
      </c>
      <c r="N7" s="5" t="s">
        <v>227</v>
      </c>
      <c r="O7" s="5">
        <v>5</v>
      </c>
      <c r="P7" s="5">
        <v>6</v>
      </c>
      <c r="Q7" s="5">
        <v>8</v>
      </c>
      <c r="R7" s="5">
        <v>54</v>
      </c>
      <c r="S7" s="4">
        <f>IF(OR(B7="",Results!B5=""),"",IF(B7=Results!B5,1+IF(OR($O7=1,$P7=1,$Q7=1),1,0),0))</f>
        <v>0</v>
      </c>
      <c r="T7" s="4">
        <f>IF(OR(C7="",Results!C5=""),"",IF(C7=Results!C5,1+IF(OR($O7=2,$P7=2,$Q7=2),1,0),0))</f>
        <v>0</v>
      </c>
      <c r="U7" s="4">
        <f>IF(OR(D7="",Results!D5=""),"",IF(D7=Results!D5,1+IF(OR($O7=3,$P7=3,$Q7=3),1,0),0))</f>
        <v>1</v>
      </c>
      <c r="V7" s="4">
        <f>IF(OR(E7="",Results!E5=""),"",IF(E7=Results!E5,1+IF(OR($O7=4,$P7=4,$Q7=4),1,0),0))</f>
        <v>1</v>
      </c>
      <c r="W7" s="4">
        <f>IF(OR(F7="",Results!F5=""),"",IF(F7=Results!F5,1+IF(OR($O7=5,$P7=5,$Q7=5),1,0),0))</f>
        <v>2</v>
      </c>
      <c r="X7" s="4">
        <f>IF(OR(G7="",Results!G5=""),"",IF(G7=Results!G5,1+IF(OR($O7=6,$P7=6,$Q7=6),1,0),0))</f>
        <v>2</v>
      </c>
      <c r="Y7" s="4">
        <f>IF(OR(H7="",Results!H5=""),"",IF(H7=Results!H5,1+IF(OR($O7=7,$P7=7,$Q7=7),1,0),0))</f>
        <v>0</v>
      </c>
      <c r="Z7" s="4">
        <f>IF(OR(I7="",Results!I5=""),"",IF(I7=Results!I5,1+IF(OR($O7=8,$P7=8,$Q7=8),1,0),0))</f>
        <v>2</v>
      </c>
      <c r="AA7" s="4">
        <f>IF(OR(J7="",Results!J5=""),"",IF(J7=Results!J5,1+IF(OR($O7=9,$P7=9,$Q7=9),1,0),0))</f>
        <v>1</v>
      </c>
      <c r="AB7" s="4">
        <f>IF(OR(K7="",Results!K5=""),"",IF(K7=Results!K5,1+IF(OR($O7=10,$P7=10,$Q7=10),1,0),0))</f>
        <v>0</v>
      </c>
      <c r="AC7" s="4">
        <f>IF(OR(L7="",Results!L5=""),"",IF(L7=Results!L5,1+IF(OR($O7=11,$P7=11,$Q7=11),1,0),0))</f>
        <v>1</v>
      </c>
      <c r="AD7" s="4">
        <f>IF(OR(M7="",Results!M5=""),"",IF(M7=Results!M5,1+IF(OR($O7=12,$P7=12,$Q7=12),1,0),0))</f>
        <v>1</v>
      </c>
      <c r="AE7" s="4">
        <f>IF(OR(N7="",Results!N5=""),"",IF(N7=Results!N5,1+IF(OR($O7=13,$P7=13,$Q7=13),1,0),0))</f>
        <v>0</v>
      </c>
      <c r="AF7" s="11">
        <f t="shared" si="0"/>
        <v>11</v>
      </c>
      <c r="AG7" s="4">
        <f>IF(OR($R7="",Results!O5=""),"",ABS($R7-Results!O5))</f>
        <v>3</v>
      </c>
      <c r="AH7" s="12">
        <v>53</v>
      </c>
      <c r="AI7" s="13">
        <f>IF(OR(B7="",Results!B5=""),"",IF(AND(B7=Results!B5,Results!B5&lt;&gt;Games!$C$5),1,0))</f>
        <v>0</v>
      </c>
      <c r="AJ7" s="13">
        <f>IF(OR(C7="",Results!C5=""),"",IF(AND(C7=Results!C5,Results!C5&lt;&gt;Games!$C$6),1,0))</f>
        <v>0</v>
      </c>
      <c r="AK7" s="13">
        <f>IF(OR(D7="",Results!D5=""),"",IF(AND(D7=Results!D5,Results!D5&lt;&gt;Games!$C$7),1,0))</f>
        <v>0</v>
      </c>
      <c r="AL7" s="13">
        <f>IF(OR(E7="",Results!E5=""),"",IF(AND(E7=Results!E5,Results!E5&lt;&gt;Games!$C$8),1,0))</f>
        <v>0</v>
      </c>
      <c r="AM7" s="13">
        <f>IF(OR(F7="",Results!F5=""),"",IF(AND(F7=Results!F5,Results!F5&lt;&gt;Games!$C$9),1,0))</f>
        <v>0</v>
      </c>
      <c r="AN7" s="13">
        <f>IF(OR(G7="",Results!G5=""),"",IF(AND(G7=Results!G5,Results!G5&lt;&gt;Games!$C$10),1,0))</f>
        <v>0</v>
      </c>
      <c r="AO7" s="13">
        <f>IF(OR(H7="",Results!H5=""),"",IF(AND(H7=Results!H5,Results!H5&lt;&gt;Games!$C$11),1,0))</f>
        <v>0</v>
      </c>
      <c r="AP7" s="13">
        <f>IF(OR(I7="",Results!I5=""),"",IF(AND(I7=Results!I5,Results!I5&lt;&gt;Games!$C$12),1,0))</f>
        <v>0</v>
      </c>
      <c r="AQ7" s="13">
        <f>IF(OR(J7="",Results!J5=""),"",IF(AND(J7=Results!J5,Results!J5&lt;&gt;Games!$C$13),1,0))</f>
        <v>0</v>
      </c>
      <c r="AR7" s="13">
        <f>IF(OR(K7="",Results!K5=""),"",IF(AND(K7=Results!K5,Results!K5&lt;&gt;Games!$C$14),1,0))</f>
        <v>0</v>
      </c>
      <c r="AS7" s="13">
        <f>IF(OR(L7="",Results!L5=""),"",IF(AND(L7=Results!L5,Results!L5&lt;&gt;Games!$C$15),1,0))</f>
        <v>1</v>
      </c>
      <c r="AT7" s="13">
        <f>IF(OR(M7="",Results!M5=""),"",IF(AND(M7=Results!M5,Results!M5&lt;&gt;Games!$C$16),1,0))</f>
        <v>0</v>
      </c>
      <c r="AU7" s="13">
        <f>IF(OR(N7="",Results!N5=""),"",IF(AND(N7=Results!N5,Results!N5&lt;&gt;Games!$C$17),1,0))</f>
        <v>0</v>
      </c>
      <c r="AV7" s="14">
        <f t="shared" si="1"/>
        <v>1</v>
      </c>
    </row>
    <row r="8" spans="1:48" ht="15" customHeight="1" x14ac:dyDescent="0.25">
      <c r="A8" s="4" t="str">
        <f>INDEX(Players!$D$6:$D$69,MATCH(61,Players!$A$6:$A$69,0))</f>
        <v>Bryan C.</v>
      </c>
      <c r="B8" s="5" t="s">
        <v>314</v>
      </c>
      <c r="C8" s="5" t="s">
        <v>188</v>
      </c>
      <c r="D8" s="5" t="s">
        <v>191</v>
      </c>
      <c r="E8" s="5" t="s">
        <v>195</v>
      </c>
      <c r="F8" s="5" t="s">
        <v>199</v>
      </c>
      <c r="G8" s="5" t="s">
        <v>202</v>
      </c>
      <c r="H8" s="5" t="s">
        <v>206</v>
      </c>
      <c r="I8" s="5" t="s">
        <v>210</v>
      </c>
      <c r="J8" s="5" t="s">
        <v>213</v>
      </c>
      <c r="K8" s="5" t="s">
        <v>217</v>
      </c>
      <c r="L8" s="5" t="s">
        <v>220</v>
      </c>
      <c r="M8" s="5" t="s">
        <v>224</v>
      </c>
      <c r="N8" s="5" t="s">
        <v>226</v>
      </c>
      <c r="O8" s="5">
        <v>6</v>
      </c>
      <c r="P8" s="5">
        <v>4</v>
      </c>
      <c r="Q8" s="5">
        <v>8</v>
      </c>
      <c r="R8" s="5">
        <v>58</v>
      </c>
      <c r="S8" s="4">
        <f>IF(OR(B8="",Results!B5=""),"",IF(B8=Results!B5,1+IF(OR($O8=1,$P8=1,$Q8=1),1,0),0))</f>
        <v>0</v>
      </c>
      <c r="T8" s="4">
        <f>IF(OR(C8="",Results!C5=""),"",IF(C8=Results!C5,1+IF(OR($O8=2,$P8=2,$Q8=2),1,0),0))</f>
        <v>1</v>
      </c>
      <c r="U8" s="4">
        <f>IF(OR(D8="",Results!D5=""),"",IF(D8=Results!D5,1+IF(OR($O8=3,$P8=3,$Q8=3),1,0),0))</f>
        <v>1</v>
      </c>
      <c r="V8" s="4">
        <f>IF(OR(E8="",Results!E5=""),"",IF(E8=Results!E5,1+IF(OR($O8=4,$P8=4,$Q8=4),1,0),0))</f>
        <v>2</v>
      </c>
      <c r="W8" s="4">
        <f>IF(OR(F8="",Results!F5=""),"",IF(F8=Results!F5,1+IF(OR($O8=5,$P8=5,$Q8=5),1,0),0))</f>
        <v>1</v>
      </c>
      <c r="X8" s="4">
        <f>IF(OR(G8="",Results!G5=""),"",IF(G8=Results!G5,1+IF(OR($O8=6,$P8=6,$Q8=6),1,0),0))</f>
        <v>2</v>
      </c>
      <c r="Y8" s="4">
        <f>IF(OR(H8="",Results!H5=""),"",IF(H8=Results!H5,1+IF(OR($O8=7,$P8=7,$Q8=7),1,0),0))</f>
        <v>1</v>
      </c>
      <c r="Z8" s="4">
        <f>IF(OR(I8="",Results!I5=""),"",IF(I8=Results!I5,1+IF(OR($O8=8,$P8=8,$Q8=8),1,0),0))</f>
        <v>2</v>
      </c>
      <c r="AA8" s="4">
        <f>IF(OR(J8="",Results!J5=""),"",IF(J8=Results!J5,1+IF(OR($O8=9,$P8=9,$Q8=9),1,0),0))</f>
        <v>1</v>
      </c>
      <c r="AB8" s="4">
        <f>IF(OR(K8="",Results!K5=""),"",IF(K8=Results!K5,1+IF(OR($O8=10,$P8=10,$Q8=10),1,0),0))</f>
        <v>1</v>
      </c>
      <c r="AC8" s="4">
        <f>IF(OR(L8="",Results!L5=""),"",IF(L8=Results!L5,1+IF(OR($O8=11,$P8=11,$Q8=11),1,0),0))</f>
        <v>0</v>
      </c>
      <c r="AD8" s="4">
        <f>IF(OR(M8="",Results!M5=""),"",IF(M8=Results!M5,1+IF(OR($O8=12,$P8=12,$Q8=12),1,0),0))</f>
        <v>0</v>
      </c>
      <c r="AE8" s="4">
        <f>IF(OR(N8="",Results!N5=""),"",IF(N8=Results!N5,1+IF(OR($O8=13,$P8=13,$Q8=13),1,0),0))</f>
        <v>1</v>
      </c>
      <c r="AF8" s="11">
        <f t="shared" si="0"/>
        <v>13</v>
      </c>
      <c r="AG8" s="4">
        <f>IF(OR($R8="",Results!O5=""),"",ABS($R8-Results!O5))</f>
        <v>7</v>
      </c>
      <c r="AH8" s="12">
        <v>61</v>
      </c>
      <c r="AI8" s="13">
        <f>IF(OR(B8="",Results!B5=""),"",IF(AND(B8=Results!B5,Results!B5&lt;&gt;Games!$C$5),1,0))</f>
        <v>0</v>
      </c>
      <c r="AJ8" s="13">
        <f>IF(OR(C8="",Results!C5=""),"",IF(AND(C8=Results!C5,Results!C5&lt;&gt;Games!$C$6),1,0))</f>
        <v>1</v>
      </c>
      <c r="AK8" s="13">
        <f>IF(OR(D8="",Results!D5=""),"",IF(AND(D8=Results!D5,Results!D5&lt;&gt;Games!$C$7),1,0))</f>
        <v>0</v>
      </c>
      <c r="AL8" s="13">
        <f>IF(OR(E8="",Results!E5=""),"",IF(AND(E8=Results!E5,Results!E5&lt;&gt;Games!$C$8),1,0))</f>
        <v>0</v>
      </c>
      <c r="AM8" s="13">
        <f>IF(OR(F8="",Results!F5=""),"",IF(AND(F8=Results!F5,Results!F5&lt;&gt;Games!$C$9),1,0))</f>
        <v>0</v>
      </c>
      <c r="AN8" s="13">
        <f>IF(OR(G8="",Results!G5=""),"",IF(AND(G8=Results!G5,Results!G5&lt;&gt;Games!$C$10),1,0))</f>
        <v>0</v>
      </c>
      <c r="AO8" s="13">
        <f>IF(OR(H8="",Results!H5=""),"",IF(AND(H8=Results!H5,Results!H5&lt;&gt;Games!$C$11),1,0))</f>
        <v>0</v>
      </c>
      <c r="AP8" s="13">
        <f>IF(OR(I8="",Results!I5=""),"",IF(AND(I8=Results!I5,Results!I5&lt;&gt;Games!$C$12),1,0))</f>
        <v>0</v>
      </c>
      <c r="AQ8" s="13">
        <f>IF(OR(J8="",Results!J5=""),"",IF(AND(J8=Results!J5,Results!J5&lt;&gt;Games!$C$13),1,0))</f>
        <v>0</v>
      </c>
      <c r="AR8" s="13">
        <f>IF(OR(K8="",Results!K5=""),"",IF(AND(K8=Results!K5,Results!K5&lt;&gt;Games!$C$14),1,0))</f>
        <v>0</v>
      </c>
      <c r="AS8" s="13">
        <f>IF(OR(L8="",Results!L5=""),"",IF(AND(L8=Results!L5,Results!L5&lt;&gt;Games!$C$15),1,0))</f>
        <v>0</v>
      </c>
      <c r="AT8" s="13">
        <f>IF(OR(M8="",Results!M5=""),"",IF(AND(M8=Results!M5,Results!M5&lt;&gt;Games!$C$16),1,0))</f>
        <v>0</v>
      </c>
      <c r="AU8" s="13">
        <f>IF(OR(N8="",Results!N5=""),"",IF(AND(N8=Results!N5,Results!N5&lt;&gt;Games!$C$17),1,0))</f>
        <v>0</v>
      </c>
      <c r="AV8" s="14">
        <f t="shared" si="1"/>
        <v>1</v>
      </c>
    </row>
    <row r="9" spans="1:48" ht="15" customHeight="1" x14ac:dyDescent="0.25">
      <c r="A9" s="4" t="str">
        <f>INDEX(Players!$D$6:$D$69,MATCH(41,Players!$A$6:$A$69,0))</f>
        <v>Bryan M.</v>
      </c>
      <c r="B9" s="5" t="s">
        <v>183</v>
      </c>
      <c r="C9" s="5" t="s">
        <v>187</v>
      </c>
      <c r="D9" s="5" t="s">
        <v>191</v>
      </c>
      <c r="E9" s="5" t="s">
        <v>195</v>
      </c>
      <c r="F9" s="5" t="s">
        <v>199</v>
      </c>
      <c r="G9" s="5" t="s">
        <v>202</v>
      </c>
      <c r="H9" s="5" t="s">
        <v>206</v>
      </c>
      <c r="I9" s="5" t="s">
        <v>210</v>
      </c>
      <c r="J9" s="5" t="s">
        <v>213</v>
      </c>
      <c r="K9" s="5" t="s">
        <v>217</v>
      </c>
      <c r="L9" s="5" t="s">
        <v>220</v>
      </c>
      <c r="M9" s="5" t="s">
        <v>223</v>
      </c>
      <c r="N9" s="5" t="s">
        <v>226</v>
      </c>
      <c r="O9" s="5">
        <v>1</v>
      </c>
      <c r="P9" s="5">
        <v>4</v>
      </c>
      <c r="Q9" s="5">
        <v>6</v>
      </c>
      <c r="R9" s="5"/>
      <c r="S9" s="4">
        <f>IF(OR(B9="",Results!B5=""),"",IF(B9=Results!B5,1+IF(OR($O9=1,$P9=1,$Q9=1),1,0),0))</f>
        <v>0</v>
      </c>
      <c r="T9" s="4">
        <f>IF(OR(C9="",Results!C5=""),"",IF(C9=Results!C5,1+IF(OR($O9=2,$P9=2,$Q9=2),1,0),0))</f>
        <v>0</v>
      </c>
      <c r="U9" s="4">
        <f>IF(OR(D9="",Results!D5=""),"",IF(D9=Results!D5,1+IF(OR($O9=3,$P9=3,$Q9=3),1,0),0))</f>
        <v>1</v>
      </c>
      <c r="V9" s="4">
        <f>IF(OR(E9="",Results!E5=""),"",IF(E9=Results!E5,1+IF(OR($O9=4,$P9=4,$Q9=4),1,0),0))</f>
        <v>2</v>
      </c>
      <c r="W9" s="4">
        <f>IF(OR(F9="",Results!F5=""),"",IF(F9=Results!F5,1+IF(OR($O9=5,$P9=5,$Q9=5),1,0),0))</f>
        <v>1</v>
      </c>
      <c r="X9" s="4">
        <f>IF(OR(G9="",Results!G5=""),"",IF(G9=Results!G5,1+IF(OR($O9=6,$P9=6,$Q9=6),1,0),0))</f>
        <v>2</v>
      </c>
      <c r="Y9" s="4">
        <f>IF(OR(H9="",Results!H5=""),"",IF(H9=Results!H5,1+IF(OR($O9=7,$P9=7,$Q9=7),1,0),0))</f>
        <v>1</v>
      </c>
      <c r="Z9" s="4">
        <f>IF(OR(I9="",Results!I5=""),"",IF(I9=Results!I5,1+IF(OR($O9=8,$P9=8,$Q9=8),1,0),0))</f>
        <v>1</v>
      </c>
      <c r="AA9" s="4">
        <f>IF(OR(J9="",Results!J5=""),"",IF(J9=Results!J5,1+IF(OR($O9=9,$P9=9,$Q9=9),1,0),0))</f>
        <v>1</v>
      </c>
      <c r="AB9" s="4">
        <f>IF(OR(K9="",Results!K5=""),"",IF(K9=Results!K5,1+IF(OR($O9=10,$P9=10,$Q9=10),1,0),0))</f>
        <v>1</v>
      </c>
      <c r="AC9" s="4">
        <f>IF(OR(L9="",Results!L5=""),"",IF(L9=Results!L5,1+IF(OR($O9=11,$P9=11,$Q9=11),1,0),0))</f>
        <v>0</v>
      </c>
      <c r="AD9" s="4">
        <f>IF(OR(M9="",Results!M5=""),"",IF(M9=Results!M5,1+IF(OR($O9=12,$P9=12,$Q9=12),1,0),0))</f>
        <v>1</v>
      </c>
      <c r="AE9" s="4">
        <f>IF(OR(N9="",Results!N5=""),"",IF(N9=Results!N5,1+IF(OR($O9=13,$P9=13,$Q9=13),1,0),0))</f>
        <v>1</v>
      </c>
      <c r="AF9" s="11">
        <f t="shared" si="0"/>
        <v>12</v>
      </c>
      <c r="AG9" s="4" t="str">
        <f>IF(OR($R9="",Results!O5=""),"",ABS($R9-Results!O5))</f>
        <v/>
      </c>
      <c r="AH9" s="12">
        <v>41</v>
      </c>
      <c r="AI9" s="13">
        <f>IF(OR(B9="",Results!B5=""),"",IF(AND(B9=Results!B5,Results!B5&lt;&gt;Games!$C$5),1,0))</f>
        <v>0</v>
      </c>
      <c r="AJ9" s="13">
        <f>IF(OR(C9="",Results!C5=""),"",IF(AND(C9=Results!C5,Results!C5&lt;&gt;Games!$C$6),1,0))</f>
        <v>0</v>
      </c>
      <c r="AK9" s="13">
        <f>IF(OR(D9="",Results!D5=""),"",IF(AND(D9=Results!D5,Results!D5&lt;&gt;Games!$C$7),1,0))</f>
        <v>0</v>
      </c>
      <c r="AL9" s="13">
        <f>IF(OR(E9="",Results!E5=""),"",IF(AND(E9=Results!E5,Results!E5&lt;&gt;Games!$C$8),1,0))</f>
        <v>0</v>
      </c>
      <c r="AM9" s="13">
        <f>IF(OR(F9="",Results!F5=""),"",IF(AND(F9=Results!F5,Results!F5&lt;&gt;Games!$C$9),1,0))</f>
        <v>0</v>
      </c>
      <c r="AN9" s="13">
        <f>IF(OR(G9="",Results!G5=""),"",IF(AND(G9=Results!G5,Results!G5&lt;&gt;Games!$C$10),1,0))</f>
        <v>0</v>
      </c>
      <c r="AO9" s="13">
        <f>IF(OR(H9="",Results!H5=""),"",IF(AND(H9=Results!H5,Results!H5&lt;&gt;Games!$C$11),1,0))</f>
        <v>0</v>
      </c>
      <c r="AP9" s="13">
        <f>IF(OR(I9="",Results!I5=""),"",IF(AND(I9=Results!I5,Results!I5&lt;&gt;Games!$C$12),1,0))</f>
        <v>0</v>
      </c>
      <c r="AQ9" s="13">
        <f>IF(OR(J9="",Results!J5=""),"",IF(AND(J9=Results!J5,Results!J5&lt;&gt;Games!$C$13),1,0))</f>
        <v>0</v>
      </c>
      <c r="AR9" s="13">
        <f>IF(OR(K9="",Results!K5=""),"",IF(AND(K9=Results!K5,Results!K5&lt;&gt;Games!$C$14),1,0))</f>
        <v>0</v>
      </c>
      <c r="AS9" s="13">
        <f>IF(OR(L9="",Results!L5=""),"",IF(AND(L9=Results!L5,Results!L5&lt;&gt;Games!$C$15),1,0))</f>
        <v>0</v>
      </c>
      <c r="AT9" s="13">
        <f>IF(OR(M9="",Results!M5=""),"",IF(AND(M9=Results!M5,Results!M5&lt;&gt;Games!$C$16),1,0))</f>
        <v>0</v>
      </c>
      <c r="AU9" s="13">
        <f>IF(OR(N9="",Results!N5=""),"",IF(AND(N9=Results!N5,Results!N5&lt;&gt;Games!$C$17),1,0))</f>
        <v>0</v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 t="s">
        <v>183</v>
      </c>
      <c r="C10" s="5" t="s">
        <v>187</v>
      </c>
      <c r="D10" s="5" t="s">
        <v>191</v>
      </c>
      <c r="E10" s="5" t="s">
        <v>196</v>
      </c>
      <c r="F10" s="5" t="s">
        <v>199</v>
      </c>
      <c r="G10" s="5" t="s">
        <v>202</v>
      </c>
      <c r="H10" s="5" t="s">
        <v>206</v>
      </c>
      <c r="I10" s="5" t="s">
        <v>210</v>
      </c>
      <c r="J10" s="5" t="s">
        <v>213</v>
      </c>
      <c r="K10" s="5" t="s">
        <v>218</v>
      </c>
      <c r="L10" s="5" t="s">
        <v>221</v>
      </c>
      <c r="M10" s="5" t="s">
        <v>223</v>
      </c>
      <c r="N10" s="5" t="s">
        <v>226</v>
      </c>
      <c r="O10" s="5">
        <v>1</v>
      </c>
      <c r="P10" s="5">
        <v>12</v>
      </c>
      <c r="Q10" s="5">
        <v>13</v>
      </c>
      <c r="R10" s="5">
        <v>52</v>
      </c>
      <c r="S10" s="4">
        <f>IF(OR(B10="",Results!B5=""),"",IF(B10=Results!B5,1+IF(OR($O10=1,$P10=1,$Q10=1),1,0),0))</f>
        <v>0</v>
      </c>
      <c r="T10" s="4">
        <f>IF(OR(C10="",Results!C5=""),"",IF(C10=Results!C5,1+IF(OR($O10=2,$P10=2,$Q10=2),1,0),0))</f>
        <v>0</v>
      </c>
      <c r="U10" s="4">
        <f>IF(OR(D10="",Results!D5=""),"",IF(D10=Results!D5,1+IF(OR($O10=3,$P10=3,$Q10=3),1,0),0))</f>
        <v>1</v>
      </c>
      <c r="V10" s="4">
        <f>IF(OR(E10="",Results!E5=""),"",IF(E10=Results!E5,1+IF(OR($O10=4,$P10=4,$Q10=4),1,0),0))</f>
        <v>0</v>
      </c>
      <c r="W10" s="4">
        <f>IF(OR(F10="",Results!F5=""),"",IF(F10=Results!F5,1+IF(OR($O10=5,$P10=5,$Q10=5),1,0),0))</f>
        <v>1</v>
      </c>
      <c r="X10" s="4">
        <f>IF(OR(G10="",Results!G5=""),"",IF(G10=Results!G5,1+IF(OR($O10=6,$P10=6,$Q10=6),1,0),0))</f>
        <v>1</v>
      </c>
      <c r="Y10" s="4">
        <f>IF(OR(H10="",Results!H5=""),"",IF(H10=Results!H5,1+IF(OR($O10=7,$P10=7,$Q10=7),1,0),0))</f>
        <v>1</v>
      </c>
      <c r="Z10" s="4">
        <f>IF(OR(I10="",Results!I5=""),"",IF(I10=Results!I5,1+IF(OR($O10=8,$P10=8,$Q10=8),1,0),0))</f>
        <v>1</v>
      </c>
      <c r="AA10" s="4">
        <f>IF(OR(J10="",Results!J5=""),"",IF(J10=Results!J5,1+IF(OR($O10=9,$P10=9,$Q10=9),1,0),0))</f>
        <v>1</v>
      </c>
      <c r="AB10" s="4">
        <f>IF(OR(K10="",Results!K5=""),"",IF(K10=Results!K5,1+IF(OR($O10=10,$P10=10,$Q10=10),1,0),0))</f>
        <v>0</v>
      </c>
      <c r="AC10" s="4">
        <f>IF(OR(L10="",Results!L5=""),"",IF(L10=Results!L5,1+IF(OR($O10=11,$P10=11,$Q10=11),1,0),0))</f>
        <v>1</v>
      </c>
      <c r="AD10" s="4">
        <f>IF(OR(M10="",Results!M5=""),"",IF(M10=Results!M5,1+IF(OR($O10=12,$P10=12,$Q10=12),1,0),0))</f>
        <v>2</v>
      </c>
      <c r="AE10" s="4">
        <f>IF(OR(N10="",Results!N5=""),"",IF(N10=Results!N5,1+IF(OR($O10=13,$P10=13,$Q10=13),1,0),0))</f>
        <v>2</v>
      </c>
      <c r="AF10" s="11">
        <f t="shared" si="0"/>
        <v>11</v>
      </c>
      <c r="AG10" s="4">
        <f>IF(OR($R10="",Results!O5=""),"",ABS($R10-Results!O5))</f>
        <v>1</v>
      </c>
      <c r="AH10" s="12">
        <v>3</v>
      </c>
      <c r="AI10" s="13">
        <f>IF(OR(B10="",Results!B5=""),"",IF(AND(B10=Results!B5,Results!B5&lt;&gt;Games!$C$5),1,0))</f>
        <v>0</v>
      </c>
      <c r="AJ10" s="13">
        <f>IF(OR(C10="",Results!C5=""),"",IF(AND(C10=Results!C5,Results!C5&lt;&gt;Games!$C$6),1,0))</f>
        <v>0</v>
      </c>
      <c r="AK10" s="13">
        <f>IF(OR(D10="",Results!D5=""),"",IF(AND(D10=Results!D5,Results!D5&lt;&gt;Games!$C$7),1,0))</f>
        <v>0</v>
      </c>
      <c r="AL10" s="13">
        <f>IF(OR(E10="",Results!E5=""),"",IF(AND(E10=Results!E5,Results!E5&lt;&gt;Games!$C$8),1,0))</f>
        <v>0</v>
      </c>
      <c r="AM10" s="13">
        <f>IF(OR(F10="",Results!F5=""),"",IF(AND(F10=Results!F5,Results!F5&lt;&gt;Games!$C$9),1,0))</f>
        <v>0</v>
      </c>
      <c r="AN10" s="13">
        <f>IF(OR(G10="",Results!G5=""),"",IF(AND(G10=Results!G5,Results!G5&lt;&gt;Games!$C$10),1,0))</f>
        <v>0</v>
      </c>
      <c r="AO10" s="13">
        <f>IF(OR(H10="",Results!H5=""),"",IF(AND(H10=Results!H5,Results!H5&lt;&gt;Games!$C$11),1,0))</f>
        <v>0</v>
      </c>
      <c r="AP10" s="13">
        <f>IF(OR(I10="",Results!I5=""),"",IF(AND(I10=Results!I5,Results!I5&lt;&gt;Games!$C$12),1,0))</f>
        <v>0</v>
      </c>
      <c r="AQ10" s="13">
        <f>IF(OR(J10="",Results!J5=""),"",IF(AND(J10=Results!J5,Results!J5&lt;&gt;Games!$C$13),1,0))</f>
        <v>0</v>
      </c>
      <c r="AR10" s="13">
        <f>IF(OR(K10="",Results!K5=""),"",IF(AND(K10=Results!K5,Results!K5&lt;&gt;Games!$C$14),1,0))</f>
        <v>0</v>
      </c>
      <c r="AS10" s="13">
        <f>IF(OR(L10="",Results!L5=""),"",IF(AND(L10=Results!L5,Results!L5&lt;&gt;Games!$C$15),1,0))</f>
        <v>1</v>
      </c>
      <c r="AT10" s="13">
        <f>IF(OR(M10="",Results!M5=""),"",IF(AND(M10=Results!M5,Results!M5&lt;&gt;Games!$C$16),1,0))</f>
        <v>0</v>
      </c>
      <c r="AU10" s="13">
        <f>IF(OR(N10="",Results!N5=""),"",IF(AND(N10=Results!N5,Results!N5&lt;&gt;Games!$C$17),1,0))</f>
        <v>0</v>
      </c>
      <c r="AV10" s="14">
        <f t="shared" si="1"/>
        <v>1</v>
      </c>
    </row>
    <row r="11" spans="1:48" ht="15" customHeight="1" x14ac:dyDescent="0.25">
      <c r="A11" s="4" t="str">
        <f>INDEX(Players!$D$6:$D$69,MATCH(58,Players!$A$6:$A$69,0))</f>
        <v>Chris P.</v>
      </c>
      <c r="B11" s="5" t="s">
        <v>183</v>
      </c>
      <c r="C11" s="5" t="s">
        <v>188</v>
      </c>
      <c r="D11" s="5" t="s">
        <v>192</v>
      </c>
      <c r="E11" s="5" t="s">
        <v>195</v>
      </c>
      <c r="F11" s="5" t="s">
        <v>199</v>
      </c>
      <c r="G11" s="5" t="s">
        <v>203</v>
      </c>
      <c r="H11" s="5" t="s">
        <v>206</v>
      </c>
      <c r="I11" s="5" t="s">
        <v>210</v>
      </c>
      <c r="J11" s="5" t="s">
        <v>213</v>
      </c>
      <c r="K11" s="5" t="s">
        <v>217</v>
      </c>
      <c r="L11" s="5" t="s">
        <v>220</v>
      </c>
      <c r="M11" s="5" t="s">
        <v>223</v>
      </c>
      <c r="N11" s="5" t="s">
        <v>226</v>
      </c>
      <c r="O11" s="5">
        <v>1</v>
      </c>
      <c r="P11" s="5">
        <v>4</v>
      </c>
      <c r="Q11" s="5">
        <v>8</v>
      </c>
      <c r="R11" s="5">
        <v>54</v>
      </c>
      <c r="S11" s="4">
        <f>IF(OR(B11="",Results!B5=""),"",IF(B11=Results!B5,1+IF(OR($O11=1,$P11=1,$Q11=1),1,0),0))</f>
        <v>0</v>
      </c>
      <c r="T11" s="4">
        <f>IF(OR(C11="",Results!C5=""),"",IF(C11=Results!C5,1+IF(OR($O11=2,$P11=2,$Q11=2),1,0),0))</f>
        <v>1</v>
      </c>
      <c r="U11" s="4">
        <f>IF(OR(D11="",Results!D5=""),"",IF(D11=Results!D5,1+IF(OR($O11=3,$P11=3,$Q11=3),1,0),0))</f>
        <v>0</v>
      </c>
      <c r="V11" s="4">
        <f>IF(OR(E11="",Results!E5=""),"",IF(E11=Results!E5,1+IF(OR($O11=4,$P11=4,$Q11=4),1,0),0))</f>
        <v>2</v>
      </c>
      <c r="W11" s="4">
        <f>IF(OR(F11="",Results!F5=""),"",IF(F11=Results!F5,1+IF(OR($O11=5,$P11=5,$Q11=5),1,0),0))</f>
        <v>1</v>
      </c>
      <c r="X11" s="4">
        <f>IF(OR(G11="",Results!G5=""),"",IF(G11=Results!G5,1+IF(OR($O11=6,$P11=6,$Q11=6),1,0),0))</f>
        <v>0</v>
      </c>
      <c r="Y11" s="4">
        <f>IF(OR(H11="",Results!H5=""),"",IF(H11=Results!H5,1+IF(OR($O11=7,$P11=7,$Q11=7),1,0),0))</f>
        <v>1</v>
      </c>
      <c r="Z11" s="4">
        <f>IF(OR(I11="",Results!I5=""),"",IF(I11=Results!I5,1+IF(OR($O11=8,$P11=8,$Q11=8),1,0),0))</f>
        <v>2</v>
      </c>
      <c r="AA11" s="4">
        <f>IF(OR(J11="",Results!J5=""),"",IF(J11=Results!J5,1+IF(OR($O11=9,$P11=9,$Q11=9),1,0),0))</f>
        <v>1</v>
      </c>
      <c r="AB11" s="4">
        <f>IF(OR(K11="",Results!K5=""),"",IF(K11=Results!K5,1+IF(OR($O11=10,$P11=10,$Q11=10),1,0),0))</f>
        <v>1</v>
      </c>
      <c r="AC11" s="4">
        <f>IF(OR(L11="",Results!L5=""),"",IF(L11=Results!L5,1+IF(OR($O11=11,$P11=11,$Q11=11),1,0),0))</f>
        <v>0</v>
      </c>
      <c r="AD11" s="4">
        <f>IF(OR(M11="",Results!M5=""),"",IF(M11=Results!M5,1+IF(OR($O11=12,$P11=12,$Q11=12),1,0),0))</f>
        <v>1</v>
      </c>
      <c r="AE11" s="4">
        <f>IF(OR(N11="",Results!N5=""),"",IF(N11=Results!N5,1+IF(OR($O11=13,$P11=13,$Q11=13),1,0),0))</f>
        <v>1</v>
      </c>
      <c r="AF11" s="11">
        <f t="shared" si="0"/>
        <v>11</v>
      </c>
      <c r="AG11" s="4">
        <f>IF(OR($R11="",Results!O5=""),"",ABS($R11-Results!O5))</f>
        <v>3</v>
      </c>
      <c r="AH11" s="12">
        <v>58</v>
      </c>
      <c r="AI11" s="13">
        <f>IF(OR(B11="",Results!B5=""),"",IF(AND(B11=Results!B5,Results!B5&lt;&gt;Games!$C$5),1,0))</f>
        <v>0</v>
      </c>
      <c r="AJ11" s="13">
        <f>IF(OR(C11="",Results!C5=""),"",IF(AND(C11=Results!C5,Results!C5&lt;&gt;Games!$C$6),1,0))</f>
        <v>1</v>
      </c>
      <c r="AK11" s="13">
        <f>IF(OR(D11="",Results!D5=""),"",IF(AND(D11=Results!D5,Results!D5&lt;&gt;Games!$C$7),1,0))</f>
        <v>0</v>
      </c>
      <c r="AL11" s="13">
        <f>IF(OR(E11="",Results!E5=""),"",IF(AND(E11=Results!E5,Results!E5&lt;&gt;Games!$C$8),1,0))</f>
        <v>0</v>
      </c>
      <c r="AM11" s="13">
        <f>IF(OR(F11="",Results!F5=""),"",IF(AND(F11=Results!F5,Results!F5&lt;&gt;Games!$C$9),1,0))</f>
        <v>0</v>
      </c>
      <c r="AN11" s="13">
        <f>IF(OR(G11="",Results!G5=""),"",IF(AND(G11=Results!G5,Results!G5&lt;&gt;Games!$C$10),1,0))</f>
        <v>0</v>
      </c>
      <c r="AO11" s="13">
        <f>IF(OR(H11="",Results!H5=""),"",IF(AND(H11=Results!H5,Results!H5&lt;&gt;Games!$C$11),1,0))</f>
        <v>0</v>
      </c>
      <c r="AP11" s="13">
        <f>IF(OR(I11="",Results!I5=""),"",IF(AND(I11=Results!I5,Results!I5&lt;&gt;Games!$C$12),1,0))</f>
        <v>0</v>
      </c>
      <c r="AQ11" s="13">
        <f>IF(OR(J11="",Results!J5=""),"",IF(AND(J11=Results!J5,Results!J5&lt;&gt;Games!$C$13),1,0))</f>
        <v>0</v>
      </c>
      <c r="AR11" s="13">
        <f>IF(OR(K11="",Results!K5=""),"",IF(AND(K11=Results!K5,Results!K5&lt;&gt;Games!$C$14),1,0))</f>
        <v>0</v>
      </c>
      <c r="AS11" s="13">
        <f>IF(OR(L11="",Results!L5=""),"",IF(AND(L11=Results!L5,Results!L5&lt;&gt;Games!$C$15),1,0))</f>
        <v>0</v>
      </c>
      <c r="AT11" s="13">
        <f>IF(OR(M11="",Results!M5=""),"",IF(AND(M11=Results!M5,Results!M5&lt;&gt;Games!$C$16),1,0))</f>
        <v>0</v>
      </c>
      <c r="AU11" s="13">
        <f>IF(OR(N11="",Results!N5=""),"",IF(AND(N11=Results!N5,Results!N5&lt;&gt;Games!$C$17),1,0))</f>
        <v>0</v>
      </c>
      <c r="AV11" s="14">
        <f t="shared" si="1"/>
        <v>1</v>
      </c>
    </row>
    <row r="12" spans="1:48" ht="15" customHeight="1" x14ac:dyDescent="0.25">
      <c r="A12" s="4" t="str">
        <f>INDEX(Players!$D$6:$D$69,MATCH(4,Players!$A$6:$A$69,0))</f>
        <v>Corey H.</v>
      </c>
      <c r="B12" s="5" t="s">
        <v>183</v>
      </c>
      <c r="C12" s="5" t="s">
        <v>187</v>
      </c>
      <c r="D12" s="5" t="s">
        <v>191</v>
      </c>
      <c r="E12" s="5" t="s">
        <v>195</v>
      </c>
      <c r="F12" s="5" t="s">
        <v>199</v>
      </c>
      <c r="G12" s="5" t="s">
        <v>202</v>
      </c>
      <c r="H12" s="5" t="s">
        <v>206</v>
      </c>
      <c r="I12" s="5" t="s">
        <v>210</v>
      </c>
      <c r="J12" s="5" t="s">
        <v>214</v>
      </c>
      <c r="K12" s="5" t="s">
        <v>217</v>
      </c>
      <c r="L12" s="5" t="s">
        <v>220</v>
      </c>
      <c r="M12" s="5" t="s">
        <v>223</v>
      </c>
      <c r="N12" s="5" t="s">
        <v>226</v>
      </c>
      <c r="O12" s="5">
        <v>5</v>
      </c>
      <c r="P12" s="5">
        <v>6</v>
      </c>
      <c r="Q12" s="5">
        <v>8</v>
      </c>
      <c r="R12" s="5">
        <v>55</v>
      </c>
      <c r="S12" s="4">
        <f>IF(OR(B12="",Results!B5=""),"",IF(B12=Results!B5,1+IF(OR($O12=1,$P12=1,$Q12=1),1,0),0))</f>
        <v>0</v>
      </c>
      <c r="T12" s="4">
        <f>IF(OR(C12="",Results!C5=""),"",IF(C12=Results!C5,1+IF(OR($O12=2,$P12=2,$Q12=2),1,0),0))</f>
        <v>0</v>
      </c>
      <c r="U12" s="4">
        <f>IF(OR(D12="",Results!D5=""),"",IF(D12=Results!D5,1+IF(OR($O12=3,$P12=3,$Q12=3),1,0),0))</f>
        <v>1</v>
      </c>
      <c r="V12" s="4">
        <f>IF(OR(E12="",Results!E5=""),"",IF(E12=Results!E5,1+IF(OR($O12=4,$P12=4,$Q12=4),1,0),0))</f>
        <v>1</v>
      </c>
      <c r="W12" s="4">
        <f>IF(OR(F12="",Results!F5=""),"",IF(F12=Results!F5,1+IF(OR($O12=5,$P12=5,$Q12=5),1,0),0))</f>
        <v>2</v>
      </c>
      <c r="X12" s="4">
        <f>IF(OR(G12="",Results!G5=""),"",IF(G12=Results!G5,1+IF(OR($O12=6,$P12=6,$Q12=6),1,0),0))</f>
        <v>2</v>
      </c>
      <c r="Y12" s="4">
        <f>IF(OR(H12="",Results!H5=""),"",IF(H12=Results!H5,1+IF(OR($O12=7,$P12=7,$Q12=7),1,0),0))</f>
        <v>1</v>
      </c>
      <c r="Z12" s="4">
        <f>IF(OR(I12="",Results!I5=""),"",IF(I12=Results!I5,1+IF(OR($O12=8,$P12=8,$Q12=8),1,0),0))</f>
        <v>2</v>
      </c>
      <c r="AA12" s="4">
        <f>IF(OR(J12="",Results!J5=""),"",IF(J12=Results!J5,1+IF(OR($O12=9,$P12=9,$Q12=9),1,0),0))</f>
        <v>0</v>
      </c>
      <c r="AB12" s="4">
        <f>IF(OR(K12="",Results!K5=""),"",IF(K12=Results!K5,1+IF(OR($O12=10,$P12=10,$Q12=10),1,0),0))</f>
        <v>1</v>
      </c>
      <c r="AC12" s="4">
        <f>IF(OR(L12="",Results!L5=""),"",IF(L12=Results!L5,1+IF(OR($O12=11,$P12=11,$Q12=11),1,0),0))</f>
        <v>0</v>
      </c>
      <c r="AD12" s="4">
        <f>IF(OR(M12="",Results!M5=""),"",IF(M12=Results!M5,1+IF(OR($O12=12,$P12=12,$Q12=12),1,0),0))</f>
        <v>1</v>
      </c>
      <c r="AE12" s="4">
        <f>IF(OR(N12="",Results!N5=""),"",IF(N12=Results!N5,1+IF(OR($O12=13,$P12=13,$Q12=13),1,0),0))</f>
        <v>1</v>
      </c>
      <c r="AF12" s="11">
        <f t="shared" si="0"/>
        <v>12</v>
      </c>
      <c r="AG12" s="4">
        <f>IF(OR($R12="",Results!O5=""),"",ABS($R12-Results!O5))</f>
        <v>4</v>
      </c>
      <c r="AH12" s="12">
        <v>4</v>
      </c>
      <c r="AI12" s="13">
        <f>IF(OR(B12="",Results!B5=""),"",IF(AND(B12=Results!B5,Results!B5&lt;&gt;Games!$C$5),1,0))</f>
        <v>0</v>
      </c>
      <c r="AJ12" s="13">
        <f>IF(OR(C12="",Results!C5=""),"",IF(AND(C12=Results!C5,Results!C5&lt;&gt;Games!$C$6),1,0))</f>
        <v>0</v>
      </c>
      <c r="AK12" s="13">
        <f>IF(OR(D12="",Results!D5=""),"",IF(AND(D12=Results!D5,Results!D5&lt;&gt;Games!$C$7),1,0))</f>
        <v>0</v>
      </c>
      <c r="AL12" s="13">
        <f>IF(OR(E12="",Results!E5=""),"",IF(AND(E12=Results!E5,Results!E5&lt;&gt;Games!$C$8),1,0))</f>
        <v>0</v>
      </c>
      <c r="AM12" s="13">
        <f>IF(OR(F12="",Results!F5=""),"",IF(AND(F12=Results!F5,Results!F5&lt;&gt;Games!$C$9),1,0))</f>
        <v>0</v>
      </c>
      <c r="AN12" s="13">
        <f>IF(OR(G12="",Results!G5=""),"",IF(AND(G12=Results!G5,Results!G5&lt;&gt;Games!$C$10),1,0))</f>
        <v>0</v>
      </c>
      <c r="AO12" s="13">
        <f>IF(OR(H12="",Results!H5=""),"",IF(AND(H12=Results!H5,Results!H5&lt;&gt;Games!$C$11),1,0))</f>
        <v>0</v>
      </c>
      <c r="AP12" s="13">
        <f>IF(OR(I12="",Results!I5=""),"",IF(AND(I12=Results!I5,Results!I5&lt;&gt;Games!$C$12),1,0))</f>
        <v>0</v>
      </c>
      <c r="AQ12" s="13">
        <f>IF(OR(J12="",Results!J5=""),"",IF(AND(J12=Results!J5,Results!J5&lt;&gt;Games!$C$13),1,0))</f>
        <v>0</v>
      </c>
      <c r="AR12" s="13">
        <f>IF(OR(K12="",Results!K5=""),"",IF(AND(K12=Results!K5,Results!K5&lt;&gt;Games!$C$14),1,0))</f>
        <v>0</v>
      </c>
      <c r="AS12" s="13">
        <f>IF(OR(L12="",Results!L5=""),"",IF(AND(L12=Results!L5,Results!L5&lt;&gt;Games!$C$15),1,0))</f>
        <v>0</v>
      </c>
      <c r="AT12" s="13">
        <f>IF(OR(M12="",Results!M5=""),"",IF(AND(M12=Results!M5,Results!M5&lt;&gt;Games!$C$16),1,0))</f>
        <v>0</v>
      </c>
      <c r="AU12" s="13">
        <f>IF(OR(N12="",Results!N5=""),"",IF(AND(N12=Results!N5,Results!N5&lt;&gt;Games!$C$17),1,0))</f>
        <v>0</v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 t="s">
        <v>183</v>
      </c>
      <c r="C13" s="5" t="s">
        <v>188</v>
      </c>
      <c r="D13" s="5" t="s">
        <v>191</v>
      </c>
      <c r="E13" s="5" t="s">
        <v>195</v>
      </c>
      <c r="F13" s="5" t="s">
        <v>199</v>
      </c>
      <c r="G13" s="5" t="s">
        <v>202</v>
      </c>
      <c r="H13" s="5" t="s">
        <v>207</v>
      </c>
      <c r="I13" s="5" t="s">
        <v>211</v>
      </c>
      <c r="J13" s="5" t="s">
        <v>214</v>
      </c>
      <c r="K13" s="5" t="s">
        <v>218</v>
      </c>
      <c r="L13" s="5" t="s">
        <v>220</v>
      </c>
      <c r="M13" s="5" t="s">
        <v>223</v>
      </c>
      <c r="N13" s="5" t="s">
        <v>226</v>
      </c>
      <c r="O13" s="5">
        <v>3</v>
      </c>
      <c r="P13" s="5">
        <v>11</v>
      </c>
      <c r="Q13" s="5">
        <v>12</v>
      </c>
      <c r="R13" s="5"/>
      <c r="S13" s="4">
        <f>IF(OR(B13="",Results!B5=""),"",IF(B13=Results!B5,1+IF(OR($O13=1,$P13=1,$Q13=1),1,0),0))</f>
        <v>0</v>
      </c>
      <c r="T13" s="4">
        <f>IF(OR(C13="",Results!C5=""),"",IF(C13=Results!C5,1+IF(OR($O13=2,$P13=2,$Q13=2),1,0),0))</f>
        <v>1</v>
      </c>
      <c r="U13" s="4">
        <f>IF(OR(D13="",Results!D5=""),"",IF(D13=Results!D5,1+IF(OR($O13=3,$P13=3,$Q13=3),1,0),0))</f>
        <v>2</v>
      </c>
      <c r="V13" s="4">
        <f>IF(OR(E13="",Results!E5=""),"",IF(E13=Results!E5,1+IF(OR($O13=4,$P13=4,$Q13=4),1,0),0))</f>
        <v>1</v>
      </c>
      <c r="W13" s="4">
        <f>IF(OR(F13="",Results!F5=""),"",IF(F13=Results!F5,1+IF(OR($O13=5,$P13=5,$Q13=5),1,0),0))</f>
        <v>1</v>
      </c>
      <c r="X13" s="4">
        <f>IF(OR(G13="",Results!G5=""),"",IF(G13=Results!G5,1+IF(OR($O13=6,$P13=6,$Q13=6),1,0),0))</f>
        <v>1</v>
      </c>
      <c r="Y13" s="4">
        <f>IF(OR(H13="",Results!H5=""),"",IF(H13=Results!H5,1+IF(OR($O13=7,$P13=7,$Q13=7),1,0),0))</f>
        <v>0</v>
      </c>
      <c r="Z13" s="4">
        <f>IF(OR(I13="",Results!I5=""),"",IF(I13=Results!I5,1+IF(OR($O13=8,$P13=8,$Q13=8),1,0),0))</f>
        <v>0</v>
      </c>
      <c r="AA13" s="4">
        <f>IF(OR(J13="",Results!J5=""),"",IF(J13=Results!J5,1+IF(OR($O13=9,$P13=9,$Q13=9),1,0),0))</f>
        <v>0</v>
      </c>
      <c r="AB13" s="4">
        <f>IF(OR(K13="",Results!K5=""),"",IF(K13=Results!K5,1+IF(OR($O13=10,$P13=10,$Q13=10),1,0),0))</f>
        <v>0</v>
      </c>
      <c r="AC13" s="4">
        <f>IF(OR(L13="",Results!L5=""),"",IF(L13=Results!L5,1+IF(OR($O13=11,$P13=11,$Q13=11),1,0),0))</f>
        <v>0</v>
      </c>
      <c r="AD13" s="4">
        <f>IF(OR(M13="",Results!M5=""),"",IF(M13=Results!M5,1+IF(OR($O13=12,$P13=12,$Q13=12),1,0),0))</f>
        <v>2</v>
      </c>
      <c r="AE13" s="4">
        <f>IF(OR(N13="",Results!N5=""),"",IF(N13=Results!N5,1+IF(OR($O13=13,$P13=13,$Q13=13),1,0),0))</f>
        <v>1</v>
      </c>
      <c r="AF13" s="11">
        <f t="shared" si="0"/>
        <v>9</v>
      </c>
      <c r="AG13" s="4" t="str">
        <f>IF(OR($R13="",Results!O5=""),"",ABS($R13-Results!O5))</f>
        <v/>
      </c>
      <c r="AH13" s="12">
        <v>57</v>
      </c>
      <c r="AI13" s="13">
        <f>IF(OR(B13="",Results!B5=""),"",IF(AND(B13=Results!B5,Results!B5&lt;&gt;Games!$C$5),1,0))</f>
        <v>0</v>
      </c>
      <c r="AJ13" s="13">
        <f>IF(OR(C13="",Results!C5=""),"",IF(AND(C13=Results!C5,Results!C5&lt;&gt;Games!$C$6),1,0))</f>
        <v>1</v>
      </c>
      <c r="AK13" s="13">
        <f>IF(OR(D13="",Results!D5=""),"",IF(AND(D13=Results!D5,Results!D5&lt;&gt;Games!$C$7),1,0))</f>
        <v>0</v>
      </c>
      <c r="AL13" s="13">
        <f>IF(OR(E13="",Results!E5=""),"",IF(AND(E13=Results!E5,Results!E5&lt;&gt;Games!$C$8),1,0))</f>
        <v>0</v>
      </c>
      <c r="AM13" s="13">
        <f>IF(OR(F13="",Results!F5=""),"",IF(AND(F13=Results!F5,Results!F5&lt;&gt;Games!$C$9),1,0))</f>
        <v>0</v>
      </c>
      <c r="AN13" s="13">
        <f>IF(OR(G13="",Results!G5=""),"",IF(AND(G13=Results!G5,Results!G5&lt;&gt;Games!$C$10),1,0))</f>
        <v>0</v>
      </c>
      <c r="AO13" s="13">
        <f>IF(OR(H13="",Results!H5=""),"",IF(AND(H13=Results!H5,Results!H5&lt;&gt;Games!$C$11),1,0))</f>
        <v>0</v>
      </c>
      <c r="AP13" s="13">
        <f>IF(OR(I13="",Results!I5=""),"",IF(AND(I13=Results!I5,Results!I5&lt;&gt;Games!$C$12),1,0))</f>
        <v>0</v>
      </c>
      <c r="AQ13" s="13">
        <f>IF(OR(J13="",Results!J5=""),"",IF(AND(J13=Results!J5,Results!J5&lt;&gt;Games!$C$13),1,0))</f>
        <v>0</v>
      </c>
      <c r="AR13" s="13">
        <f>IF(OR(K13="",Results!K5=""),"",IF(AND(K13=Results!K5,Results!K5&lt;&gt;Games!$C$14),1,0))</f>
        <v>0</v>
      </c>
      <c r="AS13" s="13">
        <f>IF(OR(L13="",Results!L5=""),"",IF(AND(L13=Results!L5,Results!L5&lt;&gt;Games!$C$15),1,0))</f>
        <v>0</v>
      </c>
      <c r="AT13" s="13">
        <f>IF(OR(M13="",Results!M5=""),"",IF(AND(M13=Results!M5,Results!M5&lt;&gt;Games!$C$16),1,0))</f>
        <v>0</v>
      </c>
      <c r="AU13" s="13">
        <f>IF(OR(N13="",Results!N5=""),"",IF(AND(N13=Results!N5,Results!N5&lt;&gt;Games!$C$17),1,0))</f>
        <v>0</v>
      </c>
      <c r="AV13" s="14">
        <f t="shared" si="1"/>
        <v>1</v>
      </c>
    </row>
    <row r="14" spans="1:48" ht="15" customHeight="1" x14ac:dyDescent="0.25">
      <c r="A14" s="4" t="str">
        <f>INDEX(Players!$D$6:$D$69,MATCH(6,Players!$A$6:$A$69,0))</f>
        <v>Dan B.</v>
      </c>
      <c r="B14" s="5" t="s">
        <v>183</v>
      </c>
      <c r="C14" s="5" t="s">
        <v>187</v>
      </c>
      <c r="D14" s="5" t="s">
        <v>191</v>
      </c>
      <c r="E14" s="5" t="s">
        <v>195</v>
      </c>
      <c r="F14" s="5" t="s">
        <v>199</v>
      </c>
      <c r="G14" s="5" t="s">
        <v>202</v>
      </c>
      <c r="H14" s="5" t="s">
        <v>206</v>
      </c>
      <c r="I14" s="5" t="s">
        <v>210</v>
      </c>
      <c r="J14" s="5" t="s">
        <v>213</v>
      </c>
      <c r="K14" s="5" t="s">
        <v>217</v>
      </c>
      <c r="L14" s="5" t="s">
        <v>220</v>
      </c>
      <c r="M14" s="5" t="s">
        <v>224</v>
      </c>
      <c r="N14" s="5" t="s">
        <v>227</v>
      </c>
      <c r="O14" s="5">
        <v>1</v>
      </c>
      <c r="P14" s="5">
        <v>4</v>
      </c>
      <c r="Q14" s="5">
        <v>5</v>
      </c>
      <c r="R14" s="5">
        <v>47</v>
      </c>
      <c r="S14" s="4">
        <f>IF(OR(B14="",Results!B5=""),"",IF(B14=Results!B5,1+IF(OR($O14=1,$P14=1,$Q14=1),1,0),0))</f>
        <v>0</v>
      </c>
      <c r="T14" s="4">
        <f>IF(OR(C14="",Results!C5=""),"",IF(C14=Results!C5,1+IF(OR($O14=2,$P14=2,$Q14=2),1,0),0))</f>
        <v>0</v>
      </c>
      <c r="U14" s="4">
        <f>IF(OR(D14="",Results!D5=""),"",IF(D14=Results!D5,1+IF(OR($O14=3,$P14=3,$Q14=3),1,0),0))</f>
        <v>1</v>
      </c>
      <c r="V14" s="4">
        <f>IF(OR(E14="",Results!E5=""),"",IF(E14=Results!E5,1+IF(OR($O14=4,$P14=4,$Q14=4),1,0),0))</f>
        <v>2</v>
      </c>
      <c r="W14" s="4">
        <f>IF(OR(F14="",Results!F5=""),"",IF(F14=Results!F5,1+IF(OR($O14=5,$P14=5,$Q14=5),1,0),0))</f>
        <v>2</v>
      </c>
      <c r="X14" s="4">
        <f>IF(OR(G14="",Results!G5=""),"",IF(G14=Results!G5,1+IF(OR($O14=6,$P14=6,$Q14=6),1,0),0))</f>
        <v>1</v>
      </c>
      <c r="Y14" s="4">
        <f>IF(OR(H14="",Results!H5=""),"",IF(H14=Results!H5,1+IF(OR($O14=7,$P14=7,$Q14=7),1,0),0))</f>
        <v>1</v>
      </c>
      <c r="Z14" s="4">
        <f>IF(OR(I14="",Results!I5=""),"",IF(I14=Results!I5,1+IF(OR($O14=8,$P14=8,$Q14=8),1,0),0))</f>
        <v>1</v>
      </c>
      <c r="AA14" s="4">
        <f>IF(OR(J14="",Results!J5=""),"",IF(J14=Results!J5,1+IF(OR($O14=9,$P14=9,$Q14=9),1,0),0))</f>
        <v>1</v>
      </c>
      <c r="AB14" s="4">
        <f>IF(OR(K14="",Results!K5=""),"",IF(K14=Results!K5,1+IF(OR($O14=10,$P14=10,$Q14=10),1,0),0))</f>
        <v>1</v>
      </c>
      <c r="AC14" s="4">
        <f>IF(OR(L14="",Results!L5=""),"",IF(L14=Results!L5,1+IF(OR($O14=11,$P14=11,$Q14=11),1,0),0))</f>
        <v>0</v>
      </c>
      <c r="AD14" s="4">
        <f>IF(OR(M14="",Results!M5=""),"",IF(M14=Results!M5,1+IF(OR($O14=12,$P14=12,$Q14=12),1,0),0))</f>
        <v>0</v>
      </c>
      <c r="AE14" s="4">
        <f>IF(OR(N14="",Results!N5=""),"",IF(N14=Results!N5,1+IF(OR($O14=13,$P14=13,$Q14=13),1,0),0))</f>
        <v>0</v>
      </c>
      <c r="AF14" s="11">
        <f t="shared" si="0"/>
        <v>10</v>
      </c>
      <c r="AG14" s="4">
        <f>IF(OR($R14="",Results!O5=""),"",ABS($R14-Results!O5))</f>
        <v>4</v>
      </c>
      <c r="AH14" s="12">
        <v>6</v>
      </c>
      <c r="AI14" s="13">
        <f>IF(OR(B14="",Results!B5=""),"",IF(AND(B14=Results!B5,Results!B5&lt;&gt;Games!$C$5),1,0))</f>
        <v>0</v>
      </c>
      <c r="AJ14" s="13">
        <f>IF(OR(C14="",Results!C5=""),"",IF(AND(C14=Results!C5,Results!C5&lt;&gt;Games!$C$6),1,0))</f>
        <v>0</v>
      </c>
      <c r="AK14" s="13">
        <f>IF(OR(D14="",Results!D5=""),"",IF(AND(D14=Results!D5,Results!D5&lt;&gt;Games!$C$7),1,0))</f>
        <v>0</v>
      </c>
      <c r="AL14" s="13">
        <f>IF(OR(E14="",Results!E5=""),"",IF(AND(E14=Results!E5,Results!E5&lt;&gt;Games!$C$8),1,0))</f>
        <v>0</v>
      </c>
      <c r="AM14" s="13">
        <f>IF(OR(F14="",Results!F5=""),"",IF(AND(F14=Results!F5,Results!F5&lt;&gt;Games!$C$9),1,0))</f>
        <v>0</v>
      </c>
      <c r="AN14" s="13">
        <f>IF(OR(G14="",Results!G5=""),"",IF(AND(G14=Results!G5,Results!G5&lt;&gt;Games!$C$10),1,0))</f>
        <v>0</v>
      </c>
      <c r="AO14" s="13">
        <f>IF(OR(H14="",Results!H5=""),"",IF(AND(H14=Results!H5,Results!H5&lt;&gt;Games!$C$11),1,0))</f>
        <v>0</v>
      </c>
      <c r="AP14" s="13">
        <f>IF(OR(I14="",Results!I5=""),"",IF(AND(I14=Results!I5,Results!I5&lt;&gt;Games!$C$12),1,0))</f>
        <v>0</v>
      </c>
      <c r="AQ14" s="13">
        <f>IF(OR(J14="",Results!J5=""),"",IF(AND(J14=Results!J5,Results!J5&lt;&gt;Games!$C$13),1,0))</f>
        <v>0</v>
      </c>
      <c r="AR14" s="13">
        <f>IF(OR(K14="",Results!K5=""),"",IF(AND(K14=Results!K5,Results!K5&lt;&gt;Games!$C$14),1,0))</f>
        <v>0</v>
      </c>
      <c r="AS14" s="13">
        <f>IF(OR(L14="",Results!L5=""),"",IF(AND(L14=Results!L5,Results!L5&lt;&gt;Games!$C$15),1,0))</f>
        <v>0</v>
      </c>
      <c r="AT14" s="13">
        <f>IF(OR(M14="",Results!M5=""),"",IF(AND(M14=Results!M5,Results!M5&lt;&gt;Games!$C$16),1,0))</f>
        <v>0</v>
      </c>
      <c r="AU14" s="13">
        <f>IF(OR(N14="",Results!N5=""),"",IF(AND(N14=Results!N5,Results!N5&lt;&gt;Games!$C$17),1,0))</f>
        <v>0</v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 t="s">
        <v>183</v>
      </c>
      <c r="C15" s="5" t="s">
        <v>187</v>
      </c>
      <c r="D15" s="5" t="s">
        <v>191</v>
      </c>
      <c r="E15" s="5" t="s">
        <v>195</v>
      </c>
      <c r="F15" s="5" t="s">
        <v>199</v>
      </c>
      <c r="G15" s="5" t="s">
        <v>202</v>
      </c>
      <c r="H15" s="5" t="s">
        <v>206</v>
      </c>
      <c r="I15" s="5" t="s">
        <v>210</v>
      </c>
      <c r="J15" s="5" t="s">
        <v>213</v>
      </c>
      <c r="K15" s="5" t="s">
        <v>217</v>
      </c>
      <c r="L15" s="5" t="s">
        <v>220</v>
      </c>
      <c r="M15" s="5" t="s">
        <v>223</v>
      </c>
      <c r="N15" s="5" t="s">
        <v>226</v>
      </c>
      <c r="O15" s="5">
        <v>4</v>
      </c>
      <c r="P15" s="5">
        <v>5</v>
      </c>
      <c r="Q15" s="5">
        <v>8</v>
      </c>
      <c r="R15" s="5">
        <v>51</v>
      </c>
      <c r="S15" s="4">
        <f>IF(OR(B15="",Results!B5=""),"",IF(B15=Results!B5,1+IF(OR($O15=1,$P15=1,$Q15=1),1,0),0))</f>
        <v>0</v>
      </c>
      <c r="T15" s="4">
        <f>IF(OR(C15="",Results!C5=""),"",IF(C15=Results!C5,1+IF(OR($O15=2,$P15=2,$Q15=2),1,0),0))</f>
        <v>0</v>
      </c>
      <c r="U15" s="4">
        <f>IF(OR(D15="",Results!D5=""),"",IF(D15=Results!D5,1+IF(OR($O15=3,$P15=3,$Q15=3),1,0),0))</f>
        <v>1</v>
      </c>
      <c r="V15" s="4">
        <f>IF(OR(E15="",Results!E5=""),"",IF(E15=Results!E5,1+IF(OR($O15=4,$P15=4,$Q15=4),1,0),0))</f>
        <v>2</v>
      </c>
      <c r="W15" s="4">
        <f>IF(OR(F15="",Results!F5=""),"",IF(F15=Results!F5,1+IF(OR($O15=5,$P15=5,$Q15=5),1,0),0))</f>
        <v>2</v>
      </c>
      <c r="X15" s="4">
        <f>IF(OR(G15="",Results!G5=""),"",IF(G15=Results!G5,1+IF(OR($O15=6,$P15=6,$Q15=6),1,0),0))</f>
        <v>1</v>
      </c>
      <c r="Y15" s="4">
        <f>IF(OR(H15="",Results!H5=""),"",IF(H15=Results!H5,1+IF(OR($O15=7,$P15=7,$Q15=7),1,0),0))</f>
        <v>1</v>
      </c>
      <c r="Z15" s="4">
        <f>IF(OR(I15="",Results!I5=""),"",IF(I15=Results!I5,1+IF(OR($O15=8,$P15=8,$Q15=8),1,0),0))</f>
        <v>2</v>
      </c>
      <c r="AA15" s="4">
        <f>IF(OR(J15="",Results!J5=""),"",IF(J15=Results!J5,1+IF(OR($O15=9,$P15=9,$Q15=9),1,0),0))</f>
        <v>1</v>
      </c>
      <c r="AB15" s="4">
        <f>IF(OR(K15="",Results!K5=""),"",IF(K15=Results!K5,1+IF(OR($O15=10,$P15=10,$Q15=10),1,0),0))</f>
        <v>1</v>
      </c>
      <c r="AC15" s="4">
        <f>IF(OR(L15="",Results!L5=""),"",IF(L15=Results!L5,1+IF(OR($O15=11,$P15=11,$Q15=11),1,0),0))</f>
        <v>0</v>
      </c>
      <c r="AD15" s="4">
        <f>IF(OR(M15="",Results!M5=""),"",IF(M15=Results!M5,1+IF(OR($O15=12,$P15=12,$Q15=12),1,0),0))</f>
        <v>1</v>
      </c>
      <c r="AE15" s="4">
        <f>IF(OR(N15="",Results!N5=""),"",IF(N15=Results!N5,1+IF(OR($O15=13,$P15=13,$Q15=13),1,0),0))</f>
        <v>1</v>
      </c>
      <c r="AF15" s="11">
        <f t="shared" si="0"/>
        <v>13</v>
      </c>
      <c r="AG15" s="4">
        <f>IF(OR($R15="",Results!O5=""),"",ABS($R15-Results!O5))</f>
        <v>0</v>
      </c>
      <c r="AH15" s="12">
        <v>5</v>
      </c>
      <c r="AI15" s="13">
        <f>IF(OR(B15="",Results!B5=""),"",IF(AND(B15=Results!B5,Results!B5&lt;&gt;Games!$C$5),1,0))</f>
        <v>0</v>
      </c>
      <c r="AJ15" s="13">
        <f>IF(OR(C15="",Results!C5=""),"",IF(AND(C15=Results!C5,Results!C5&lt;&gt;Games!$C$6),1,0))</f>
        <v>0</v>
      </c>
      <c r="AK15" s="13">
        <f>IF(OR(D15="",Results!D5=""),"",IF(AND(D15=Results!D5,Results!D5&lt;&gt;Games!$C$7),1,0))</f>
        <v>0</v>
      </c>
      <c r="AL15" s="13">
        <f>IF(OR(E15="",Results!E5=""),"",IF(AND(E15=Results!E5,Results!E5&lt;&gt;Games!$C$8),1,0))</f>
        <v>0</v>
      </c>
      <c r="AM15" s="13">
        <f>IF(OR(F15="",Results!F5=""),"",IF(AND(F15=Results!F5,Results!F5&lt;&gt;Games!$C$9),1,0))</f>
        <v>0</v>
      </c>
      <c r="AN15" s="13">
        <f>IF(OR(G15="",Results!G5=""),"",IF(AND(G15=Results!G5,Results!G5&lt;&gt;Games!$C$10),1,0))</f>
        <v>0</v>
      </c>
      <c r="AO15" s="13">
        <f>IF(OR(H15="",Results!H5=""),"",IF(AND(H15=Results!H5,Results!H5&lt;&gt;Games!$C$11),1,0))</f>
        <v>0</v>
      </c>
      <c r="AP15" s="13">
        <f>IF(OR(I15="",Results!I5=""),"",IF(AND(I15=Results!I5,Results!I5&lt;&gt;Games!$C$12),1,0))</f>
        <v>0</v>
      </c>
      <c r="AQ15" s="13">
        <f>IF(OR(J15="",Results!J5=""),"",IF(AND(J15=Results!J5,Results!J5&lt;&gt;Games!$C$13),1,0))</f>
        <v>0</v>
      </c>
      <c r="AR15" s="13">
        <f>IF(OR(K15="",Results!K5=""),"",IF(AND(K15=Results!K5,Results!K5&lt;&gt;Games!$C$14),1,0))</f>
        <v>0</v>
      </c>
      <c r="AS15" s="13">
        <f>IF(OR(L15="",Results!L5=""),"",IF(AND(L15=Results!L5,Results!L5&lt;&gt;Games!$C$15),1,0))</f>
        <v>0</v>
      </c>
      <c r="AT15" s="13">
        <f>IF(OR(M15="",Results!M5=""),"",IF(AND(M15=Results!M5,Results!M5&lt;&gt;Games!$C$16),1,0))</f>
        <v>0</v>
      </c>
      <c r="AU15" s="13">
        <f>IF(OR(N15="",Results!N5=""),"",IF(AND(N15=Results!N5,Results!N5&lt;&gt;Games!$C$17),1,0))</f>
        <v>0</v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 t="s">
        <v>183</v>
      </c>
      <c r="C16" s="5" t="s">
        <v>188</v>
      </c>
      <c r="D16" s="5" t="s">
        <v>191</v>
      </c>
      <c r="E16" s="5" t="s">
        <v>195</v>
      </c>
      <c r="F16" s="5" t="s">
        <v>199</v>
      </c>
      <c r="G16" s="5" t="s">
        <v>202</v>
      </c>
      <c r="H16" s="5" t="s">
        <v>207</v>
      </c>
      <c r="I16" s="5" t="s">
        <v>210</v>
      </c>
      <c r="J16" s="5" t="s">
        <v>213</v>
      </c>
      <c r="K16" s="5" t="s">
        <v>217</v>
      </c>
      <c r="L16" s="5" t="s">
        <v>220</v>
      </c>
      <c r="M16" s="5" t="s">
        <v>223</v>
      </c>
      <c r="N16" s="5" t="s">
        <v>227</v>
      </c>
      <c r="O16" s="5">
        <v>1</v>
      </c>
      <c r="P16" s="5">
        <v>8</v>
      </c>
      <c r="Q16" s="5">
        <v>9</v>
      </c>
      <c r="R16" s="5">
        <v>66</v>
      </c>
      <c r="S16" s="4">
        <f>IF(OR(B16="",Results!B5=""),"",IF(B16=Results!B5,1+IF(OR($O16=1,$P16=1,$Q16=1),1,0),0))</f>
        <v>0</v>
      </c>
      <c r="T16" s="4">
        <f>IF(OR(C16="",Results!C5=""),"",IF(C16=Results!C5,1+IF(OR($O16=2,$P16=2,$Q16=2),1,0),0))</f>
        <v>1</v>
      </c>
      <c r="U16" s="4">
        <f>IF(OR(D16="",Results!D5=""),"",IF(D16=Results!D5,1+IF(OR($O16=3,$P16=3,$Q16=3),1,0),0))</f>
        <v>1</v>
      </c>
      <c r="V16" s="4">
        <f>IF(OR(E16="",Results!E5=""),"",IF(E16=Results!E5,1+IF(OR($O16=4,$P16=4,$Q16=4),1,0),0))</f>
        <v>1</v>
      </c>
      <c r="W16" s="4">
        <f>IF(OR(F16="",Results!F5=""),"",IF(F16=Results!F5,1+IF(OR($O16=5,$P16=5,$Q16=5),1,0),0))</f>
        <v>1</v>
      </c>
      <c r="X16" s="4">
        <f>IF(OR(G16="",Results!G5=""),"",IF(G16=Results!G5,1+IF(OR($O16=6,$P16=6,$Q16=6),1,0),0))</f>
        <v>1</v>
      </c>
      <c r="Y16" s="4">
        <f>IF(OR(H16="",Results!H5=""),"",IF(H16=Results!H5,1+IF(OR($O16=7,$P16=7,$Q16=7),1,0),0))</f>
        <v>0</v>
      </c>
      <c r="Z16" s="4">
        <f>IF(OR(I16="",Results!I5=""),"",IF(I16=Results!I5,1+IF(OR($O16=8,$P16=8,$Q16=8),1,0),0))</f>
        <v>2</v>
      </c>
      <c r="AA16" s="4">
        <f>IF(OR(J16="",Results!J5=""),"",IF(J16=Results!J5,1+IF(OR($O16=9,$P16=9,$Q16=9),1,0),0))</f>
        <v>2</v>
      </c>
      <c r="AB16" s="4">
        <f>IF(OR(K16="",Results!K5=""),"",IF(K16=Results!K5,1+IF(OR($O16=10,$P16=10,$Q16=10),1,0),0))</f>
        <v>1</v>
      </c>
      <c r="AC16" s="4">
        <f>IF(OR(L16="",Results!L5=""),"",IF(L16=Results!L5,1+IF(OR($O16=11,$P16=11,$Q16=11),1,0),0))</f>
        <v>0</v>
      </c>
      <c r="AD16" s="4">
        <f>IF(OR(M16="",Results!M5=""),"",IF(M16=Results!M5,1+IF(OR($O16=12,$P16=12,$Q16=12),1,0),0))</f>
        <v>1</v>
      </c>
      <c r="AE16" s="4">
        <f>IF(OR(N16="",Results!N5=""),"",IF(N16=Results!N5,1+IF(OR($O16=13,$P16=13,$Q16=13),1,0),0))</f>
        <v>0</v>
      </c>
      <c r="AF16" s="11">
        <f t="shared" si="0"/>
        <v>11</v>
      </c>
      <c r="AG16" s="4">
        <f>IF(OR($R16="",Results!O5=""),"",ABS($R16-Results!O5))</f>
        <v>15</v>
      </c>
      <c r="AH16" s="12">
        <v>8</v>
      </c>
      <c r="AI16" s="13">
        <f>IF(OR(B16="",Results!B5=""),"",IF(AND(B16=Results!B5,Results!B5&lt;&gt;Games!$C$5),1,0))</f>
        <v>0</v>
      </c>
      <c r="AJ16" s="13">
        <f>IF(OR(C16="",Results!C5=""),"",IF(AND(C16=Results!C5,Results!C5&lt;&gt;Games!$C$6),1,0))</f>
        <v>1</v>
      </c>
      <c r="AK16" s="13">
        <f>IF(OR(D16="",Results!D5=""),"",IF(AND(D16=Results!D5,Results!D5&lt;&gt;Games!$C$7),1,0))</f>
        <v>0</v>
      </c>
      <c r="AL16" s="13">
        <f>IF(OR(E16="",Results!E5=""),"",IF(AND(E16=Results!E5,Results!E5&lt;&gt;Games!$C$8),1,0))</f>
        <v>0</v>
      </c>
      <c r="AM16" s="13">
        <f>IF(OR(F16="",Results!F5=""),"",IF(AND(F16=Results!F5,Results!F5&lt;&gt;Games!$C$9),1,0))</f>
        <v>0</v>
      </c>
      <c r="AN16" s="13">
        <f>IF(OR(G16="",Results!G5=""),"",IF(AND(G16=Results!G5,Results!G5&lt;&gt;Games!$C$10),1,0))</f>
        <v>0</v>
      </c>
      <c r="AO16" s="13">
        <f>IF(OR(H16="",Results!H5=""),"",IF(AND(H16=Results!H5,Results!H5&lt;&gt;Games!$C$11),1,0))</f>
        <v>0</v>
      </c>
      <c r="AP16" s="13">
        <f>IF(OR(I16="",Results!I5=""),"",IF(AND(I16=Results!I5,Results!I5&lt;&gt;Games!$C$12),1,0))</f>
        <v>0</v>
      </c>
      <c r="AQ16" s="13">
        <f>IF(OR(J16="",Results!J5=""),"",IF(AND(J16=Results!J5,Results!J5&lt;&gt;Games!$C$13),1,0))</f>
        <v>0</v>
      </c>
      <c r="AR16" s="13">
        <f>IF(OR(K16="",Results!K5=""),"",IF(AND(K16=Results!K5,Results!K5&lt;&gt;Games!$C$14),1,0))</f>
        <v>0</v>
      </c>
      <c r="AS16" s="13">
        <f>IF(OR(L16="",Results!L5=""),"",IF(AND(L16=Results!L5,Results!L5&lt;&gt;Games!$C$15),1,0))</f>
        <v>0</v>
      </c>
      <c r="AT16" s="13">
        <f>IF(OR(M16="",Results!M5=""),"",IF(AND(M16=Results!M5,Results!M5&lt;&gt;Games!$C$16),1,0))</f>
        <v>0</v>
      </c>
      <c r="AU16" s="13">
        <f>IF(OR(N16="",Results!N5=""),"",IF(AND(N16=Results!N5,Results!N5&lt;&gt;Games!$C$17),1,0))</f>
        <v>0</v>
      </c>
      <c r="AV16" s="14">
        <f t="shared" si="1"/>
        <v>1</v>
      </c>
    </row>
    <row r="17" spans="1:48" ht="15" customHeight="1" x14ac:dyDescent="0.25">
      <c r="A17" s="4" t="str">
        <f>INDEX(Players!$D$6:$D$69,MATCH(7,Players!$A$6:$A$69,0))</f>
        <v>David Y.</v>
      </c>
      <c r="B17" s="5" t="s">
        <v>183</v>
      </c>
      <c r="C17" s="5" t="s">
        <v>187</v>
      </c>
      <c r="D17" s="5" t="s">
        <v>191</v>
      </c>
      <c r="E17" s="5" t="s">
        <v>195</v>
      </c>
      <c r="F17" s="5" t="s">
        <v>199</v>
      </c>
      <c r="G17" s="5" t="s">
        <v>202</v>
      </c>
      <c r="H17" s="5" t="s">
        <v>206</v>
      </c>
      <c r="I17" s="5" t="s">
        <v>210</v>
      </c>
      <c r="J17" s="5" t="s">
        <v>213</v>
      </c>
      <c r="K17" s="5" t="s">
        <v>217</v>
      </c>
      <c r="L17" s="5" t="s">
        <v>220</v>
      </c>
      <c r="M17" s="5" t="s">
        <v>223</v>
      </c>
      <c r="N17" s="5" t="s">
        <v>226</v>
      </c>
      <c r="O17" s="5">
        <v>4</v>
      </c>
      <c r="P17" s="5">
        <v>8</v>
      </c>
      <c r="Q17" s="5">
        <v>12</v>
      </c>
      <c r="R17" s="5">
        <v>58</v>
      </c>
      <c r="S17" s="4">
        <f>IF(OR(B17="",Results!B5=""),"",IF(B17=Results!B5,1+IF(OR($O17=1,$P17=1,$Q17=1),1,0),0))</f>
        <v>0</v>
      </c>
      <c r="T17" s="4">
        <f>IF(OR(C17="",Results!C5=""),"",IF(C17=Results!C5,1+IF(OR($O17=2,$P17=2,$Q17=2),1,0),0))</f>
        <v>0</v>
      </c>
      <c r="U17" s="4">
        <f>IF(OR(D17="",Results!D5=""),"",IF(D17=Results!D5,1+IF(OR($O17=3,$P17=3,$Q17=3),1,0),0))</f>
        <v>1</v>
      </c>
      <c r="V17" s="4">
        <f>IF(OR(E17="",Results!E5=""),"",IF(E17=Results!E5,1+IF(OR($O17=4,$P17=4,$Q17=4),1,0),0))</f>
        <v>2</v>
      </c>
      <c r="W17" s="4">
        <f>IF(OR(F17="",Results!F5=""),"",IF(F17=Results!F5,1+IF(OR($O17=5,$P17=5,$Q17=5),1,0),0))</f>
        <v>1</v>
      </c>
      <c r="X17" s="4">
        <f>IF(OR(G17="",Results!G5=""),"",IF(G17=Results!G5,1+IF(OR($O17=6,$P17=6,$Q17=6),1,0),0))</f>
        <v>1</v>
      </c>
      <c r="Y17" s="4">
        <f>IF(OR(H17="",Results!H5=""),"",IF(H17=Results!H5,1+IF(OR($O17=7,$P17=7,$Q17=7),1,0),0))</f>
        <v>1</v>
      </c>
      <c r="Z17" s="4">
        <f>IF(OR(I17="",Results!I5=""),"",IF(I17=Results!I5,1+IF(OR($O17=8,$P17=8,$Q17=8),1,0),0))</f>
        <v>2</v>
      </c>
      <c r="AA17" s="4">
        <f>IF(OR(J17="",Results!J5=""),"",IF(J17=Results!J5,1+IF(OR($O17=9,$P17=9,$Q17=9),1,0),0))</f>
        <v>1</v>
      </c>
      <c r="AB17" s="4">
        <f>IF(OR(K17="",Results!K5=""),"",IF(K17=Results!K5,1+IF(OR($O17=10,$P17=10,$Q17=10),1,0),0))</f>
        <v>1</v>
      </c>
      <c r="AC17" s="4">
        <f>IF(OR(L17="",Results!L5=""),"",IF(L17=Results!L5,1+IF(OR($O17=11,$P17=11,$Q17=11),1,0),0))</f>
        <v>0</v>
      </c>
      <c r="AD17" s="4">
        <f>IF(OR(M17="",Results!M5=""),"",IF(M17=Results!M5,1+IF(OR($O17=12,$P17=12,$Q17=12),1,0),0))</f>
        <v>2</v>
      </c>
      <c r="AE17" s="4">
        <f>IF(OR(N17="",Results!N5=""),"",IF(N17=Results!N5,1+IF(OR($O17=13,$P17=13,$Q17=13),1,0),0))</f>
        <v>1</v>
      </c>
      <c r="AF17" s="11">
        <f t="shared" si="0"/>
        <v>13</v>
      </c>
      <c r="AG17" s="4">
        <f>IF(OR($R17="",Results!O5=""),"",ABS($R17-Results!O5))</f>
        <v>7</v>
      </c>
      <c r="AH17" s="12">
        <v>7</v>
      </c>
      <c r="AI17" s="13">
        <f>IF(OR(B17="",Results!B5=""),"",IF(AND(B17=Results!B5,Results!B5&lt;&gt;Games!$C$5),1,0))</f>
        <v>0</v>
      </c>
      <c r="AJ17" s="13">
        <f>IF(OR(C17="",Results!C5=""),"",IF(AND(C17=Results!C5,Results!C5&lt;&gt;Games!$C$6),1,0))</f>
        <v>0</v>
      </c>
      <c r="AK17" s="13">
        <f>IF(OR(D17="",Results!D5=""),"",IF(AND(D17=Results!D5,Results!D5&lt;&gt;Games!$C$7),1,0))</f>
        <v>0</v>
      </c>
      <c r="AL17" s="13">
        <f>IF(OR(E17="",Results!E5=""),"",IF(AND(E17=Results!E5,Results!E5&lt;&gt;Games!$C$8),1,0))</f>
        <v>0</v>
      </c>
      <c r="AM17" s="13">
        <f>IF(OR(F17="",Results!F5=""),"",IF(AND(F17=Results!F5,Results!F5&lt;&gt;Games!$C$9),1,0))</f>
        <v>0</v>
      </c>
      <c r="AN17" s="13">
        <f>IF(OR(G17="",Results!G5=""),"",IF(AND(G17=Results!G5,Results!G5&lt;&gt;Games!$C$10),1,0))</f>
        <v>0</v>
      </c>
      <c r="AO17" s="13">
        <f>IF(OR(H17="",Results!H5=""),"",IF(AND(H17=Results!H5,Results!H5&lt;&gt;Games!$C$11),1,0))</f>
        <v>0</v>
      </c>
      <c r="AP17" s="13">
        <f>IF(OR(I17="",Results!I5=""),"",IF(AND(I17=Results!I5,Results!I5&lt;&gt;Games!$C$12),1,0))</f>
        <v>0</v>
      </c>
      <c r="AQ17" s="13">
        <f>IF(OR(J17="",Results!J5=""),"",IF(AND(J17=Results!J5,Results!J5&lt;&gt;Games!$C$13),1,0))</f>
        <v>0</v>
      </c>
      <c r="AR17" s="13">
        <f>IF(OR(K17="",Results!K5=""),"",IF(AND(K17=Results!K5,Results!K5&lt;&gt;Games!$C$14),1,0))</f>
        <v>0</v>
      </c>
      <c r="AS17" s="13">
        <f>IF(OR(L17="",Results!L5=""),"",IF(AND(L17=Results!L5,Results!L5&lt;&gt;Games!$C$15),1,0))</f>
        <v>0</v>
      </c>
      <c r="AT17" s="13">
        <f>IF(OR(M17="",Results!M5=""),"",IF(AND(M17=Results!M5,Results!M5&lt;&gt;Games!$C$16),1,0))</f>
        <v>0</v>
      </c>
      <c r="AU17" s="13">
        <f>IF(OR(N17="",Results!N5=""),"",IF(AND(N17=Results!N5,Results!N5&lt;&gt;Games!$C$17),1,0))</f>
        <v>0</v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 t="s">
        <v>183</v>
      </c>
      <c r="C18" s="5" t="s">
        <v>187</v>
      </c>
      <c r="D18" s="5" t="s">
        <v>191</v>
      </c>
      <c r="E18" s="5" t="s">
        <v>196</v>
      </c>
      <c r="F18" s="5" t="s">
        <v>199</v>
      </c>
      <c r="G18" s="5" t="s">
        <v>202</v>
      </c>
      <c r="H18" s="5" t="s">
        <v>206</v>
      </c>
      <c r="I18" s="5" t="s">
        <v>211</v>
      </c>
      <c r="J18" s="5" t="s">
        <v>214</v>
      </c>
      <c r="K18" s="5" t="s">
        <v>217</v>
      </c>
      <c r="L18" s="5" t="s">
        <v>220</v>
      </c>
      <c r="M18" s="5" t="s">
        <v>223</v>
      </c>
      <c r="N18" s="5" t="s">
        <v>227</v>
      </c>
      <c r="O18" s="5">
        <v>4</v>
      </c>
      <c r="P18" s="5">
        <v>5</v>
      </c>
      <c r="Q18" s="5">
        <v>12</v>
      </c>
      <c r="R18" s="5">
        <v>47</v>
      </c>
      <c r="S18" s="4">
        <f>IF(OR(B18="",Results!B5=""),"",IF(B18=Results!B5,1+IF(OR($O18=1,$P18=1,$Q18=1),1,0),0))</f>
        <v>0</v>
      </c>
      <c r="T18" s="4">
        <f>IF(OR(C18="",Results!C5=""),"",IF(C18=Results!C5,1+IF(OR($O18=2,$P18=2,$Q18=2),1,0),0))</f>
        <v>0</v>
      </c>
      <c r="U18" s="4">
        <f>IF(OR(D18="",Results!D5=""),"",IF(D18=Results!D5,1+IF(OR($O18=3,$P18=3,$Q18=3),1,0),0))</f>
        <v>1</v>
      </c>
      <c r="V18" s="4">
        <f>IF(OR(E18="",Results!E5=""),"",IF(E18=Results!E5,1+IF(OR($O18=4,$P18=4,$Q18=4),1,0),0))</f>
        <v>0</v>
      </c>
      <c r="W18" s="4">
        <f>IF(OR(F18="",Results!F5=""),"",IF(F18=Results!F5,1+IF(OR($O18=5,$P18=5,$Q18=5),1,0),0))</f>
        <v>2</v>
      </c>
      <c r="X18" s="4">
        <f>IF(OR(G18="",Results!G5=""),"",IF(G18=Results!G5,1+IF(OR($O18=6,$P18=6,$Q18=6),1,0),0))</f>
        <v>1</v>
      </c>
      <c r="Y18" s="4">
        <f>IF(OR(H18="",Results!H5=""),"",IF(H18=Results!H5,1+IF(OR($O18=7,$P18=7,$Q18=7),1,0),0))</f>
        <v>1</v>
      </c>
      <c r="Z18" s="4">
        <f>IF(OR(I18="",Results!I5=""),"",IF(I18=Results!I5,1+IF(OR($O18=8,$P18=8,$Q18=8),1,0),0))</f>
        <v>0</v>
      </c>
      <c r="AA18" s="4">
        <f>IF(OR(J18="",Results!J5=""),"",IF(J18=Results!J5,1+IF(OR($O18=9,$P18=9,$Q18=9),1,0),0))</f>
        <v>0</v>
      </c>
      <c r="AB18" s="4">
        <f>IF(OR(K18="",Results!K5=""),"",IF(K18=Results!K5,1+IF(OR($O18=10,$P18=10,$Q18=10),1,0),0))</f>
        <v>1</v>
      </c>
      <c r="AC18" s="4">
        <f>IF(OR(L18="",Results!L5=""),"",IF(L18=Results!L5,1+IF(OR($O18=11,$P18=11,$Q18=11),1,0),0))</f>
        <v>0</v>
      </c>
      <c r="AD18" s="4">
        <f>IF(OR(M18="",Results!M5=""),"",IF(M18=Results!M5,1+IF(OR($O18=12,$P18=12,$Q18=12),1,0),0))</f>
        <v>2</v>
      </c>
      <c r="AE18" s="4">
        <f>IF(OR(N18="",Results!N5=""),"",IF(N18=Results!N5,1+IF(OR($O18=13,$P18=13,$Q18=13),1,0),0))</f>
        <v>0</v>
      </c>
      <c r="AF18" s="11">
        <f t="shared" si="0"/>
        <v>8</v>
      </c>
      <c r="AG18" s="4">
        <f>IF(OR($R18="",Results!O5=""),"",ABS($R18-Results!O5))</f>
        <v>4</v>
      </c>
      <c r="AH18" s="12">
        <v>37</v>
      </c>
      <c r="AI18" s="13">
        <f>IF(OR(B18="",Results!B5=""),"",IF(AND(B18=Results!B5,Results!B5&lt;&gt;Games!$C$5),1,0))</f>
        <v>0</v>
      </c>
      <c r="AJ18" s="13">
        <f>IF(OR(C18="",Results!C5=""),"",IF(AND(C18=Results!C5,Results!C5&lt;&gt;Games!$C$6),1,0))</f>
        <v>0</v>
      </c>
      <c r="AK18" s="13">
        <f>IF(OR(D18="",Results!D5=""),"",IF(AND(D18=Results!D5,Results!D5&lt;&gt;Games!$C$7),1,0))</f>
        <v>0</v>
      </c>
      <c r="AL18" s="13">
        <f>IF(OR(E18="",Results!E5=""),"",IF(AND(E18=Results!E5,Results!E5&lt;&gt;Games!$C$8),1,0))</f>
        <v>0</v>
      </c>
      <c r="AM18" s="13">
        <f>IF(OR(F18="",Results!F5=""),"",IF(AND(F18=Results!F5,Results!F5&lt;&gt;Games!$C$9),1,0))</f>
        <v>0</v>
      </c>
      <c r="AN18" s="13">
        <f>IF(OR(G18="",Results!G5=""),"",IF(AND(G18=Results!G5,Results!G5&lt;&gt;Games!$C$10),1,0))</f>
        <v>0</v>
      </c>
      <c r="AO18" s="13">
        <f>IF(OR(H18="",Results!H5=""),"",IF(AND(H18=Results!H5,Results!H5&lt;&gt;Games!$C$11),1,0))</f>
        <v>0</v>
      </c>
      <c r="AP18" s="13">
        <f>IF(OR(I18="",Results!I5=""),"",IF(AND(I18=Results!I5,Results!I5&lt;&gt;Games!$C$12),1,0))</f>
        <v>0</v>
      </c>
      <c r="AQ18" s="13">
        <f>IF(OR(J18="",Results!J5=""),"",IF(AND(J18=Results!J5,Results!J5&lt;&gt;Games!$C$13),1,0))</f>
        <v>0</v>
      </c>
      <c r="AR18" s="13">
        <f>IF(OR(K18="",Results!K5=""),"",IF(AND(K18=Results!K5,Results!K5&lt;&gt;Games!$C$14),1,0))</f>
        <v>0</v>
      </c>
      <c r="AS18" s="13">
        <f>IF(OR(L18="",Results!L5=""),"",IF(AND(L18=Results!L5,Results!L5&lt;&gt;Games!$C$15),1,0))</f>
        <v>0</v>
      </c>
      <c r="AT18" s="13">
        <f>IF(OR(M18="",Results!M5=""),"",IF(AND(M18=Results!M5,Results!M5&lt;&gt;Games!$C$16),1,0))</f>
        <v>0</v>
      </c>
      <c r="AU18" s="13">
        <f>IF(OR(N18="",Results!N5=""),"",IF(AND(N18=Results!N5,Results!N5&lt;&gt;Games!$C$17),1,0))</f>
        <v>0</v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 t="s">
        <v>183</v>
      </c>
      <c r="C19" s="5" t="s">
        <v>187</v>
      </c>
      <c r="D19" s="5" t="s">
        <v>191</v>
      </c>
      <c r="E19" s="5" t="s">
        <v>195</v>
      </c>
      <c r="F19" s="5" t="s">
        <v>199</v>
      </c>
      <c r="G19" s="5" t="s">
        <v>202</v>
      </c>
      <c r="H19" s="5" t="s">
        <v>206</v>
      </c>
      <c r="I19" s="5" t="s">
        <v>210</v>
      </c>
      <c r="J19" s="5" t="s">
        <v>214</v>
      </c>
      <c r="K19" s="5" t="s">
        <v>217</v>
      </c>
      <c r="L19" s="5" t="s">
        <v>220</v>
      </c>
      <c r="M19" s="5" t="s">
        <v>223</v>
      </c>
      <c r="N19" s="5" t="s">
        <v>226</v>
      </c>
      <c r="O19" s="5">
        <v>4</v>
      </c>
      <c r="P19" s="5">
        <v>5</v>
      </c>
      <c r="Q19" s="5">
        <v>8</v>
      </c>
      <c r="R19" s="5">
        <v>56</v>
      </c>
      <c r="S19" s="4">
        <f>IF(OR(B19="",Results!B5=""),"",IF(B19=Results!B5,1+IF(OR($O19=1,$P19=1,$Q19=1),1,0),0))</f>
        <v>0</v>
      </c>
      <c r="T19" s="4">
        <f>IF(OR(C19="",Results!C5=""),"",IF(C19=Results!C5,1+IF(OR($O19=2,$P19=2,$Q19=2),1,0),0))</f>
        <v>0</v>
      </c>
      <c r="U19" s="4">
        <f>IF(OR(D19="",Results!D5=""),"",IF(D19=Results!D5,1+IF(OR($O19=3,$P19=3,$Q19=3),1,0),0))</f>
        <v>1</v>
      </c>
      <c r="V19" s="4">
        <f>IF(OR(E19="",Results!E5=""),"",IF(E19=Results!E5,1+IF(OR($O19=4,$P19=4,$Q19=4),1,0),0))</f>
        <v>2</v>
      </c>
      <c r="W19" s="4">
        <f>IF(OR(F19="",Results!F5=""),"",IF(F19=Results!F5,1+IF(OR($O19=5,$P19=5,$Q19=5),1,0),0))</f>
        <v>2</v>
      </c>
      <c r="X19" s="4">
        <f>IF(OR(G19="",Results!G5=""),"",IF(G19=Results!G5,1+IF(OR($O19=6,$P19=6,$Q19=6),1,0),0))</f>
        <v>1</v>
      </c>
      <c r="Y19" s="4">
        <f>IF(OR(H19="",Results!H5=""),"",IF(H19=Results!H5,1+IF(OR($O19=7,$P19=7,$Q19=7),1,0),0))</f>
        <v>1</v>
      </c>
      <c r="Z19" s="4">
        <f>IF(OR(I19="",Results!I5=""),"",IF(I19=Results!I5,1+IF(OR($O19=8,$P19=8,$Q19=8),1,0),0))</f>
        <v>2</v>
      </c>
      <c r="AA19" s="4">
        <f>IF(OR(J19="",Results!J5=""),"",IF(J19=Results!J5,1+IF(OR($O19=9,$P19=9,$Q19=9),1,0),0))</f>
        <v>0</v>
      </c>
      <c r="AB19" s="4">
        <f>IF(OR(K19="",Results!K5=""),"",IF(K19=Results!K5,1+IF(OR($O19=10,$P19=10,$Q19=10),1,0),0))</f>
        <v>1</v>
      </c>
      <c r="AC19" s="4">
        <f>IF(OR(L19="",Results!L5=""),"",IF(L19=Results!L5,1+IF(OR($O19=11,$P19=11,$Q19=11),1,0),0))</f>
        <v>0</v>
      </c>
      <c r="AD19" s="4">
        <f>IF(OR(M19="",Results!M5=""),"",IF(M19=Results!M5,1+IF(OR($O19=12,$P19=12,$Q19=12),1,0),0))</f>
        <v>1</v>
      </c>
      <c r="AE19" s="4">
        <f>IF(OR(N19="",Results!N5=""),"",IF(N19=Results!N5,1+IF(OR($O19=13,$P19=13,$Q19=13),1,0),0))</f>
        <v>1</v>
      </c>
      <c r="AF19" s="11">
        <f t="shared" si="0"/>
        <v>12</v>
      </c>
      <c r="AG19" s="4">
        <f>IF(OR($R19="",Results!O5=""),"",ABS($R19-Results!O5))</f>
        <v>5</v>
      </c>
      <c r="AH19" s="12">
        <v>26</v>
      </c>
      <c r="AI19" s="13">
        <f>IF(OR(B19="",Results!B5=""),"",IF(AND(B19=Results!B5,Results!B5&lt;&gt;Games!$C$5),1,0))</f>
        <v>0</v>
      </c>
      <c r="AJ19" s="13">
        <f>IF(OR(C19="",Results!C5=""),"",IF(AND(C19=Results!C5,Results!C5&lt;&gt;Games!$C$6),1,0))</f>
        <v>0</v>
      </c>
      <c r="AK19" s="13">
        <f>IF(OR(D19="",Results!D5=""),"",IF(AND(D19=Results!D5,Results!D5&lt;&gt;Games!$C$7),1,0))</f>
        <v>0</v>
      </c>
      <c r="AL19" s="13">
        <f>IF(OR(E19="",Results!E5=""),"",IF(AND(E19=Results!E5,Results!E5&lt;&gt;Games!$C$8),1,0))</f>
        <v>0</v>
      </c>
      <c r="AM19" s="13">
        <f>IF(OR(F19="",Results!F5=""),"",IF(AND(F19=Results!F5,Results!F5&lt;&gt;Games!$C$9),1,0))</f>
        <v>0</v>
      </c>
      <c r="AN19" s="13">
        <f>IF(OR(G19="",Results!G5=""),"",IF(AND(G19=Results!G5,Results!G5&lt;&gt;Games!$C$10),1,0))</f>
        <v>0</v>
      </c>
      <c r="AO19" s="13">
        <f>IF(OR(H19="",Results!H5=""),"",IF(AND(H19=Results!H5,Results!H5&lt;&gt;Games!$C$11),1,0))</f>
        <v>0</v>
      </c>
      <c r="AP19" s="13">
        <f>IF(OR(I19="",Results!I5=""),"",IF(AND(I19=Results!I5,Results!I5&lt;&gt;Games!$C$12),1,0))</f>
        <v>0</v>
      </c>
      <c r="AQ19" s="13">
        <f>IF(OR(J19="",Results!J5=""),"",IF(AND(J19=Results!J5,Results!J5&lt;&gt;Games!$C$13),1,0))</f>
        <v>0</v>
      </c>
      <c r="AR19" s="13">
        <f>IF(OR(K19="",Results!K5=""),"",IF(AND(K19=Results!K5,Results!K5&lt;&gt;Games!$C$14),1,0))</f>
        <v>0</v>
      </c>
      <c r="AS19" s="13">
        <f>IF(OR(L19="",Results!L5=""),"",IF(AND(L19=Results!L5,Results!L5&lt;&gt;Games!$C$15),1,0))</f>
        <v>0</v>
      </c>
      <c r="AT19" s="13">
        <f>IF(OR(M19="",Results!M5=""),"",IF(AND(M19=Results!M5,Results!M5&lt;&gt;Games!$C$16),1,0))</f>
        <v>0</v>
      </c>
      <c r="AU19" s="13">
        <f>IF(OR(N19="",Results!N5=""),"",IF(AND(N19=Results!N5,Results!N5&lt;&gt;Games!$C$17),1,0))</f>
        <v>0</v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 t="s">
        <v>183</v>
      </c>
      <c r="C20" s="5" t="s">
        <v>188</v>
      </c>
      <c r="D20" s="5" t="s">
        <v>191</v>
      </c>
      <c r="E20" s="5" t="s">
        <v>195</v>
      </c>
      <c r="F20" s="5" t="s">
        <v>199</v>
      </c>
      <c r="G20" s="5" t="s">
        <v>202</v>
      </c>
      <c r="H20" s="5" t="s">
        <v>206</v>
      </c>
      <c r="I20" s="5" t="s">
        <v>210</v>
      </c>
      <c r="J20" s="5" t="s">
        <v>213</v>
      </c>
      <c r="K20" s="5" t="s">
        <v>217</v>
      </c>
      <c r="L20" s="5" t="s">
        <v>221</v>
      </c>
      <c r="M20" s="5" t="s">
        <v>223</v>
      </c>
      <c r="N20" s="5" t="s">
        <v>226</v>
      </c>
      <c r="O20" s="5">
        <v>1</v>
      </c>
      <c r="P20" s="5">
        <v>4</v>
      </c>
      <c r="Q20" s="5">
        <v>8</v>
      </c>
      <c r="R20" s="5">
        <v>48</v>
      </c>
      <c r="S20" s="4">
        <f>IF(OR(B20="",Results!B5=""),"",IF(B20=Results!B5,1+IF(OR($O20=1,$P20=1,$Q20=1),1,0),0))</f>
        <v>0</v>
      </c>
      <c r="T20" s="4">
        <f>IF(OR(C20="",Results!C5=""),"",IF(C20=Results!C5,1+IF(OR($O20=2,$P20=2,$Q20=2),1,0),0))</f>
        <v>1</v>
      </c>
      <c r="U20" s="4">
        <f>IF(OR(D20="",Results!D5=""),"",IF(D20=Results!D5,1+IF(OR($O20=3,$P20=3,$Q20=3),1,0),0))</f>
        <v>1</v>
      </c>
      <c r="V20" s="4">
        <f>IF(OR(E20="",Results!E5=""),"",IF(E20=Results!E5,1+IF(OR($O20=4,$P20=4,$Q20=4),1,0),0))</f>
        <v>2</v>
      </c>
      <c r="W20" s="4">
        <f>IF(OR(F20="",Results!F5=""),"",IF(F20=Results!F5,1+IF(OR($O20=5,$P20=5,$Q20=5),1,0),0))</f>
        <v>1</v>
      </c>
      <c r="X20" s="4">
        <f>IF(OR(G20="",Results!G5=""),"",IF(G20=Results!G5,1+IF(OR($O20=6,$P20=6,$Q20=6),1,0),0))</f>
        <v>1</v>
      </c>
      <c r="Y20" s="4">
        <f>IF(OR(H20="",Results!H5=""),"",IF(H20=Results!H5,1+IF(OR($O20=7,$P20=7,$Q20=7),1,0),0))</f>
        <v>1</v>
      </c>
      <c r="Z20" s="4">
        <f>IF(OR(I20="",Results!I5=""),"",IF(I20=Results!I5,1+IF(OR($O20=8,$P20=8,$Q20=8),1,0),0))</f>
        <v>2</v>
      </c>
      <c r="AA20" s="4">
        <f>IF(OR(J20="",Results!J5=""),"",IF(J20=Results!J5,1+IF(OR($O20=9,$P20=9,$Q20=9),1,0),0))</f>
        <v>1</v>
      </c>
      <c r="AB20" s="4">
        <f>IF(OR(K20="",Results!K5=""),"",IF(K20=Results!K5,1+IF(OR($O20=10,$P20=10,$Q20=10),1,0),0))</f>
        <v>1</v>
      </c>
      <c r="AC20" s="4">
        <f>IF(OR(L20="",Results!L5=""),"",IF(L20=Results!L5,1+IF(OR($O20=11,$P20=11,$Q20=11),1,0),0))</f>
        <v>1</v>
      </c>
      <c r="AD20" s="4">
        <f>IF(OR(M20="",Results!M5=""),"",IF(M20=Results!M5,1+IF(OR($O20=12,$P20=12,$Q20=12),1,0),0))</f>
        <v>1</v>
      </c>
      <c r="AE20" s="4">
        <f>IF(OR(N20="",Results!N5=""),"",IF(N20=Results!N5,1+IF(OR($O20=13,$P20=13,$Q20=13),1,0),0))</f>
        <v>1</v>
      </c>
      <c r="AF20" s="11">
        <f t="shared" si="0"/>
        <v>14</v>
      </c>
      <c r="AG20" s="4">
        <f>IF(OR($R20="",Results!O5=""),"",ABS($R20-Results!O5))</f>
        <v>3</v>
      </c>
      <c r="AH20" s="12">
        <v>52</v>
      </c>
      <c r="AI20" s="13">
        <f>IF(OR(B20="",Results!B5=""),"",IF(AND(B20=Results!B5,Results!B5&lt;&gt;Games!$C$5),1,0))</f>
        <v>0</v>
      </c>
      <c r="AJ20" s="13">
        <f>IF(OR(C20="",Results!C5=""),"",IF(AND(C20=Results!C5,Results!C5&lt;&gt;Games!$C$6),1,0))</f>
        <v>1</v>
      </c>
      <c r="AK20" s="13">
        <f>IF(OR(D20="",Results!D5=""),"",IF(AND(D20=Results!D5,Results!D5&lt;&gt;Games!$C$7),1,0))</f>
        <v>0</v>
      </c>
      <c r="AL20" s="13">
        <f>IF(OR(E20="",Results!E5=""),"",IF(AND(E20=Results!E5,Results!E5&lt;&gt;Games!$C$8),1,0))</f>
        <v>0</v>
      </c>
      <c r="AM20" s="13">
        <f>IF(OR(F20="",Results!F5=""),"",IF(AND(F20=Results!F5,Results!F5&lt;&gt;Games!$C$9),1,0))</f>
        <v>0</v>
      </c>
      <c r="AN20" s="13">
        <f>IF(OR(G20="",Results!G5=""),"",IF(AND(G20=Results!G5,Results!G5&lt;&gt;Games!$C$10),1,0))</f>
        <v>0</v>
      </c>
      <c r="AO20" s="13">
        <f>IF(OR(H20="",Results!H5=""),"",IF(AND(H20=Results!H5,Results!H5&lt;&gt;Games!$C$11),1,0))</f>
        <v>0</v>
      </c>
      <c r="AP20" s="13">
        <f>IF(OR(I20="",Results!I5=""),"",IF(AND(I20=Results!I5,Results!I5&lt;&gt;Games!$C$12),1,0))</f>
        <v>0</v>
      </c>
      <c r="AQ20" s="13">
        <f>IF(OR(J20="",Results!J5=""),"",IF(AND(J20=Results!J5,Results!J5&lt;&gt;Games!$C$13),1,0))</f>
        <v>0</v>
      </c>
      <c r="AR20" s="13">
        <f>IF(OR(K20="",Results!K5=""),"",IF(AND(K20=Results!K5,Results!K5&lt;&gt;Games!$C$14),1,0))</f>
        <v>0</v>
      </c>
      <c r="AS20" s="13">
        <f>IF(OR(L20="",Results!L5=""),"",IF(AND(L20=Results!L5,Results!L5&lt;&gt;Games!$C$15),1,0))</f>
        <v>1</v>
      </c>
      <c r="AT20" s="13">
        <f>IF(OR(M20="",Results!M5=""),"",IF(AND(M20=Results!M5,Results!M5&lt;&gt;Games!$C$16),1,0))</f>
        <v>0</v>
      </c>
      <c r="AU20" s="13">
        <f>IF(OR(N20="",Results!N5=""),"",IF(AND(N20=Results!N5,Results!N5&lt;&gt;Games!$C$17),1,0))</f>
        <v>0</v>
      </c>
      <c r="AV20" s="14">
        <f t="shared" si="1"/>
        <v>2</v>
      </c>
    </row>
    <row r="21" spans="1:48" ht="15" customHeight="1" x14ac:dyDescent="0.25">
      <c r="A21" s="4" t="str">
        <f>INDEX(Players!$D$6:$D$69,MATCH(9,Players!$A$6:$A$69,0))</f>
        <v>Evan H.</v>
      </c>
      <c r="B21" s="5" t="s">
        <v>183</v>
      </c>
      <c r="C21" s="5" t="s">
        <v>188</v>
      </c>
      <c r="D21" s="5" t="s">
        <v>191</v>
      </c>
      <c r="E21" s="5" t="s">
        <v>195</v>
      </c>
      <c r="F21" s="5" t="s">
        <v>199</v>
      </c>
      <c r="G21" s="5" t="s">
        <v>202</v>
      </c>
      <c r="H21" s="5" t="s">
        <v>206</v>
      </c>
      <c r="I21" s="5" t="s">
        <v>210</v>
      </c>
      <c r="J21" s="5" t="s">
        <v>214</v>
      </c>
      <c r="K21" s="5" t="s">
        <v>217</v>
      </c>
      <c r="L21" s="5" t="s">
        <v>220</v>
      </c>
      <c r="M21" s="5" t="s">
        <v>224</v>
      </c>
      <c r="N21" s="5" t="s">
        <v>226</v>
      </c>
      <c r="O21" s="5">
        <v>1</v>
      </c>
      <c r="P21" s="5">
        <v>5</v>
      </c>
      <c r="Q21" s="5">
        <v>10</v>
      </c>
      <c r="R21" s="5">
        <v>42</v>
      </c>
      <c r="S21" s="4">
        <f>IF(OR(B21="",Results!B5=""),"",IF(B21=Results!B5,1+IF(OR($O21=1,$P21=1,$Q21=1),1,0),0))</f>
        <v>0</v>
      </c>
      <c r="T21" s="4">
        <f>IF(OR(C21="",Results!C5=""),"",IF(C21=Results!C5,1+IF(OR($O21=2,$P21=2,$Q21=2),1,0),0))</f>
        <v>1</v>
      </c>
      <c r="U21" s="4">
        <f>IF(OR(D21="",Results!D5=""),"",IF(D21=Results!D5,1+IF(OR($O21=3,$P21=3,$Q21=3),1,0),0))</f>
        <v>1</v>
      </c>
      <c r="V21" s="4">
        <f>IF(OR(E21="",Results!E5=""),"",IF(E21=Results!E5,1+IF(OR($O21=4,$P21=4,$Q21=4),1,0),0))</f>
        <v>1</v>
      </c>
      <c r="W21" s="4">
        <f>IF(OR(F21="",Results!F5=""),"",IF(F21=Results!F5,1+IF(OR($O21=5,$P21=5,$Q21=5),1,0),0))</f>
        <v>2</v>
      </c>
      <c r="X21" s="4">
        <f>IF(OR(G21="",Results!G5=""),"",IF(G21=Results!G5,1+IF(OR($O21=6,$P21=6,$Q21=6),1,0),0))</f>
        <v>1</v>
      </c>
      <c r="Y21" s="4">
        <f>IF(OR(H21="",Results!H5=""),"",IF(H21=Results!H5,1+IF(OR($O21=7,$P21=7,$Q21=7),1,0),0))</f>
        <v>1</v>
      </c>
      <c r="Z21" s="4">
        <f>IF(OR(I21="",Results!I5=""),"",IF(I21=Results!I5,1+IF(OR($O21=8,$P21=8,$Q21=8),1,0),0))</f>
        <v>1</v>
      </c>
      <c r="AA21" s="4">
        <f>IF(OR(J21="",Results!J5=""),"",IF(J21=Results!J5,1+IF(OR($O21=9,$P21=9,$Q21=9),1,0),0))</f>
        <v>0</v>
      </c>
      <c r="AB21" s="4">
        <f>IF(OR(K21="",Results!K5=""),"",IF(K21=Results!K5,1+IF(OR($O21=10,$P21=10,$Q21=10),1,0),0))</f>
        <v>2</v>
      </c>
      <c r="AC21" s="4">
        <f>IF(OR(L21="",Results!L5=""),"",IF(L21=Results!L5,1+IF(OR($O21=11,$P21=11,$Q21=11),1,0),0))</f>
        <v>0</v>
      </c>
      <c r="AD21" s="4">
        <f>IF(OR(M21="",Results!M5=""),"",IF(M21=Results!M5,1+IF(OR($O21=12,$P21=12,$Q21=12),1,0),0))</f>
        <v>0</v>
      </c>
      <c r="AE21" s="4">
        <f>IF(OR(N21="",Results!N5=""),"",IF(N21=Results!N5,1+IF(OR($O21=13,$P21=13,$Q21=13),1,0),0))</f>
        <v>1</v>
      </c>
      <c r="AF21" s="11">
        <f t="shared" si="0"/>
        <v>11</v>
      </c>
      <c r="AG21" s="4">
        <f>IF(OR($R21="",Results!O5=""),"",ABS($R21-Results!O5))</f>
        <v>9</v>
      </c>
      <c r="AH21" s="12">
        <v>9</v>
      </c>
      <c r="AI21" s="13">
        <f>IF(OR(B21="",Results!B5=""),"",IF(AND(B21=Results!B5,Results!B5&lt;&gt;Games!$C$5),1,0))</f>
        <v>0</v>
      </c>
      <c r="AJ21" s="13">
        <f>IF(OR(C21="",Results!C5=""),"",IF(AND(C21=Results!C5,Results!C5&lt;&gt;Games!$C$6),1,0))</f>
        <v>1</v>
      </c>
      <c r="AK21" s="13">
        <f>IF(OR(D21="",Results!D5=""),"",IF(AND(D21=Results!D5,Results!D5&lt;&gt;Games!$C$7),1,0))</f>
        <v>0</v>
      </c>
      <c r="AL21" s="13">
        <f>IF(OR(E21="",Results!E5=""),"",IF(AND(E21=Results!E5,Results!E5&lt;&gt;Games!$C$8),1,0))</f>
        <v>0</v>
      </c>
      <c r="AM21" s="13">
        <f>IF(OR(F21="",Results!F5=""),"",IF(AND(F21=Results!F5,Results!F5&lt;&gt;Games!$C$9),1,0))</f>
        <v>0</v>
      </c>
      <c r="AN21" s="13">
        <f>IF(OR(G21="",Results!G5=""),"",IF(AND(G21=Results!G5,Results!G5&lt;&gt;Games!$C$10),1,0))</f>
        <v>0</v>
      </c>
      <c r="AO21" s="13">
        <f>IF(OR(H21="",Results!H5=""),"",IF(AND(H21=Results!H5,Results!H5&lt;&gt;Games!$C$11),1,0))</f>
        <v>0</v>
      </c>
      <c r="AP21" s="13">
        <f>IF(OR(I21="",Results!I5=""),"",IF(AND(I21=Results!I5,Results!I5&lt;&gt;Games!$C$12),1,0))</f>
        <v>0</v>
      </c>
      <c r="AQ21" s="13">
        <f>IF(OR(J21="",Results!J5=""),"",IF(AND(J21=Results!J5,Results!J5&lt;&gt;Games!$C$13),1,0))</f>
        <v>0</v>
      </c>
      <c r="AR21" s="13">
        <f>IF(OR(K21="",Results!K5=""),"",IF(AND(K21=Results!K5,Results!K5&lt;&gt;Games!$C$14),1,0))</f>
        <v>0</v>
      </c>
      <c r="AS21" s="13">
        <f>IF(OR(L21="",Results!L5=""),"",IF(AND(L21=Results!L5,Results!L5&lt;&gt;Games!$C$15),1,0))</f>
        <v>0</v>
      </c>
      <c r="AT21" s="13">
        <f>IF(OR(M21="",Results!M5=""),"",IF(AND(M21=Results!M5,Results!M5&lt;&gt;Games!$C$16),1,0))</f>
        <v>0</v>
      </c>
      <c r="AU21" s="13">
        <f>IF(OR(N21="",Results!N5=""),"",IF(AND(N21=Results!N5,Results!N5&lt;&gt;Games!$C$17),1,0))</f>
        <v>0</v>
      </c>
      <c r="AV21" s="14">
        <f t="shared" si="1"/>
        <v>1</v>
      </c>
    </row>
    <row r="22" spans="1:48" ht="15" customHeight="1" x14ac:dyDescent="0.25">
      <c r="A22" s="4" t="str">
        <f>INDEX(Players!$D$6:$D$69,MATCH(10,Players!$A$6:$A$69,0))</f>
        <v>Gene P.</v>
      </c>
      <c r="B22" s="5" t="s">
        <v>183</v>
      </c>
      <c r="C22" s="5" t="s">
        <v>187</v>
      </c>
      <c r="D22" s="5" t="s">
        <v>191</v>
      </c>
      <c r="E22" s="5" t="s">
        <v>195</v>
      </c>
      <c r="F22" s="5" t="s">
        <v>199</v>
      </c>
      <c r="G22" s="5" t="s">
        <v>202</v>
      </c>
      <c r="H22" s="5" t="s">
        <v>206</v>
      </c>
      <c r="I22" s="5" t="s">
        <v>210</v>
      </c>
      <c r="J22" s="5" t="s">
        <v>213</v>
      </c>
      <c r="K22" s="5" t="s">
        <v>217</v>
      </c>
      <c r="L22" s="5" t="s">
        <v>220</v>
      </c>
      <c r="M22" s="5" t="s">
        <v>223</v>
      </c>
      <c r="N22" s="5" t="s">
        <v>226</v>
      </c>
      <c r="O22" s="5">
        <v>5</v>
      </c>
      <c r="P22" s="5">
        <v>6</v>
      </c>
      <c r="Q22" s="5">
        <v>8</v>
      </c>
      <c r="R22" s="5">
        <v>53</v>
      </c>
      <c r="S22" s="4">
        <f>IF(OR(B22="",Results!B5=""),"",IF(B22=Results!B5,1+IF(OR($O22=1,$P22=1,$Q22=1),1,0),0))</f>
        <v>0</v>
      </c>
      <c r="T22" s="4">
        <f>IF(OR(C22="",Results!C5=""),"",IF(C22=Results!C5,1+IF(OR($O22=2,$P22=2,$Q22=2),1,0),0))</f>
        <v>0</v>
      </c>
      <c r="U22" s="4">
        <f>IF(OR(D22="",Results!D5=""),"",IF(D22=Results!D5,1+IF(OR($O22=3,$P22=3,$Q22=3),1,0),0))</f>
        <v>1</v>
      </c>
      <c r="V22" s="4">
        <f>IF(OR(E22="",Results!E5=""),"",IF(E22=Results!E5,1+IF(OR($O22=4,$P22=4,$Q22=4),1,0),0))</f>
        <v>1</v>
      </c>
      <c r="W22" s="4">
        <f>IF(OR(F22="",Results!F5=""),"",IF(F22=Results!F5,1+IF(OR($O22=5,$P22=5,$Q22=5),1,0),0))</f>
        <v>2</v>
      </c>
      <c r="X22" s="4">
        <f>IF(OR(G22="",Results!G5=""),"",IF(G22=Results!G5,1+IF(OR($O22=6,$P22=6,$Q22=6),1,0),0))</f>
        <v>2</v>
      </c>
      <c r="Y22" s="4">
        <f>IF(OR(H22="",Results!H5=""),"",IF(H22=Results!H5,1+IF(OR($O22=7,$P22=7,$Q22=7),1,0),0))</f>
        <v>1</v>
      </c>
      <c r="Z22" s="4">
        <f>IF(OR(I22="",Results!I5=""),"",IF(I22=Results!I5,1+IF(OR($O22=8,$P22=8,$Q22=8),1,0),0))</f>
        <v>2</v>
      </c>
      <c r="AA22" s="4">
        <f>IF(OR(J22="",Results!J5=""),"",IF(J22=Results!J5,1+IF(OR($O22=9,$P22=9,$Q22=9),1,0),0))</f>
        <v>1</v>
      </c>
      <c r="AB22" s="4">
        <f>IF(OR(K22="",Results!K5=""),"",IF(K22=Results!K5,1+IF(OR($O22=10,$P22=10,$Q22=10),1,0),0))</f>
        <v>1</v>
      </c>
      <c r="AC22" s="4">
        <f>IF(OR(L22="",Results!L5=""),"",IF(L22=Results!L5,1+IF(OR($O22=11,$P22=11,$Q22=11),1,0),0))</f>
        <v>0</v>
      </c>
      <c r="AD22" s="4">
        <f>IF(OR(M22="",Results!M5=""),"",IF(M22=Results!M5,1+IF(OR($O22=12,$P22=12,$Q22=12),1,0),0))</f>
        <v>1</v>
      </c>
      <c r="AE22" s="4">
        <f>IF(OR(N22="",Results!N5=""),"",IF(N22=Results!N5,1+IF(OR($O22=13,$P22=13,$Q22=13),1,0),0))</f>
        <v>1</v>
      </c>
      <c r="AF22" s="11">
        <f t="shared" si="0"/>
        <v>13</v>
      </c>
      <c r="AG22" s="4">
        <f>IF(OR($R22="",Results!O5=""),"",ABS($R22-Results!O5))</f>
        <v>2</v>
      </c>
      <c r="AH22" s="12">
        <v>10</v>
      </c>
      <c r="AI22" s="13">
        <f>IF(OR(B22="",Results!B5=""),"",IF(AND(B22=Results!B5,Results!B5&lt;&gt;Games!$C$5),1,0))</f>
        <v>0</v>
      </c>
      <c r="AJ22" s="13">
        <f>IF(OR(C22="",Results!C5=""),"",IF(AND(C22=Results!C5,Results!C5&lt;&gt;Games!$C$6),1,0))</f>
        <v>0</v>
      </c>
      <c r="AK22" s="13">
        <f>IF(OR(D22="",Results!D5=""),"",IF(AND(D22=Results!D5,Results!D5&lt;&gt;Games!$C$7),1,0))</f>
        <v>0</v>
      </c>
      <c r="AL22" s="13">
        <f>IF(OR(E22="",Results!E5=""),"",IF(AND(E22=Results!E5,Results!E5&lt;&gt;Games!$C$8),1,0))</f>
        <v>0</v>
      </c>
      <c r="AM22" s="13">
        <f>IF(OR(F22="",Results!F5=""),"",IF(AND(F22=Results!F5,Results!F5&lt;&gt;Games!$C$9),1,0))</f>
        <v>0</v>
      </c>
      <c r="AN22" s="13">
        <f>IF(OR(G22="",Results!G5=""),"",IF(AND(G22=Results!G5,Results!G5&lt;&gt;Games!$C$10),1,0))</f>
        <v>0</v>
      </c>
      <c r="AO22" s="13">
        <f>IF(OR(H22="",Results!H5=""),"",IF(AND(H22=Results!H5,Results!H5&lt;&gt;Games!$C$11),1,0))</f>
        <v>0</v>
      </c>
      <c r="AP22" s="13">
        <f>IF(OR(I22="",Results!I5=""),"",IF(AND(I22=Results!I5,Results!I5&lt;&gt;Games!$C$12),1,0))</f>
        <v>0</v>
      </c>
      <c r="AQ22" s="13">
        <f>IF(OR(J22="",Results!J5=""),"",IF(AND(J22=Results!J5,Results!J5&lt;&gt;Games!$C$13),1,0))</f>
        <v>0</v>
      </c>
      <c r="AR22" s="13">
        <f>IF(OR(K22="",Results!K5=""),"",IF(AND(K22=Results!K5,Results!K5&lt;&gt;Games!$C$14),1,0))</f>
        <v>0</v>
      </c>
      <c r="AS22" s="13">
        <f>IF(OR(L22="",Results!L5=""),"",IF(AND(L22=Results!L5,Results!L5&lt;&gt;Games!$C$15),1,0))</f>
        <v>0</v>
      </c>
      <c r="AT22" s="13">
        <f>IF(OR(M22="",Results!M5=""),"",IF(AND(M22=Results!M5,Results!M5&lt;&gt;Games!$C$16),1,0))</f>
        <v>0</v>
      </c>
      <c r="AU22" s="13">
        <f>IF(OR(N22="",Results!N5=""),"",IF(AND(N22=Results!N5,Results!N5&lt;&gt;Games!$C$17),1,0))</f>
        <v>0</v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 t="s">
        <v>183</v>
      </c>
      <c r="C23" s="5" t="s">
        <v>188</v>
      </c>
      <c r="D23" s="5" t="s">
        <v>191</v>
      </c>
      <c r="E23" s="5" t="s">
        <v>195</v>
      </c>
      <c r="F23" s="5" t="s">
        <v>199</v>
      </c>
      <c r="G23" s="5" t="s">
        <v>202</v>
      </c>
      <c r="H23" s="5" t="s">
        <v>206</v>
      </c>
      <c r="I23" s="5" t="s">
        <v>210</v>
      </c>
      <c r="J23" s="5" t="s">
        <v>213</v>
      </c>
      <c r="K23" s="5" t="s">
        <v>218</v>
      </c>
      <c r="L23" s="5" t="s">
        <v>220</v>
      </c>
      <c r="M23" s="5" t="s">
        <v>224</v>
      </c>
      <c r="N23" s="5" t="s">
        <v>226</v>
      </c>
      <c r="O23" s="5">
        <v>5</v>
      </c>
      <c r="P23" s="5">
        <v>8</v>
      </c>
      <c r="Q23" s="5">
        <v>13</v>
      </c>
      <c r="R23" s="5">
        <v>58</v>
      </c>
      <c r="S23" s="4">
        <f>IF(OR(B23="",Results!B5=""),"",IF(B23=Results!B5,1+IF(OR($O23=1,$P23=1,$Q23=1),1,0),0))</f>
        <v>0</v>
      </c>
      <c r="T23" s="4">
        <f>IF(OR(C23="",Results!C5=""),"",IF(C23=Results!C5,1+IF(OR($O23=2,$P23=2,$Q23=2),1,0),0))</f>
        <v>1</v>
      </c>
      <c r="U23" s="4">
        <f>IF(OR(D23="",Results!D5=""),"",IF(D23=Results!D5,1+IF(OR($O23=3,$P23=3,$Q23=3),1,0),0))</f>
        <v>1</v>
      </c>
      <c r="V23" s="4">
        <f>IF(OR(E23="",Results!E5=""),"",IF(E23=Results!E5,1+IF(OR($O23=4,$P23=4,$Q23=4),1,0),0))</f>
        <v>1</v>
      </c>
      <c r="W23" s="4">
        <f>IF(OR(F23="",Results!F5=""),"",IF(F23=Results!F5,1+IF(OR($O23=5,$P23=5,$Q23=5),1,0),0))</f>
        <v>2</v>
      </c>
      <c r="X23" s="4">
        <f>IF(OR(G23="",Results!G5=""),"",IF(G23=Results!G5,1+IF(OR($O23=6,$P23=6,$Q23=6),1,0),0))</f>
        <v>1</v>
      </c>
      <c r="Y23" s="4">
        <f>IF(OR(H23="",Results!H5=""),"",IF(H23=Results!H5,1+IF(OR($O23=7,$P23=7,$Q23=7),1,0),0))</f>
        <v>1</v>
      </c>
      <c r="Z23" s="4">
        <f>IF(OR(I23="",Results!I5=""),"",IF(I23=Results!I5,1+IF(OR($O23=8,$P23=8,$Q23=8),1,0),0))</f>
        <v>2</v>
      </c>
      <c r="AA23" s="4">
        <f>IF(OR(J23="",Results!J5=""),"",IF(J23=Results!J5,1+IF(OR($O23=9,$P23=9,$Q23=9),1,0),0))</f>
        <v>1</v>
      </c>
      <c r="AB23" s="4">
        <f>IF(OR(K23="",Results!K5=""),"",IF(K23=Results!K5,1+IF(OR($O23=10,$P23=10,$Q23=10),1,0),0))</f>
        <v>0</v>
      </c>
      <c r="AC23" s="4">
        <f>IF(OR(L23="",Results!L5=""),"",IF(L23=Results!L5,1+IF(OR($O23=11,$P23=11,$Q23=11),1,0),0))</f>
        <v>0</v>
      </c>
      <c r="AD23" s="4">
        <f>IF(OR(M23="",Results!M5=""),"",IF(M23=Results!M5,1+IF(OR($O23=12,$P23=12,$Q23=12),1,0),0))</f>
        <v>0</v>
      </c>
      <c r="AE23" s="4">
        <f>IF(OR(N23="",Results!N5=""),"",IF(N23=Results!N5,1+IF(OR($O23=13,$P23=13,$Q23=13),1,0),0))</f>
        <v>2</v>
      </c>
      <c r="AF23" s="11">
        <f t="shared" si="0"/>
        <v>12</v>
      </c>
      <c r="AG23" s="4">
        <f>IF(OR($R23="",Results!O5=""),"",ABS($R23-Results!O5))</f>
        <v>7</v>
      </c>
      <c r="AH23" s="12">
        <v>55</v>
      </c>
      <c r="AI23" s="13">
        <f>IF(OR(B23="",Results!B5=""),"",IF(AND(B23=Results!B5,Results!B5&lt;&gt;Games!$C$5),1,0))</f>
        <v>0</v>
      </c>
      <c r="AJ23" s="13">
        <f>IF(OR(C23="",Results!C5=""),"",IF(AND(C23=Results!C5,Results!C5&lt;&gt;Games!$C$6),1,0))</f>
        <v>1</v>
      </c>
      <c r="AK23" s="13">
        <f>IF(OR(D23="",Results!D5=""),"",IF(AND(D23=Results!D5,Results!D5&lt;&gt;Games!$C$7),1,0))</f>
        <v>0</v>
      </c>
      <c r="AL23" s="13">
        <f>IF(OR(E23="",Results!E5=""),"",IF(AND(E23=Results!E5,Results!E5&lt;&gt;Games!$C$8),1,0))</f>
        <v>0</v>
      </c>
      <c r="AM23" s="13">
        <f>IF(OR(F23="",Results!F5=""),"",IF(AND(F23=Results!F5,Results!F5&lt;&gt;Games!$C$9),1,0))</f>
        <v>0</v>
      </c>
      <c r="AN23" s="13">
        <f>IF(OR(G23="",Results!G5=""),"",IF(AND(G23=Results!G5,Results!G5&lt;&gt;Games!$C$10),1,0))</f>
        <v>0</v>
      </c>
      <c r="AO23" s="13">
        <f>IF(OR(H23="",Results!H5=""),"",IF(AND(H23=Results!H5,Results!H5&lt;&gt;Games!$C$11),1,0))</f>
        <v>0</v>
      </c>
      <c r="AP23" s="13">
        <f>IF(OR(I23="",Results!I5=""),"",IF(AND(I23=Results!I5,Results!I5&lt;&gt;Games!$C$12),1,0))</f>
        <v>0</v>
      </c>
      <c r="AQ23" s="13">
        <f>IF(OR(J23="",Results!J5=""),"",IF(AND(J23=Results!J5,Results!J5&lt;&gt;Games!$C$13),1,0))</f>
        <v>0</v>
      </c>
      <c r="AR23" s="13">
        <f>IF(OR(K23="",Results!K5=""),"",IF(AND(K23=Results!K5,Results!K5&lt;&gt;Games!$C$14),1,0))</f>
        <v>0</v>
      </c>
      <c r="AS23" s="13">
        <f>IF(OR(L23="",Results!L5=""),"",IF(AND(L23=Results!L5,Results!L5&lt;&gt;Games!$C$15),1,0))</f>
        <v>0</v>
      </c>
      <c r="AT23" s="13">
        <f>IF(OR(M23="",Results!M5=""),"",IF(AND(M23=Results!M5,Results!M5&lt;&gt;Games!$C$16),1,0))</f>
        <v>0</v>
      </c>
      <c r="AU23" s="13">
        <f>IF(OR(N23="",Results!N5=""),"",IF(AND(N23=Results!N5,Results!N5&lt;&gt;Games!$C$17),1,0))</f>
        <v>0</v>
      </c>
      <c r="AV23" s="14">
        <f t="shared" si="1"/>
        <v>1</v>
      </c>
    </row>
    <row r="24" spans="1:48" ht="15" customHeight="1" x14ac:dyDescent="0.25">
      <c r="A24" s="4" t="str">
        <f>INDEX(Players!$D$6:$D$69,MATCH(47,Players!$A$6:$A$69,0))</f>
        <v>James M.</v>
      </c>
      <c r="B24" s="5" t="s">
        <v>183</v>
      </c>
      <c r="C24" s="5" t="s">
        <v>187</v>
      </c>
      <c r="D24" s="5" t="s">
        <v>191</v>
      </c>
      <c r="E24" s="5" t="s">
        <v>195</v>
      </c>
      <c r="F24" s="5" t="s">
        <v>199</v>
      </c>
      <c r="G24" s="5" t="s">
        <v>202</v>
      </c>
      <c r="H24" s="5" t="s">
        <v>206</v>
      </c>
      <c r="I24" s="5" t="s">
        <v>210</v>
      </c>
      <c r="J24" s="5" t="s">
        <v>213</v>
      </c>
      <c r="K24" s="5" t="s">
        <v>218</v>
      </c>
      <c r="L24" s="5" t="s">
        <v>220</v>
      </c>
      <c r="M24" s="5" t="s">
        <v>223</v>
      </c>
      <c r="N24" s="5" t="s">
        <v>226</v>
      </c>
      <c r="O24" s="5">
        <v>5</v>
      </c>
      <c r="P24" s="5">
        <v>6</v>
      </c>
      <c r="Q24" s="5">
        <v>8</v>
      </c>
      <c r="R24" s="5">
        <v>55</v>
      </c>
      <c r="S24" s="4">
        <f>IF(OR(B24="",Results!B5=""),"",IF(B24=Results!B5,1+IF(OR($O24=1,$P24=1,$Q24=1),1,0),0))</f>
        <v>0</v>
      </c>
      <c r="T24" s="4">
        <f>IF(OR(C24="",Results!C5=""),"",IF(C24=Results!C5,1+IF(OR($O24=2,$P24=2,$Q24=2),1,0),0))</f>
        <v>0</v>
      </c>
      <c r="U24" s="4">
        <f>IF(OR(D24="",Results!D5=""),"",IF(D24=Results!D5,1+IF(OR($O24=3,$P24=3,$Q24=3),1,0),0))</f>
        <v>1</v>
      </c>
      <c r="V24" s="4">
        <f>IF(OR(E24="",Results!E5=""),"",IF(E24=Results!E5,1+IF(OR($O24=4,$P24=4,$Q24=4),1,0),0))</f>
        <v>1</v>
      </c>
      <c r="W24" s="4">
        <f>IF(OR(F24="",Results!F5=""),"",IF(F24=Results!F5,1+IF(OR($O24=5,$P24=5,$Q24=5),1,0),0))</f>
        <v>2</v>
      </c>
      <c r="X24" s="4">
        <f>IF(OR(G24="",Results!G5=""),"",IF(G24=Results!G5,1+IF(OR($O24=6,$P24=6,$Q24=6),1,0),0))</f>
        <v>2</v>
      </c>
      <c r="Y24" s="4">
        <f>IF(OR(H24="",Results!H5=""),"",IF(H24=Results!H5,1+IF(OR($O24=7,$P24=7,$Q24=7),1,0),0))</f>
        <v>1</v>
      </c>
      <c r="Z24" s="4">
        <f>IF(OR(I24="",Results!I5=""),"",IF(I24=Results!I5,1+IF(OR($O24=8,$P24=8,$Q24=8),1,0),0))</f>
        <v>2</v>
      </c>
      <c r="AA24" s="4">
        <f>IF(OR(J24="",Results!J5=""),"",IF(J24=Results!J5,1+IF(OR($O24=9,$P24=9,$Q24=9),1,0),0))</f>
        <v>1</v>
      </c>
      <c r="AB24" s="4">
        <f>IF(OR(K24="",Results!K5=""),"",IF(K24=Results!K5,1+IF(OR($O24=10,$P24=10,$Q24=10),1,0),0))</f>
        <v>0</v>
      </c>
      <c r="AC24" s="4">
        <f>IF(OR(L24="",Results!L5=""),"",IF(L24=Results!L5,1+IF(OR($O24=11,$P24=11,$Q24=11),1,0),0))</f>
        <v>0</v>
      </c>
      <c r="AD24" s="4">
        <f>IF(OR(M24="",Results!M5=""),"",IF(M24=Results!M5,1+IF(OR($O24=12,$P24=12,$Q24=12),1,0),0))</f>
        <v>1</v>
      </c>
      <c r="AE24" s="4">
        <f>IF(OR(N24="",Results!N5=""),"",IF(N24=Results!N5,1+IF(OR($O24=13,$P24=13,$Q24=13),1,0),0))</f>
        <v>1</v>
      </c>
      <c r="AF24" s="11">
        <f t="shared" si="0"/>
        <v>12</v>
      </c>
      <c r="AG24" s="4">
        <f>IF(OR($R24="",Results!O5=""),"",ABS($R24-Results!O5))</f>
        <v>4</v>
      </c>
      <c r="AH24" s="12">
        <v>47</v>
      </c>
      <c r="AI24" s="13">
        <f>IF(OR(B24="",Results!B5=""),"",IF(AND(B24=Results!B5,Results!B5&lt;&gt;Games!$C$5),1,0))</f>
        <v>0</v>
      </c>
      <c r="AJ24" s="13">
        <f>IF(OR(C24="",Results!C5=""),"",IF(AND(C24=Results!C5,Results!C5&lt;&gt;Games!$C$6),1,0))</f>
        <v>0</v>
      </c>
      <c r="AK24" s="13">
        <f>IF(OR(D24="",Results!D5=""),"",IF(AND(D24=Results!D5,Results!D5&lt;&gt;Games!$C$7),1,0))</f>
        <v>0</v>
      </c>
      <c r="AL24" s="13">
        <f>IF(OR(E24="",Results!E5=""),"",IF(AND(E24=Results!E5,Results!E5&lt;&gt;Games!$C$8),1,0))</f>
        <v>0</v>
      </c>
      <c r="AM24" s="13">
        <f>IF(OR(F24="",Results!F5=""),"",IF(AND(F24=Results!F5,Results!F5&lt;&gt;Games!$C$9),1,0))</f>
        <v>0</v>
      </c>
      <c r="AN24" s="13">
        <f>IF(OR(G24="",Results!G5=""),"",IF(AND(G24=Results!G5,Results!G5&lt;&gt;Games!$C$10),1,0))</f>
        <v>0</v>
      </c>
      <c r="AO24" s="13">
        <f>IF(OR(H24="",Results!H5=""),"",IF(AND(H24=Results!H5,Results!H5&lt;&gt;Games!$C$11),1,0))</f>
        <v>0</v>
      </c>
      <c r="AP24" s="13">
        <f>IF(OR(I24="",Results!I5=""),"",IF(AND(I24=Results!I5,Results!I5&lt;&gt;Games!$C$12),1,0))</f>
        <v>0</v>
      </c>
      <c r="AQ24" s="13">
        <f>IF(OR(J24="",Results!J5=""),"",IF(AND(J24=Results!J5,Results!J5&lt;&gt;Games!$C$13),1,0))</f>
        <v>0</v>
      </c>
      <c r="AR24" s="13">
        <f>IF(OR(K24="",Results!K5=""),"",IF(AND(K24=Results!K5,Results!K5&lt;&gt;Games!$C$14),1,0))</f>
        <v>0</v>
      </c>
      <c r="AS24" s="13">
        <f>IF(OR(L24="",Results!L5=""),"",IF(AND(L24=Results!L5,Results!L5&lt;&gt;Games!$C$15),1,0))</f>
        <v>0</v>
      </c>
      <c r="AT24" s="13">
        <f>IF(OR(M24="",Results!M5=""),"",IF(AND(M24=Results!M5,Results!M5&lt;&gt;Games!$C$16),1,0))</f>
        <v>0</v>
      </c>
      <c r="AU24" s="13">
        <f>IF(OR(N24="",Results!N5=""),"",IF(AND(N24=Results!N5,Results!N5&lt;&gt;Games!$C$17),1,0))</f>
        <v>0</v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 t="s">
        <v>183</v>
      </c>
      <c r="C25" s="5" t="s">
        <v>187</v>
      </c>
      <c r="D25" s="5" t="s">
        <v>191</v>
      </c>
      <c r="E25" s="5" t="s">
        <v>195</v>
      </c>
      <c r="F25" s="5" t="s">
        <v>199</v>
      </c>
      <c r="G25" s="5" t="s">
        <v>202</v>
      </c>
      <c r="H25" s="5" t="s">
        <v>206</v>
      </c>
      <c r="I25" s="5" t="s">
        <v>210</v>
      </c>
      <c r="J25" s="5" t="s">
        <v>213</v>
      </c>
      <c r="K25" s="5" t="s">
        <v>218</v>
      </c>
      <c r="L25" s="5" t="s">
        <v>220</v>
      </c>
      <c r="M25" s="5" t="s">
        <v>223</v>
      </c>
      <c r="N25" s="5" t="s">
        <v>226</v>
      </c>
      <c r="O25" s="5">
        <v>1</v>
      </c>
      <c r="P25" s="5">
        <v>5</v>
      </c>
      <c r="Q25" s="5">
        <v>8</v>
      </c>
      <c r="R25" s="5">
        <v>57</v>
      </c>
      <c r="S25" s="4">
        <f>IF(OR(B25="",Results!B5=""),"",IF(B25=Results!B5,1+IF(OR($O25=1,$P25=1,$Q25=1),1,0),0))</f>
        <v>0</v>
      </c>
      <c r="T25" s="4">
        <f>IF(OR(C25="",Results!C5=""),"",IF(C25=Results!C5,1+IF(OR($O25=2,$P25=2,$Q25=2),1,0),0))</f>
        <v>0</v>
      </c>
      <c r="U25" s="4">
        <f>IF(OR(D25="",Results!D5=""),"",IF(D25=Results!D5,1+IF(OR($O25=3,$P25=3,$Q25=3),1,0),0))</f>
        <v>1</v>
      </c>
      <c r="V25" s="4">
        <f>IF(OR(E25="",Results!E5=""),"",IF(E25=Results!E5,1+IF(OR($O25=4,$P25=4,$Q25=4),1,0),0))</f>
        <v>1</v>
      </c>
      <c r="W25" s="4">
        <f>IF(OR(F25="",Results!F5=""),"",IF(F25=Results!F5,1+IF(OR($O25=5,$P25=5,$Q25=5),1,0),0))</f>
        <v>2</v>
      </c>
      <c r="X25" s="4">
        <f>IF(OR(G25="",Results!G5=""),"",IF(G25=Results!G5,1+IF(OR($O25=6,$P25=6,$Q25=6),1,0),0))</f>
        <v>1</v>
      </c>
      <c r="Y25" s="4">
        <f>IF(OR(H25="",Results!H5=""),"",IF(H25=Results!H5,1+IF(OR($O25=7,$P25=7,$Q25=7),1,0),0))</f>
        <v>1</v>
      </c>
      <c r="Z25" s="4">
        <f>IF(OR(I25="",Results!I5=""),"",IF(I25=Results!I5,1+IF(OR($O25=8,$P25=8,$Q25=8),1,0),0))</f>
        <v>2</v>
      </c>
      <c r="AA25" s="4">
        <f>IF(OR(J25="",Results!J5=""),"",IF(J25=Results!J5,1+IF(OR($O25=9,$P25=9,$Q25=9),1,0),0))</f>
        <v>1</v>
      </c>
      <c r="AB25" s="4">
        <f>IF(OR(K25="",Results!K5=""),"",IF(K25=Results!K5,1+IF(OR($O25=10,$P25=10,$Q25=10),1,0),0))</f>
        <v>0</v>
      </c>
      <c r="AC25" s="4">
        <f>IF(OR(L25="",Results!L5=""),"",IF(L25=Results!L5,1+IF(OR($O25=11,$P25=11,$Q25=11),1,0),0))</f>
        <v>0</v>
      </c>
      <c r="AD25" s="4">
        <f>IF(OR(M25="",Results!M5=""),"",IF(M25=Results!M5,1+IF(OR($O25=12,$P25=12,$Q25=12),1,0),0))</f>
        <v>1</v>
      </c>
      <c r="AE25" s="4">
        <f>IF(OR(N25="",Results!N5=""),"",IF(N25=Results!N5,1+IF(OR($O25=13,$P25=13,$Q25=13),1,0),0))</f>
        <v>1</v>
      </c>
      <c r="AF25" s="11">
        <f t="shared" si="0"/>
        <v>11</v>
      </c>
      <c r="AG25" s="4">
        <f>IF(OR($R25="",Results!O5=""),"",ABS($R25-Results!O5))</f>
        <v>6</v>
      </c>
      <c r="AH25" s="12">
        <v>54</v>
      </c>
      <c r="AI25" s="13">
        <f>IF(OR(B25="",Results!B5=""),"",IF(AND(B25=Results!B5,Results!B5&lt;&gt;Games!$C$5),1,0))</f>
        <v>0</v>
      </c>
      <c r="AJ25" s="13">
        <f>IF(OR(C25="",Results!C5=""),"",IF(AND(C25=Results!C5,Results!C5&lt;&gt;Games!$C$6),1,0))</f>
        <v>0</v>
      </c>
      <c r="AK25" s="13">
        <f>IF(OR(D25="",Results!D5=""),"",IF(AND(D25=Results!D5,Results!D5&lt;&gt;Games!$C$7),1,0))</f>
        <v>0</v>
      </c>
      <c r="AL25" s="13">
        <f>IF(OR(E25="",Results!E5=""),"",IF(AND(E25=Results!E5,Results!E5&lt;&gt;Games!$C$8),1,0))</f>
        <v>0</v>
      </c>
      <c r="AM25" s="13">
        <f>IF(OR(F25="",Results!F5=""),"",IF(AND(F25=Results!F5,Results!F5&lt;&gt;Games!$C$9),1,0))</f>
        <v>0</v>
      </c>
      <c r="AN25" s="13">
        <f>IF(OR(G25="",Results!G5=""),"",IF(AND(G25=Results!G5,Results!G5&lt;&gt;Games!$C$10),1,0))</f>
        <v>0</v>
      </c>
      <c r="AO25" s="13">
        <f>IF(OR(H25="",Results!H5=""),"",IF(AND(H25=Results!H5,Results!H5&lt;&gt;Games!$C$11),1,0))</f>
        <v>0</v>
      </c>
      <c r="AP25" s="13">
        <f>IF(OR(I25="",Results!I5=""),"",IF(AND(I25=Results!I5,Results!I5&lt;&gt;Games!$C$12),1,0))</f>
        <v>0</v>
      </c>
      <c r="AQ25" s="13">
        <f>IF(OR(J25="",Results!J5=""),"",IF(AND(J25=Results!J5,Results!J5&lt;&gt;Games!$C$13),1,0))</f>
        <v>0</v>
      </c>
      <c r="AR25" s="13">
        <f>IF(OR(K25="",Results!K5=""),"",IF(AND(K25=Results!K5,Results!K5&lt;&gt;Games!$C$14),1,0))</f>
        <v>0</v>
      </c>
      <c r="AS25" s="13">
        <f>IF(OR(L25="",Results!L5=""),"",IF(AND(L25=Results!L5,Results!L5&lt;&gt;Games!$C$15),1,0))</f>
        <v>0</v>
      </c>
      <c r="AT25" s="13">
        <f>IF(OR(M25="",Results!M5=""),"",IF(AND(M25=Results!M5,Results!M5&lt;&gt;Games!$C$16),1,0))</f>
        <v>0</v>
      </c>
      <c r="AU25" s="13">
        <f>IF(OR(N25="",Results!N5=""),"",IF(AND(N25=Results!N5,Results!N5&lt;&gt;Games!$C$17),1,0))</f>
        <v>0</v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 t="s">
        <v>183</v>
      </c>
      <c r="C26" s="5" t="s">
        <v>187</v>
      </c>
      <c r="D26" s="5" t="s">
        <v>191</v>
      </c>
      <c r="E26" s="5" t="s">
        <v>195</v>
      </c>
      <c r="F26" s="5" t="s">
        <v>199</v>
      </c>
      <c r="G26" s="5" t="s">
        <v>202</v>
      </c>
      <c r="H26" s="5" t="s">
        <v>206</v>
      </c>
      <c r="I26" s="5" t="s">
        <v>210</v>
      </c>
      <c r="J26" s="5" t="s">
        <v>213</v>
      </c>
      <c r="K26" s="5" t="s">
        <v>218</v>
      </c>
      <c r="L26" s="5" t="s">
        <v>220</v>
      </c>
      <c r="M26" s="5" t="s">
        <v>223</v>
      </c>
      <c r="N26" s="5" t="s">
        <v>226</v>
      </c>
      <c r="O26" s="5">
        <v>4</v>
      </c>
      <c r="P26" s="5">
        <v>5</v>
      </c>
      <c r="Q26" s="5">
        <v>8</v>
      </c>
      <c r="R26" s="5"/>
      <c r="S26" s="4">
        <f>IF(OR(B26="",Results!B5=""),"",IF(B26=Results!B5,1+IF(OR($O26=1,$P26=1,$Q26=1),1,0),0))</f>
        <v>0</v>
      </c>
      <c r="T26" s="4">
        <f>IF(OR(C26="",Results!C5=""),"",IF(C26=Results!C5,1+IF(OR($O26=2,$P26=2,$Q26=2),1,0),0))</f>
        <v>0</v>
      </c>
      <c r="U26" s="4">
        <f>IF(OR(D26="",Results!D5=""),"",IF(D26=Results!D5,1+IF(OR($O26=3,$P26=3,$Q26=3),1,0),0))</f>
        <v>1</v>
      </c>
      <c r="V26" s="4">
        <f>IF(OR(E26="",Results!E5=""),"",IF(E26=Results!E5,1+IF(OR($O26=4,$P26=4,$Q26=4),1,0),0))</f>
        <v>2</v>
      </c>
      <c r="W26" s="4">
        <f>IF(OR(F26="",Results!F5=""),"",IF(F26=Results!F5,1+IF(OR($O26=5,$P26=5,$Q26=5),1,0),0))</f>
        <v>2</v>
      </c>
      <c r="X26" s="4">
        <f>IF(OR(G26="",Results!G5=""),"",IF(G26=Results!G5,1+IF(OR($O26=6,$P26=6,$Q26=6),1,0),0))</f>
        <v>1</v>
      </c>
      <c r="Y26" s="4">
        <f>IF(OR(H26="",Results!H5=""),"",IF(H26=Results!H5,1+IF(OR($O26=7,$P26=7,$Q26=7),1,0),0))</f>
        <v>1</v>
      </c>
      <c r="Z26" s="4">
        <f>IF(OR(I26="",Results!I5=""),"",IF(I26=Results!I5,1+IF(OR($O26=8,$P26=8,$Q26=8),1,0),0))</f>
        <v>2</v>
      </c>
      <c r="AA26" s="4">
        <f>IF(OR(J26="",Results!J5=""),"",IF(J26=Results!J5,1+IF(OR($O26=9,$P26=9,$Q26=9),1,0),0))</f>
        <v>1</v>
      </c>
      <c r="AB26" s="4">
        <f>IF(OR(K26="",Results!K5=""),"",IF(K26=Results!K5,1+IF(OR($O26=10,$P26=10,$Q26=10),1,0),0))</f>
        <v>0</v>
      </c>
      <c r="AC26" s="4">
        <f>IF(OR(L26="",Results!L5=""),"",IF(L26=Results!L5,1+IF(OR($O26=11,$P26=11,$Q26=11),1,0),0))</f>
        <v>0</v>
      </c>
      <c r="AD26" s="4">
        <f>IF(OR(M26="",Results!M5=""),"",IF(M26=Results!M5,1+IF(OR($O26=12,$P26=12,$Q26=12),1,0),0))</f>
        <v>1</v>
      </c>
      <c r="AE26" s="4">
        <f>IF(OR(N26="",Results!N5=""),"",IF(N26=Results!N5,1+IF(OR($O26=13,$P26=13,$Q26=13),1,0),0))</f>
        <v>1</v>
      </c>
      <c r="AF26" s="11">
        <f t="shared" si="0"/>
        <v>12</v>
      </c>
      <c r="AG26" s="4" t="str">
        <f>IF(OR($R26="",Results!O5=""),"",ABS($R26-Results!O5))</f>
        <v/>
      </c>
      <c r="AH26" s="12">
        <v>48</v>
      </c>
      <c r="AI26" s="13">
        <f>IF(OR(B26="",Results!B5=""),"",IF(AND(B26=Results!B5,Results!B5&lt;&gt;Games!$C$5),1,0))</f>
        <v>0</v>
      </c>
      <c r="AJ26" s="13">
        <f>IF(OR(C26="",Results!C5=""),"",IF(AND(C26=Results!C5,Results!C5&lt;&gt;Games!$C$6),1,0))</f>
        <v>0</v>
      </c>
      <c r="AK26" s="13">
        <f>IF(OR(D26="",Results!D5=""),"",IF(AND(D26=Results!D5,Results!D5&lt;&gt;Games!$C$7),1,0))</f>
        <v>0</v>
      </c>
      <c r="AL26" s="13">
        <f>IF(OR(E26="",Results!E5=""),"",IF(AND(E26=Results!E5,Results!E5&lt;&gt;Games!$C$8),1,0))</f>
        <v>0</v>
      </c>
      <c r="AM26" s="13">
        <f>IF(OR(F26="",Results!F5=""),"",IF(AND(F26=Results!F5,Results!F5&lt;&gt;Games!$C$9),1,0))</f>
        <v>0</v>
      </c>
      <c r="AN26" s="13">
        <f>IF(OR(G26="",Results!G5=""),"",IF(AND(G26=Results!G5,Results!G5&lt;&gt;Games!$C$10),1,0))</f>
        <v>0</v>
      </c>
      <c r="AO26" s="13">
        <f>IF(OR(H26="",Results!H5=""),"",IF(AND(H26=Results!H5,Results!H5&lt;&gt;Games!$C$11),1,0))</f>
        <v>0</v>
      </c>
      <c r="AP26" s="13">
        <f>IF(OR(I26="",Results!I5=""),"",IF(AND(I26=Results!I5,Results!I5&lt;&gt;Games!$C$12),1,0))</f>
        <v>0</v>
      </c>
      <c r="AQ26" s="13">
        <f>IF(OR(J26="",Results!J5=""),"",IF(AND(J26=Results!J5,Results!J5&lt;&gt;Games!$C$13),1,0))</f>
        <v>0</v>
      </c>
      <c r="AR26" s="13">
        <f>IF(OR(K26="",Results!K5=""),"",IF(AND(K26=Results!K5,Results!K5&lt;&gt;Games!$C$14),1,0))</f>
        <v>0</v>
      </c>
      <c r="AS26" s="13">
        <f>IF(OR(L26="",Results!L5=""),"",IF(AND(L26=Results!L5,Results!L5&lt;&gt;Games!$C$15),1,0))</f>
        <v>0</v>
      </c>
      <c r="AT26" s="13">
        <f>IF(OR(M26="",Results!M5=""),"",IF(AND(M26=Results!M5,Results!M5&lt;&gt;Games!$C$16),1,0))</f>
        <v>0</v>
      </c>
      <c r="AU26" s="13">
        <f>IF(OR(N26="",Results!N5=""),"",IF(AND(N26=Results!N5,Results!N5&lt;&gt;Games!$C$17),1,0))</f>
        <v>0</v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 t="s">
        <v>183</v>
      </c>
      <c r="C27" s="5" t="s">
        <v>188</v>
      </c>
      <c r="D27" s="5" t="s">
        <v>191</v>
      </c>
      <c r="E27" s="5" t="s">
        <v>195</v>
      </c>
      <c r="F27" s="5" t="s">
        <v>199</v>
      </c>
      <c r="G27" s="5" t="s">
        <v>202</v>
      </c>
      <c r="H27" s="5" t="s">
        <v>207</v>
      </c>
      <c r="I27" s="5" t="s">
        <v>210</v>
      </c>
      <c r="J27" s="5" t="s">
        <v>214</v>
      </c>
      <c r="K27" s="5" t="s">
        <v>217</v>
      </c>
      <c r="L27" s="5" t="s">
        <v>220</v>
      </c>
      <c r="M27" s="5" t="s">
        <v>223</v>
      </c>
      <c r="N27" s="5" t="s">
        <v>226</v>
      </c>
      <c r="O27" s="5">
        <v>4</v>
      </c>
      <c r="P27" s="5">
        <v>5</v>
      </c>
      <c r="Q27" s="5">
        <v>8</v>
      </c>
      <c r="R27" s="5">
        <v>52</v>
      </c>
      <c r="S27" s="4">
        <f>IF(OR(B27="",Results!B5=""),"",IF(B27=Results!B5,1+IF(OR($O27=1,$P27=1,$Q27=1),1,0),0))</f>
        <v>0</v>
      </c>
      <c r="T27" s="4">
        <f>IF(OR(C27="",Results!C5=""),"",IF(C27=Results!C5,1+IF(OR($O27=2,$P27=2,$Q27=2),1,0),0))</f>
        <v>1</v>
      </c>
      <c r="U27" s="4">
        <f>IF(OR(D27="",Results!D5=""),"",IF(D27=Results!D5,1+IF(OR($O27=3,$P27=3,$Q27=3),1,0),0))</f>
        <v>1</v>
      </c>
      <c r="V27" s="4">
        <f>IF(OR(E27="",Results!E5=""),"",IF(E27=Results!E5,1+IF(OR($O27=4,$P27=4,$Q27=4),1,0),0))</f>
        <v>2</v>
      </c>
      <c r="W27" s="4">
        <f>IF(OR(F27="",Results!F5=""),"",IF(F27=Results!F5,1+IF(OR($O27=5,$P27=5,$Q27=5),1,0),0))</f>
        <v>2</v>
      </c>
      <c r="X27" s="4">
        <f>IF(OR(G27="",Results!G5=""),"",IF(G27=Results!G5,1+IF(OR($O27=6,$P27=6,$Q27=6),1,0),0))</f>
        <v>1</v>
      </c>
      <c r="Y27" s="4">
        <f>IF(OR(H27="",Results!H5=""),"",IF(H27=Results!H5,1+IF(OR($O27=7,$P27=7,$Q27=7),1,0),0))</f>
        <v>0</v>
      </c>
      <c r="Z27" s="4">
        <f>IF(OR(I27="",Results!I5=""),"",IF(I27=Results!I5,1+IF(OR($O27=8,$P27=8,$Q27=8),1,0),0))</f>
        <v>2</v>
      </c>
      <c r="AA27" s="4">
        <f>IF(OR(J27="",Results!J5=""),"",IF(J27=Results!J5,1+IF(OR($O27=9,$P27=9,$Q27=9),1,0),0))</f>
        <v>0</v>
      </c>
      <c r="AB27" s="4">
        <f>IF(OR(K27="",Results!K5=""),"",IF(K27=Results!K5,1+IF(OR($O27=10,$P27=10,$Q27=10),1,0),0))</f>
        <v>1</v>
      </c>
      <c r="AC27" s="4">
        <f>IF(OR(L27="",Results!L5=""),"",IF(L27=Results!L5,1+IF(OR($O27=11,$P27=11,$Q27=11),1,0),0))</f>
        <v>0</v>
      </c>
      <c r="AD27" s="4">
        <f>IF(OR(M27="",Results!M5=""),"",IF(M27=Results!M5,1+IF(OR($O27=12,$P27=12,$Q27=12),1,0),0))</f>
        <v>1</v>
      </c>
      <c r="AE27" s="4">
        <f>IF(OR(N27="",Results!N5=""),"",IF(N27=Results!N5,1+IF(OR($O27=13,$P27=13,$Q27=13),1,0),0))</f>
        <v>1</v>
      </c>
      <c r="AF27" s="11">
        <f t="shared" si="0"/>
        <v>12</v>
      </c>
      <c r="AG27" s="4">
        <f>IF(OR($R27="",Results!O5=""),"",ABS($R27-Results!O5))</f>
        <v>1</v>
      </c>
      <c r="AH27" s="12">
        <v>38</v>
      </c>
      <c r="AI27" s="13">
        <f>IF(OR(B27="",Results!B5=""),"",IF(AND(B27=Results!B5,Results!B5&lt;&gt;Games!$C$5),1,0))</f>
        <v>0</v>
      </c>
      <c r="AJ27" s="13">
        <f>IF(OR(C27="",Results!C5=""),"",IF(AND(C27=Results!C5,Results!C5&lt;&gt;Games!$C$6),1,0))</f>
        <v>1</v>
      </c>
      <c r="AK27" s="13">
        <f>IF(OR(D27="",Results!D5=""),"",IF(AND(D27=Results!D5,Results!D5&lt;&gt;Games!$C$7),1,0))</f>
        <v>0</v>
      </c>
      <c r="AL27" s="13">
        <f>IF(OR(E27="",Results!E5=""),"",IF(AND(E27=Results!E5,Results!E5&lt;&gt;Games!$C$8),1,0))</f>
        <v>0</v>
      </c>
      <c r="AM27" s="13">
        <f>IF(OR(F27="",Results!F5=""),"",IF(AND(F27=Results!F5,Results!F5&lt;&gt;Games!$C$9),1,0))</f>
        <v>0</v>
      </c>
      <c r="AN27" s="13">
        <f>IF(OR(G27="",Results!G5=""),"",IF(AND(G27=Results!G5,Results!G5&lt;&gt;Games!$C$10),1,0))</f>
        <v>0</v>
      </c>
      <c r="AO27" s="13">
        <f>IF(OR(H27="",Results!H5=""),"",IF(AND(H27=Results!H5,Results!H5&lt;&gt;Games!$C$11),1,0))</f>
        <v>0</v>
      </c>
      <c r="AP27" s="13">
        <f>IF(OR(I27="",Results!I5=""),"",IF(AND(I27=Results!I5,Results!I5&lt;&gt;Games!$C$12),1,0))</f>
        <v>0</v>
      </c>
      <c r="AQ27" s="13">
        <f>IF(OR(J27="",Results!J5=""),"",IF(AND(J27=Results!J5,Results!J5&lt;&gt;Games!$C$13),1,0))</f>
        <v>0</v>
      </c>
      <c r="AR27" s="13">
        <f>IF(OR(K27="",Results!K5=""),"",IF(AND(K27=Results!K5,Results!K5&lt;&gt;Games!$C$14),1,0))</f>
        <v>0</v>
      </c>
      <c r="AS27" s="13">
        <f>IF(OR(L27="",Results!L5=""),"",IF(AND(L27=Results!L5,Results!L5&lt;&gt;Games!$C$15),1,0))</f>
        <v>0</v>
      </c>
      <c r="AT27" s="13">
        <f>IF(OR(M27="",Results!M5=""),"",IF(AND(M27=Results!M5,Results!M5&lt;&gt;Games!$C$16),1,0))</f>
        <v>0</v>
      </c>
      <c r="AU27" s="13">
        <f>IF(OR(N27="",Results!N5=""),"",IF(AND(N27=Results!N5,Results!N5&lt;&gt;Games!$C$17),1,0))</f>
        <v>0</v>
      </c>
      <c r="AV27" s="14">
        <f t="shared" si="1"/>
        <v>1</v>
      </c>
    </row>
    <row r="28" spans="1:48" ht="15" customHeight="1" x14ac:dyDescent="0.25">
      <c r="A28" s="4" t="str">
        <f>INDEX(Players!$D$6:$D$69,MATCH(60,Players!$A$6:$A$69,0))</f>
        <v>Jeff K.</v>
      </c>
      <c r="B28" s="5" t="s">
        <v>183</v>
      </c>
      <c r="C28" s="5" t="s">
        <v>188</v>
      </c>
      <c r="D28" s="5" t="s">
        <v>192</v>
      </c>
      <c r="E28" s="5" t="s">
        <v>195</v>
      </c>
      <c r="F28" s="5" t="s">
        <v>200</v>
      </c>
      <c r="G28" s="5" t="s">
        <v>202</v>
      </c>
      <c r="H28" s="5" t="s">
        <v>206</v>
      </c>
      <c r="I28" s="5" t="s">
        <v>211</v>
      </c>
      <c r="J28" s="5" t="s">
        <v>213</v>
      </c>
      <c r="K28" s="5" t="s">
        <v>217</v>
      </c>
      <c r="L28" s="5" t="s">
        <v>220</v>
      </c>
      <c r="M28" s="5" t="s">
        <v>223</v>
      </c>
      <c r="N28" s="5" t="s">
        <v>227</v>
      </c>
      <c r="O28" s="5">
        <v>6</v>
      </c>
      <c r="P28" s="5">
        <v>10</v>
      </c>
      <c r="Q28" s="5">
        <v>12</v>
      </c>
      <c r="R28" s="5">
        <v>49</v>
      </c>
      <c r="S28" s="4">
        <f>IF(OR(B28="",Results!B5=""),"",IF(B28=Results!B5,1+IF(OR($O28=1,$P28=1,$Q28=1),1,0),0))</f>
        <v>0</v>
      </c>
      <c r="T28" s="4">
        <f>IF(OR(C28="",Results!C5=""),"",IF(C28=Results!C5,1+IF(OR($O28=2,$P28=2,$Q28=2),1,0),0))</f>
        <v>1</v>
      </c>
      <c r="U28" s="4">
        <f>IF(OR(D28="",Results!D5=""),"",IF(D28=Results!D5,1+IF(OR($O28=3,$P28=3,$Q28=3),1,0),0))</f>
        <v>0</v>
      </c>
      <c r="V28" s="4">
        <f>IF(OR(E28="",Results!E5=""),"",IF(E28=Results!E5,1+IF(OR($O28=4,$P28=4,$Q28=4),1,0),0))</f>
        <v>1</v>
      </c>
      <c r="W28" s="4">
        <f>IF(OR(F28="",Results!F5=""),"",IF(F28=Results!F5,1+IF(OR($O28=5,$P28=5,$Q28=5),1,0),0))</f>
        <v>0</v>
      </c>
      <c r="X28" s="4">
        <f>IF(OR(G28="",Results!G5=""),"",IF(G28=Results!G5,1+IF(OR($O28=6,$P28=6,$Q28=6),1,0),0))</f>
        <v>2</v>
      </c>
      <c r="Y28" s="4">
        <f>IF(OR(H28="",Results!H5=""),"",IF(H28=Results!H5,1+IF(OR($O28=7,$P28=7,$Q28=7),1,0),0))</f>
        <v>1</v>
      </c>
      <c r="Z28" s="4">
        <f>IF(OR(I28="",Results!I5=""),"",IF(I28=Results!I5,1+IF(OR($O28=8,$P28=8,$Q28=8),1,0),0))</f>
        <v>0</v>
      </c>
      <c r="AA28" s="4">
        <f>IF(OR(J28="",Results!J5=""),"",IF(J28=Results!J5,1+IF(OR($O28=9,$P28=9,$Q28=9),1,0),0))</f>
        <v>1</v>
      </c>
      <c r="AB28" s="4">
        <f>IF(OR(K28="",Results!K5=""),"",IF(K28=Results!K5,1+IF(OR($O28=10,$P28=10,$Q28=10),1,0),0))</f>
        <v>2</v>
      </c>
      <c r="AC28" s="4">
        <f>IF(OR(L28="",Results!L5=""),"",IF(L28=Results!L5,1+IF(OR($O28=11,$P28=11,$Q28=11),1,0),0))</f>
        <v>0</v>
      </c>
      <c r="AD28" s="4">
        <f>IF(OR(M28="",Results!M5=""),"",IF(M28=Results!M5,1+IF(OR($O28=12,$P28=12,$Q28=12),1,0),0))</f>
        <v>2</v>
      </c>
      <c r="AE28" s="4">
        <f>IF(OR(N28="",Results!N5=""),"",IF(N28=Results!N5,1+IF(OR($O28=13,$P28=13,$Q28=13),1,0),0))</f>
        <v>0</v>
      </c>
      <c r="AF28" s="11">
        <f t="shared" si="0"/>
        <v>10</v>
      </c>
      <c r="AG28" s="4">
        <f>IF(OR($R28="",Results!O5=""),"",ABS($R28-Results!O5))</f>
        <v>2</v>
      </c>
      <c r="AH28" s="12">
        <v>60</v>
      </c>
      <c r="AI28" s="13">
        <f>IF(OR(B28="",Results!B5=""),"",IF(AND(B28=Results!B5,Results!B5&lt;&gt;Games!$C$5),1,0))</f>
        <v>0</v>
      </c>
      <c r="AJ28" s="13">
        <f>IF(OR(C28="",Results!C5=""),"",IF(AND(C28=Results!C5,Results!C5&lt;&gt;Games!$C$6),1,0))</f>
        <v>1</v>
      </c>
      <c r="AK28" s="13">
        <f>IF(OR(D28="",Results!D5=""),"",IF(AND(D28=Results!D5,Results!D5&lt;&gt;Games!$C$7),1,0))</f>
        <v>0</v>
      </c>
      <c r="AL28" s="13">
        <f>IF(OR(E28="",Results!E5=""),"",IF(AND(E28=Results!E5,Results!E5&lt;&gt;Games!$C$8),1,0))</f>
        <v>0</v>
      </c>
      <c r="AM28" s="13">
        <f>IF(OR(F28="",Results!F5=""),"",IF(AND(F28=Results!F5,Results!F5&lt;&gt;Games!$C$9),1,0))</f>
        <v>0</v>
      </c>
      <c r="AN28" s="13">
        <f>IF(OR(G28="",Results!G5=""),"",IF(AND(G28=Results!G5,Results!G5&lt;&gt;Games!$C$10),1,0))</f>
        <v>0</v>
      </c>
      <c r="AO28" s="13">
        <f>IF(OR(H28="",Results!H5=""),"",IF(AND(H28=Results!H5,Results!H5&lt;&gt;Games!$C$11),1,0))</f>
        <v>0</v>
      </c>
      <c r="AP28" s="13">
        <f>IF(OR(I28="",Results!I5=""),"",IF(AND(I28=Results!I5,Results!I5&lt;&gt;Games!$C$12),1,0))</f>
        <v>0</v>
      </c>
      <c r="AQ28" s="13">
        <f>IF(OR(J28="",Results!J5=""),"",IF(AND(J28=Results!J5,Results!J5&lt;&gt;Games!$C$13),1,0))</f>
        <v>0</v>
      </c>
      <c r="AR28" s="13">
        <f>IF(OR(K28="",Results!K5=""),"",IF(AND(K28=Results!K5,Results!K5&lt;&gt;Games!$C$14),1,0))</f>
        <v>0</v>
      </c>
      <c r="AS28" s="13">
        <f>IF(OR(L28="",Results!L5=""),"",IF(AND(L28=Results!L5,Results!L5&lt;&gt;Games!$C$15),1,0))</f>
        <v>0</v>
      </c>
      <c r="AT28" s="13">
        <f>IF(OR(M28="",Results!M5=""),"",IF(AND(M28=Results!M5,Results!M5&lt;&gt;Games!$C$16),1,0))</f>
        <v>0</v>
      </c>
      <c r="AU28" s="13">
        <f>IF(OR(N28="",Results!N5=""),"",IF(AND(N28=Results!N5,Results!N5&lt;&gt;Games!$C$17),1,0))</f>
        <v>0</v>
      </c>
      <c r="AV28" s="14">
        <f t="shared" si="1"/>
        <v>1</v>
      </c>
    </row>
    <row r="29" spans="1:48" ht="15" customHeight="1" x14ac:dyDescent="0.25">
      <c r="A29" s="4" t="str">
        <f>INDEX(Players!$D$6:$D$69,MATCH(11,Players!$A$6:$A$69,0))</f>
        <v>Jeff R.</v>
      </c>
      <c r="B29" s="5" t="s">
        <v>183</v>
      </c>
      <c r="C29" s="5" t="s">
        <v>188</v>
      </c>
      <c r="D29" s="5" t="s">
        <v>191</v>
      </c>
      <c r="E29" s="5" t="s">
        <v>195</v>
      </c>
      <c r="F29" s="5" t="s">
        <v>199</v>
      </c>
      <c r="G29" s="5" t="s">
        <v>202</v>
      </c>
      <c r="H29" s="5" t="s">
        <v>206</v>
      </c>
      <c r="I29" s="5" t="s">
        <v>210</v>
      </c>
      <c r="J29" s="5" t="s">
        <v>213</v>
      </c>
      <c r="K29" s="5" t="s">
        <v>218</v>
      </c>
      <c r="L29" s="5" t="s">
        <v>221</v>
      </c>
      <c r="M29" s="5" t="s">
        <v>223</v>
      </c>
      <c r="N29" s="5" t="s">
        <v>226</v>
      </c>
      <c r="O29" s="5">
        <v>5</v>
      </c>
      <c r="P29" s="5">
        <v>8</v>
      </c>
      <c r="Q29" s="5">
        <v>13</v>
      </c>
      <c r="R29" s="5">
        <v>56</v>
      </c>
      <c r="S29" s="4">
        <f>IF(OR(B29="",Results!B5=""),"",IF(B29=Results!B5,1+IF(OR($O29=1,$P29=1,$Q29=1),1,0),0))</f>
        <v>0</v>
      </c>
      <c r="T29" s="4">
        <f>IF(OR(C29="",Results!C5=""),"",IF(C29=Results!C5,1+IF(OR($O29=2,$P29=2,$Q29=2),1,0),0))</f>
        <v>1</v>
      </c>
      <c r="U29" s="4">
        <f>IF(OR(D29="",Results!D5=""),"",IF(D29=Results!D5,1+IF(OR($O29=3,$P29=3,$Q29=3),1,0),0))</f>
        <v>1</v>
      </c>
      <c r="V29" s="4">
        <f>IF(OR(E29="",Results!E5=""),"",IF(E29=Results!E5,1+IF(OR($O29=4,$P29=4,$Q29=4),1,0),0))</f>
        <v>1</v>
      </c>
      <c r="W29" s="4">
        <f>IF(OR(F29="",Results!F5=""),"",IF(F29=Results!F5,1+IF(OR($O29=5,$P29=5,$Q29=5),1,0),0))</f>
        <v>2</v>
      </c>
      <c r="X29" s="4">
        <f>IF(OR(G29="",Results!G5=""),"",IF(G29=Results!G5,1+IF(OR($O29=6,$P29=6,$Q29=6),1,0),0))</f>
        <v>1</v>
      </c>
      <c r="Y29" s="4">
        <f>IF(OR(H29="",Results!H5=""),"",IF(H29=Results!H5,1+IF(OR($O29=7,$P29=7,$Q29=7),1,0),0))</f>
        <v>1</v>
      </c>
      <c r="Z29" s="4">
        <f>IF(OR(I29="",Results!I5=""),"",IF(I29=Results!I5,1+IF(OR($O29=8,$P29=8,$Q29=8),1,0),0))</f>
        <v>2</v>
      </c>
      <c r="AA29" s="4">
        <f>IF(OR(J29="",Results!J5=""),"",IF(J29=Results!J5,1+IF(OR($O29=9,$P29=9,$Q29=9),1,0),0))</f>
        <v>1</v>
      </c>
      <c r="AB29" s="4">
        <f>IF(OR(K29="",Results!K5=""),"",IF(K29=Results!K5,1+IF(OR($O29=10,$P29=10,$Q29=10),1,0),0))</f>
        <v>0</v>
      </c>
      <c r="AC29" s="4">
        <f>IF(OR(L29="",Results!L5=""),"",IF(L29=Results!L5,1+IF(OR($O29=11,$P29=11,$Q29=11),1,0),0))</f>
        <v>1</v>
      </c>
      <c r="AD29" s="4">
        <f>IF(OR(M29="",Results!M5=""),"",IF(M29=Results!M5,1+IF(OR($O29=12,$P29=12,$Q29=12),1,0),0))</f>
        <v>1</v>
      </c>
      <c r="AE29" s="4">
        <f>IF(OR(N29="",Results!N5=""),"",IF(N29=Results!N5,1+IF(OR($O29=13,$P29=13,$Q29=13),1,0),0))</f>
        <v>2</v>
      </c>
      <c r="AF29" s="11">
        <f t="shared" si="0"/>
        <v>14</v>
      </c>
      <c r="AG29" s="4">
        <f>IF(OR($R29="",Results!O5=""),"",ABS($R29-Results!O5))</f>
        <v>5</v>
      </c>
      <c r="AH29" s="12">
        <v>11</v>
      </c>
      <c r="AI29" s="13">
        <f>IF(OR(B29="",Results!B5=""),"",IF(AND(B29=Results!B5,Results!B5&lt;&gt;Games!$C$5),1,0))</f>
        <v>0</v>
      </c>
      <c r="AJ29" s="13">
        <f>IF(OR(C29="",Results!C5=""),"",IF(AND(C29=Results!C5,Results!C5&lt;&gt;Games!$C$6),1,0))</f>
        <v>1</v>
      </c>
      <c r="AK29" s="13">
        <f>IF(OR(D29="",Results!D5=""),"",IF(AND(D29=Results!D5,Results!D5&lt;&gt;Games!$C$7),1,0))</f>
        <v>0</v>
      </c>
      <c r="AL29" s="13">
        <f>IF(OR(E29="",Results!E5=""),"",IF(AND(E29=Results!E5,Results!E5&lt;&gt;Games!$C$8),1,0))</f>
        <v>0</v>
      </c>
      <c r="AM29" s="13">
        <f>IF(OR(F29="",Results!F5=""),"",IF(AND(F29=Results!F5,Results!F5&lt;&gt;Games!$C$9),1,0))</f>
        <v>0</v>
      </c>
      <c r="AN29" s="13">
        <f>IF(OR(G29="",Results!G5=""),"",IF(AND(G29=Results!G5,Results!G5&lt;&gt;Games!$C$10),1,0))</f>
        <v>0</v>
      </c>
      <c r="AO29" s="13">
        <f>IF(OR(H29="",Results!H5=""),"",IF(AND(H29=Results!H5,Results!H5&lt;&gt;Games!$C$11),1,0))</f>
        <v>0</v>
      </c>
      <c r="AP29" s="13">
        <f>IF(OR(I29="",Results!I5=""),"",IF(AND(I29=Results!I5,Results!I5&lt;&gt;Games!$C$12),1,0))</f>
        <v>0</v>
      </c>
      <c r="AQ29" s="13">
        <f>IF(OR(J29="",Results!J5=""),"",IF(AND(J29=Results!J5,Results!J5&lt;&gt;Games!$C$13),1,0))</f>
        <v>0</v>
      </c>
      <c r="AR29" s="13">
        <f>IF(OR(K29="",Results!K5=""),"",IF(AND(K29=Results!K5,Results!K5&lt;&gt;Games!$C$14),1,0))</f>
        <v>0</v>
      </c>
      <c r="AS29" s="13">
        <f>IF(OR(L29="",Results!L5=""),"",IF(AND(L29=Results!L5,Results!L5&lt;&gt;Games!$C$15),1,0))</f>
        <v>1</v>
      </c>
      <c r="AT29" s="13">
        <f>IF(OR(M29="",Results!M5=""),"",IF(AND(M29=Results!M5,Results!M5&lt;&gt;Games!$C$16),1,0))</f>
        <v>0</v>
      </c>
      <c r="AU29" s="13">
        <f>IF(OR(N29="",Results!N5=""),"",IF(AND(N29=Results!N5,Results!N5&lt;&gt;Games!$C$17),1,0))</f>
        <v>0</v>
      </c>
      <c r="AV29" s="14">
        <f t="shared" si="1"/>
        <v>2</v>
      </c>
    </row>
    <row r="30" spans="1:48" ht="15" customHeight="1" x14ac:dyDescent="0.25">
      <c r="A30" s="4" t="str">
        <f>INDEX(Players!$D$6:$D$69,MATCH(12,Players!$A$6:$A$69,0))</f>
        <v>Jill B.</v>
      </c>
      <c r="B30" s="5" t="s">
        <v>183</v>
      </c>
      <c r="C30" s="5" t="s">
        <v>187</v>
      </c>
      <c r="D30" s="5" t="s">
        <v>191</v>
      </c>
      <c r="E30" s="5" t="s">
        <v>195</v>
      </c>
      <c r="F30" s="5" t="s">
        <v>199</v>
      </c>
      <c r="G30" s="5" t="s">
        <v>202</v>
      </c>
      <c r="H30" s="5" t="s">
        <v>206</v>
      </c>
      <c r="I30" s="5" t="s">
        <v>210</v>
      </c>
      <c r="J30" s="5" t="s">
        <v>213</v>
      </c>
      <c r="K30" s="5" t="s">
        <v>217</v>
      </c>
      <c r="L30" s="5" t="s">
        <v>221</v>
      </c>
      <c r="M30" s="5" t="s">
        <v>223</v>
      </c>
      <c r="N30" s="5" t="s">
        <v>227</v>
      </c>
      <c r="O30" s="5">
        <v>4</v>
      </c>
      <c r="P30" s="5">
        <v>5</v>
      </c>
      <c r="Q30" s="5">
        <v>8</v>
      </c>
      <c r="R30" s="5">
        <v>58</v>
      </c>
      <c r="S30" s="4">
        <f>IF(OR(B30="",Results!B5=""),"",IF(B30=Results!B5,1+IF(OR($O30=1,$P30=1,$Q30=1),1,0),0))</f>
        <v>0</v>
      </c>
      <c r="T30" s="4">
        <f>IF(OR(C30="",Results!C5=""),"",IF(C30=Results!C5,1+IF(OR($O30=2,$P30=2,$Q30=2),1,0),0))</f>
        <v>0</v>
      </c>
      <c r="U30" s="4">
        <f>IF(OR(D30="",Results!D5=""),"",IF(D30=Results!D5,1+IF(OR($O30=3,$P30=3,$Q30=3),1,0),0))</f>
        <v>1</v>
      </c>
      <c r="V30" s="4">
        <f>IF(OR(E30="",Results!E5=""),"",IF(E30=Results!E5,1+IF(OR($O30=4,$P30=4,$Q30=4),1,0),0))</f>
        <v>2</v>
      </c>
      <c r="W30" s="4">
        <f>IF(OR(F30="",Results!F5=""),"",IF(F30=Results!F5,1+IF(OR($O30=5,$P30=5,$Q30=5),1,0),0))</f>
        <v>2</v>
      </c>
      <c r="X30" s="4">
        <f>IF(OR(G30="",Results!G5=""),"",IF(G30=Results!G5,1+IF(OR($O30=6,$P30=6,$Q30=6),1,0),0))</f>
        <v>1</v>
      </c>
      <c r="Y30" s="4">
        <f>IF(OR(H30="",Results!H5=""),"",IF(H30=Results!H5,1+IF(OR($O30=7,$P30=7,$Q30=7),1,0),0))</f>
        <v>1</v>
      </c>
      <c r="Z30" s="4">
        <f>IF(OR(I30="",Results!I5=""),"",IF(I30=Results!I5,1+IF(OR($O30=8,$P30=8,$Q30=8),1,0),0))</f>
        <v>2</v>
      </c>
      <c r="AA30" s="4">
        <f>IF(OR(J30="",Results!J5=""),"",IF(J30=Results!J5,1+IF(OR($O30=9,$P30=9,$Q30=9),1,0),0))</f>
        <v>1</v>
      </c>
      <c r="AB30" s="4">
        <f>IF(OR(K30="",Results!K5=""),"",IF(K30=Results!K5,1+IF(OR($O30=10,$P30=10,$Q30=10),1,0),0))</f>
        <v>1</v>
      </c>
      <c r="AC30" s="4">
        <f>IF(OR(L30="",Results!L5=""),"",IF(L30=Results!L5,1+IF(OR($O30=11,$P30=11,$Q30=11),1,0),0))</f>
        <v>1</v>
      </c>
      <c r="AD30" s="4">
        <f>IF(OR(M30="",Results!M5=""),"",IF(M30=Results!M5,1+IF(OR($O30=12,$P30=12,$Q30=12),1,0),0))</f>
        <v>1</v>
      </c>
      <c r="AE30" s="4">
        <f>IF(OR(N30="",Results!N5=""),"",IF(N30=Results!N5,1+IF(OR($O30=13,$P30=13,$Q30=13),1,0),0))</f>
        <v>0</v>
      </c>
      <c r="AF30" s="11">
        <f t="shared" si="0"/>
        <v>13</v>
      </c>
      <c r="AG30" s="4">
        <f>IF(OR($R30="",Results!O5=""),"",ABS($R30-Results!O5))</f>
        <v>7</v>
      </c>
      <c r="AH30" s="12">
        <v>12</v>
      </c>
      <c r="AI30" s="13">
        <f>IF(OR(B30="",Results!B5=""),"",IF(AND(B30=Results!B5,Results!B5&lt;&gt;Games!$C$5),1,0))</f>
        <v>0</v>
      </c>
      <c r="AJ30" s="13">
        <f>IF(OR(C30="",Results!C5=""),"",IF(AND(C30=Results!C5,Results!C5&lt;&gt;Games!$C$6),1,0))</f>
        <v>0</v>
      </c>
      <c r="AK30" s="13">
        <f>IF(OR(D30="",Results!D5=""),"",IF(AND(D30=Results!D5,Results!D5&lt;&gt;Games!$C$7),1,0))</f>
        <v>0</v>
      </c>
      <c r="AL30" s="13">
        <f>IF(OR(E30="",Results!E5=""),"",IF(AND(E30=Results!E5,Results!E5&lt;&gt;Games!$C$8),1,0))</f>
        <v>0</v>
      </c>
      <c r="AM30" s="13">
        <f>IF(OR(F30="",Results!F5=""),"",IF(AND(F30=Results!F5,Results!F5&lt;&gt;Games!$C$9),1,0))</f>
        <v>0</v>
      </c>
      <c r="AN30" s="13">
        <f>IF(OR(G30="",Results!G5=""),"",IF(AND(G30=Results!G5,Results!G5&lt;&gt;Games!$C$10),1,0))</f>
        <v>0</v>
      </c>
      <c r="AO30" s="13">
        <f>IF(OR(H30="",Results!H5=""),"",IF(AND(H30=Results!H5,Results!H5&lt;&gt;Games!$C$11),1,0))</f>
        <v>0</v>
      </c>
      <c r="AP30" s="13">
        <f>IF(OR(I30="",Results!I5=""),"",IF(AND(I30=Results!I5,Results!I5&lt;&gt;Games!$C$12),1,0))</f>
        <v>0</v>
      </c>
      <c r="AQ30" s="13">
        <f>IF(OR(J30="",Results!J5=""),"",IF(AND(J30=Results!J5,Results!J5&lt;&gt;Games!$C$13),1,0))</f>
        <v>0</v>
      </c>
      <c r="AR30" s="13">
        <f>IF(OR(K30="",Results!K5=""),"",IF(AND(K30=Results!K5,Results!K5&lt;&gt;Games!$C$14),1,0))</f>
        <v>0</v>
      </c>
      <c r="AS30" s="13">
        <f>IF(OR(L30="",Results!L5=""),"",IF(AND(L30=Results!L5,Results!L5&lt;&gt;Games!$C$15),1,0))</f>
        <v>1</v>
      </c>
      <c r="AT30" s="13">
        <f>IF(OR(M30="",Results!M5=""),"",IF(AND(M30=Results!M5,Results!M5&lt;&gt;Games!$C$16),1,0))</f>
        <v>0</v>
      </c>
      <c r="AU30" s="13">
        <f>IF(OR(N30="",Results!N5=""),"",IF(AND(N30=Results!N5,Results!N5&lt;&gt;Games!$C$17),1,0))</f>
        <v>0</v>
      </c>
      <c r="AV30" s="14">
        <f t="shared" si="1"/>
        <v>1</v>
      </c>
    </row>
    <row r="31" spans="1:48" ht="15" customHeight="1" x14ac:dyDescent="0.25">
      <c r="A31" s="4" t="str">
        <f>INDEX(Players!$D$6:$D$69,MATCH(13,Players!$A$6:$A$69,0))</f>
        <v>Joel G.</v>
      </c>
      <c r="B31" s="5" t="s">
        <v>183</v>
      </c>
      <c r="C31" s="5" t="s">
        <v>187</v>
      </c>
      <c r="D31" s="5" t="s">
        <v>191</v>
      </c>
      <c r="E31" s="5" t="s">
        <v>195</v>
      </c>
      <c r="F31" s="5" t="s">
        <v>200</v>
      </c>
      <c r="G31" s="5" t="s">
        <v>202</v>
      </c>
      <c r="H31" s="5" t="s">
        <v>206</v>
      </c>
      <c r="I31" s="5" t="s">
        <v>210</v>
      </c>
      <c r="J31" s="5" t="s">
        <v>214</v>
      </c>
      <c r="K31" s="5" t="s">
        <v>217</v>
      </c>
      <c r="L31" s="5" t="s">
        <v>220</v>
      </c>
      <c r="M31" s="5" t="s">
        <v>223</v>
      </c>
      <c r="N31" s="5" t="s">
        <v>226</v>
      </c>
      <c r="O31" s="5">
        <v>3</v>
      </c>
      <c r="P31" s="5">
        <v>4</v>
      </c>
      <c r="Q31" s="5">
        <v>8</v>
      </c>
      <c r="R31" s="5">
        <v>54</v>
      </c>
      <c r="S31" s="4">
        <f>IF(OR(B31="",Results!B5=""),"",IF(B31=Results!B5,1+IF(OR($O31=1,$P31=1,$Q31=1),1,0),0))</f>
        <v>0</v>
      </c>
      <c r="T31" s="4">
        <f>IF(OR(C31="",Results!C5=""),"",IF(C31=Results!C5,1+IF(OR($O31=2,$P31=2,$Q31=2),1,0),0))</f>
        <v>0</v>
      </c>
      <c r="U31" s="4">
        <f>IF(OR(D31="",Results!D5=""),"",IF(D31=Results!D5,1+IF(OR($O31=3,$P31=3,$Q31=3),1,0),0))</f>
        <v>2</v>
      </c>
      <c r="V31" s="4">
        <f>IF(OR(E31="",Results!E5=""),"",IF(E31=Results!E5,1+IF(OR($O31=4,$P31=4,$Q31=4),1,0),0))</f>
        <v>2</v>
      </c>
      <c r="W31" s="4">
        <f>IF(OR(F31="",Results!F5=""),"",IF(F31=Results!F5,1+IF(OR($O31=5,$P31=5,$Q31=5),1,0),0))</f>
        <v>0</v>
      </c>
      <c r="X31" s="4">
        <f>IF(OR(G31="",Results!G5=""),"",IF(G31=Results!G5,1+IF(OR($O31=6,$P31=6,$Q31=6),1,0),0))</f>
        <v>1</v>
      </c>
      <c r="Y31" s="4">
        <f>IF(OR(H31="",Results!H5=""),"",IF(H31=Results!H5,1+IF(OR($O31=7,$P31=7,$Q31=7),1,0),0))</f>
        <v>1</v>
      </c>
      <c r="Z31" s="4">
        <f>IF(OR(I31="",Results!I5=""),"",IF(I31=Results!I5,1+IF(OR($O31=8,$P31=8,$Q31=8),1,0),0))</f>
        <v>2</v>
      </c>
      <c r="AA31" s="4">
        <f>IF(OR(J31="",Results!J5=""),"",IF(J31=Results!J5,1+IF(OR($O31=9,$P31=9,$Q31=9),1,0),0))</f>
        <v>0</v>
      </c>
      <c r="AB31" s="4">
        <f>IF(OR(K31="",Results!K5=""),"",IF(K31=Results!K5,1+IF(OR($O31=10,$P31=10,$Q31=10),1,0),0))</f>
        <v>1</v>
      </c>
      <c r="AC31" s="4">
        <f>IF(OR(L31="",Results!L5=""),"",IF(L31=Results!L5,1+IF(OR($O31=11,$P31=11,$Q31=11),1,0),0))</f>
        <v>0</v>
      </c>
      <c r="AD31" s="4">
        <f>IF(OR(M31="",Results!M5=""),"",IF(M31=Results!M5,1+IF(OR($O31=12,$P31=12,$Q31=12),1,0),0))</f>
        <v>1</v>
      </c>
      <c r="AE31" s="4">
        <f>IF(OR(N31="",Results!N5=""),"",IF(N31=Results!N5,1+IF(OR($O31=13,$P31=13,$Q31=13),1,0),0))</f>
        <v>1</v>
      </c>
      <c r="AF31" s="11">
        <f t="shared" si="0"/>
        <v>11</v>
      </c>
      <c r="AG31" s="4">
        <f>IF(OR($R31="",Results!O5=""),"",ABS($R31-Results!O5))</f>
        <v>3</v>
      </c>
      <c r="AH31" s="12">
        <v>13</v>
      </c>
      <c r="AI31" s="13">
        <f>IF(OR(B31="",Results!B5=""),"",IF(AND(B31=Results!B5,Results!B5&lt;&gt;Games!$C$5),1,0))</f>
        <v>0</v>
      </c>
      <c r="AJ31" s="13">
        <f>IF(OR(C31="",Results!C5=""),"",IF(AND(C31=Results!C5,Results!C5&lt;&gt;Games!$C$6),1,0))</f>
        <v>0</v>
      </c>
      <c r="AK31" s="13">
        <f>IF(OR(D31="",Results!D5=""),"",IF(AND(D31=Results!D5,Results!D5&lt;&gt;Games!$C$7),1,0))</f>
        <v>0</v>
      </c>
      <c r="AL31" s="13">
        <f>IF(OR(E31="",Results!E5=""),"",IF(AND(E31=Results!E5,Results!E5&lt;&gt;Games!$C$8),1,0))</f>
        <v>0</v>
      </c>
      <c r="AM31" s="13">
        <f>IF(OR(F31="",Results!F5=""),"",IF(AND(F31=Results!F5,Results!F5&lt;&gt;Games!$C$9),1,0))</f>
        <v>0</v>
      </c>
      <c r="AN31" s="13">
        <f>IF(OR(G31="",Results!G5=""),"",IF(AND(G31=Results!G5,Results!G5&lt;&gt;Games!$C$10),1,0))</f>
        <v>0</v>
      </c>
      <c r="AO31" s="13">
        <f>IF(OR(H31="",Results!H5=""),"",IF(AND(H31=Results!H5,Results!H5&lt;&gt;Games!$C$11),1,0))</f>
        <v>0</v>
      </c>
      <c r="AP31" s="13">
        <f>IF(OR(I31="",Results!I5=""),"",IF(AND(I31=Results!I5,Results!I5&lt;&gt;Games!$C$12),1,0))</f>
        <v>0</v>
      </c>
      <c r="AQ31" s="13">
        <f>IF(OR(J31="",Results!J5=""),"",IF(AND(J31=Results!J5,Results!J5&lt;&gt;Games!$C$13),1,0))</f>
        <v>0</v>
      </c>
      <c r="AR31" s="13">
        <f>IF(OR(K31="",Results!K5=""),"",IF(AND(K31=Results!K5,Results!K5&lt;&gt;Games!$C$14),1,0))</f>
        <v>0</v>
      </c>
      <c r="AS31" s="13">
        <f>IF(OR(L31="",Results!L5=""),"",IF(AND(L31=Results!L5,Results!L5&lt;&gt;Games!$C$15),1,0))</f>
        <v>0</v>
      </c>
      <c r="AT31" s="13">
        <f>IF(OR(M31="",Results!M5=""),"",IF(AND(M31=Results!M5,Results!M5&lt;&gt;Games!$C$16),1,0))</f>
        <v>0</v>
      </c>
      <c r="AU31" s="13">
        <f>IF(OR(N31="",Results!N5=""),"",IF(AND(N31=Results!N5,Results!N5&lt;&gt;Games!$C$17),1,0))</f>
        <v>0</v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 t="s">
        <v>183</v>
      </c>
      <c r="C32" s="5" t="s">
        <v>188</v>
      </c>
      <c r="D32" s="5" t="s">
        <v>191</v>
      </c>
      <c r="E32" s="5" t="s">
        <v>195</v>
      </c>
      <c r="F32" s="5" t="s">
        <v>199</v>
      </c>
      <c r="G32" s="5" t="s">
        <v>202</v>
      </c>
      <c r="H32" s="5" t="s">
        <v>207</v>
      </c>
      <c r="I32" s="5" t="s">
        <v>210</v>
      </c>
      <c r="J32" s="5" t="s">
        <v>214</v>
      </c>
      <c r="K32" s="5" t="s">
        <v>217</v>
      </c>
      <c r="L32" s="5" t="s">
        <v>220</v>
      </c>
      <c r="M32" s="5" t="s">
        <v>223</v>
      </c>
      <c r="N32" s="5" t="s">
        <v>226</v>
      </c>
      <c r="O32" s="5">
        <v>3</v>
      </c>
      <c r="P32" s="5">
        <v>4</v>
      </c>
      <c r="Q32" s="5">
        <v>12</v>
      </c>
      <c r="R32" s="5">
        <v>54</v>
      </c>
      <c r="S32" s="4">
        <f>IF(OR(B32="",Results!B5=""),"",IF(B32=Results!B5,1+IF(OR($O32=1,$P32=1,$Q32=1),1,0),0))</f>
        <v>0</v>
      </c>
      <c r="T32" s="4">
        <f>IF(OR(C32="",Results!C5=""),"",IF(C32=Results!C5,1+IF(OR($O32=2,$P32=2,$Q32=2),1,0),0))</f>
        <v>1</v>
      </c>
      <c r="U32" s="4">
        <f>IF(OR(D32="",Results!D5=""),"",IF(D32=Results!D5,1+IF(OR($O32=3,$P32=3,$Q32=3),1,0),0))</f>
        <v>2</v>
      </c>
      <c r="V32" s="4">
        <f>IF(OR(E32="",Results!E5=""),"",IF(E32=Results!E5,1+IF(OR($O32=4,$P32=4,$Q32=4),1,0),0))</f>
        <v>2</v>
      </c>
      <c r="W32" s="4">
        <f>IF(OR(F32="",Results!F5=""),"",IF(F32=Results!F5,1+IF(OR($O32=5,$P32=5,$Q32=5),1,0),0))</f>
        <v>1</v>
      </c>
      <c r="X32" s="4">
        <f>IF(OR(G32="",Results!G5=""),"",IF(G32=Results!G5,1+IF(OR($O32=6,$P32=6,$Q32=6),1,0),0))</f>
        <v>1</v>
      </c>
      <c r="Y32" s="4">
        <f>IF(OR(H32="",Results!H5=""),"",IF(H32=Results!H5,1+IF(OR($O32=7,$P32=7,$Q32=7),1,0),0))</f>
        <v>0</v>
      </c>
      <c r="Z32" s="4">
        <f>IF(OR(I32="",Results!I5=""),"",IF(I32=Results!I5,1+IF(OR($O32=8,$P32=8,$Q32=8),1,0),0))</f>
        <v>1</v>
      </c>
      <c r="AA32" s="4">
        <f>IF(OR(J32="",Results!J5=""),"",IF(J32=Results!J5,1+IF(OR($O32=9,$P32=9,$Q32=9),1,0),0))</f>
        <v>0</v>
      </c>
      <c r="AB32" s="4">
        <f>IF(OR(K32="",Results!K5=""),"",IF(K32=Results!K5,1+IF(OR($O32=10,$P32=10,$Q32=10),1,0),0))</f>
        <v>1</v>
      </c>
      <c r="AC32" s="4">
        <f>IF(OR(L32="",Results!L5=""),"",IF(L32=Results!L5,1+IF(OR($O32=11,$P32=11,$Q32=11),1,0),0))</f>
        <v>0</v>
      </c>
      <c r="AD32" s="4">
        <f>IF(OR(M32="",Results!M5=""),"",IF(M32=Results!M5,1+IF(OR($O32=12,$P32=12,$Q32=12),1,0),0))</f>
        <v>2</v>
      </c>
      <c r="AE32" s="4">
        <f>IF(OR(N32="",Results!N5=""),"",IF(N32=Results!N5,1+IF(OR($O32=13,$P32=13,$Q32=13),1,0),0))</f>
        <v>1</v>
      </c>
      <c r="AF32" s="11">
        <f t="shared" si="0"/>
        <v>12</v>
      </c>
      <c r="AG32" s="4">
        <f>IF(OR($R32="",Results!O5=""),"",ABS($R32-Results!O5))</f>
        <v>3</v>
      </c>
      <c r="AH32" s="12">
        <v>14</v>
      </c>
      <c r="AI32" s="13">
        <f>IF(OR(B32="",Results!B5=""),"",IF(AND(B32=Results!B5,Results!B5&lt;&gt;Games!$C$5),1,0))</f>
        <v>0</v>
      </c>
      <c r="AJ32" s="13">
        <f>IF(OR(C32="",Results!C5=""),"",IF(AND(C32=Results!C5,Results!C5&lt;&gt;Games!$C$6),1,0))</f>
        <v>1</v>
      </c>
      <c r="AK32" s="13">
        <f>IF(OR(D32="",Results!D5=""),"",IF(AND(D32=Results!D5,Results!D5&lt;&gt;Games!$C$7),1,0))</f>
        <v>0</v>
      </c>
      <c r="AL32" s="13">
        <f>IF(OR(E32="",Results!E5=""),"",IF(AND(E32=Results!E5,Results!E5&lt;&gt;Games!$C$8),1,0))</f>
        <v>0</v>
      </c>
      <c r="AM32" s="13">
        <f>IF(OR(F32="",Results!F5=""),"",IF(AND(F32=Results!F5,Results!F5&lt;&gt;Games!$C$9),1,0))</f>
        <v>0</v>
      </c>
      <c r="AN32" s="13">
        <f>IF(OR(G32="",Results!G5=""),"",IF(AND(G32=Results!G5,Results!G5&lt;&gt;Games!$C$10),1,0))</f>
        <v>0</v>
      </c>
      <c r="AO32" s="13">
        <f>IF(OR(H32="",Results!H5=""),"",IF(AND(H32=Results!H5,Results!H5&lt;&gt;Games!$C$11),1,0))</f>
        <v>0</v>
      </c>
      <c r="AP32" s="13">
        <f>IF(OR(I32="",Results!I5=""),"",IF(AND(I32=Results!I5,Results!I5&lt;&gt;Games!$C$12),1,0))</f>
        <v>0</v>
      </c>
      <c r="AQ32" s="13">
        <f>IF(OR(J32="",Results!J5=""),"",IF(AND(J32=Results!J5,Results!J5&lt;&gt;Games!$C$13),1,0))</f>
        <v>0</v>
      </c>
      <c r="AR32" s="13">
        <f>IF(OR(K32="",Results!K5=""),"",IF(AND(K32=Results!K5,Results!K5&lt;&gt;Games!$C$14),1,0))</f>
        <v>0</v>
      </c>
      <c r="AS32" s="13">
        <f>IF(OR(L32="",Results!L5=""),"",IF(AND(L32=Results!L5,Results!L5&lt;&gt;Games!$C$15),1,0))</f>
        <v>0</v>
      </c>
      <c r="AT32" s="13">
        <f>IF(OR(M32="",Results!M5=""),"",IF(AND(M32=Results!M5,Results!M5&lt;&gt;Games!$C$16),1,0))</f>
        <v>0</v>
      </c>
      <c r="AU32" s="13">
        <f>IF(OR(N32="",Results!N5=""),"",IF(AND(N32=Results!N5,Results!N5&lt;&gt;Games!$C$17),1,0))</f>
        <v>0</v>
      </c>
      <c r="AV32" s="14">
        <f t="shared" si="1"/>
        <v>1</v>
      </c>
    </row>
    <row r="33" spans="1:48" ht="15" customHeight="1" x14ac:dyDescent="0.25">
      <c r="A33" s="4" t="str">
        <f>INDEX(Players!$D$6:$D$69,MATCH(15,Players!$A$6:$A$69,0))</f>
        <v>John T.</v>
      </c>
      <c r="B33" s="5" t="s">
        <v>183</v>
      </c>
      <c r="C33" s="5" t="s">
        <v>188</v>
      </c>
      <c r="D33" s="5" t="s">
        <v>191</v>
      </c>
      <c r="E33" s="5" t="s">
        <v>195</v>
      </c>
      <c r="F33" s="5" t="s">
        <v>199</v>
      </c>
      <c r="G33" s="5" t="s">
        <v>202</v>
      </c>
      <c r="H33" s="5" t="s">
        <v>206</v>
      </c>
      <c r="I33" s="5" t="s">
        <v>210</v>
      </c>
      <c r="J33" s="5" t="s">
        <v>214</v>
      </c>
      <c r="K33" s="5" t="s">
        <v>217</v>
      </c>
      <c r="L33" s="5" t="s">
        <v>221</v>
      </c>
      <c r="M33" s="5" t="s">
        <v>223</v>
      </c>
      <c r="N33" s="5" t="s">
        <v>226</v>
      </c>
      <c r="O33" s="5">
        <v>5</v>
      </c>
      <c r="P33" s="5">
        <v>8</v>
      </c>
      <c r="Q33" s="5">
        <v>12</v>
      </c>
      <c r="R33" s="5">
        <v>55</v>
      </c>
      <c r="S33" s="4">
        <f>IF(OR(B33="",Results!B5=""),"",IF(B33=Results!B5,1+IF(OR($O33=1,$P33=1,$Q33=1),1,0),0))</f>
        <v>0</v>
      </c>
      <c r="T33" s="4">
        <f>IF(OR(C33="",Results!C5=""),"",IF(C33=Results!C5,1+IF(OR($O33=2,$P33=2,$Q33=2),1,0),0))</f>
        <v>1</v>
      </c>
      <c r="U33" s="4">
        <f>IF(OR(D33="",Results!D5=""),"",IF(D33=Results!D5,1+IF(OR($O33=3,$P33=3,$Q33=3),1,0),0))</f>
        <v>1</v>
      </c>
      <c r="V33" s="4">
        <f>IF(OR(E33="",Results!E5=""),"",IF(E33=Results!E5,1+IF(OR($O33=4,$P33=4,$Q33=4),1,0),0))</f>
        <v>1</v>
      </c>
      <c r="W33" s="4">
        <f>IF(OR(F33="",Results!F5=""),"",IF(F33=Results!F5,1+IF(OR($O33=5,$P33=5,$Q33=5),1,0),0))</f>
        <v>2</v>
      </c>
      <c r="X33" s="4">
        <f>IF(OR(G33="",Results!G5=""),"",IF(G33=Results!G5,1+IF(OR($O33=6,$P33=6,$Q33=6),1,0),0))</f>
        <v>1</v>
      </c>
      <c r="Y33" s="4">
        <f>IF(OR(H33="",Results!H5=""),"",IF(H33=Results!H5,1+IF(OR($O33=7,$P33=7,$Q33=7),1,0),0))</f>
        <v>1</v>
      </c>
      <c r="Z33" s="4">
        <f>IF(OR(I33="",Results!I5=""),"",IF(I33=Results!I5,1+IF(OR($O33=8,$P33=8,$Q33=8),1,0),0))</f>
        <v>2</v>
      </c>
      <c r="AA33" s="4">
        <f>IF(OR(J33="",Results!J5=""),"",IF(J33=Results!J5,1+IF(OR($O33=9,$P33=9,$Q33=9),1,0),0))</f>
        <v>0</v>
      </c>
      <c r="AB33" s="4">
        <f>IF(OR(K33="",Results!K5=""),"",IF(K33=Results!K5,1+IF(OR($O33=10,$P33=10,$Q33=10),1,0),0))</f>
        <v>1</v>
      </c>
      <c r="AC33" s="4">
        <f>IF(OR(L33="",Results!L5=""),"",IF(L33=Results!L5,1+IF(OR($O33=11,$P33=11,$Q33=11),1,0),0))</f>
        <v>1</v>
      </c>
      <c r="AD33" s="4">
        <f>IF(OR(M33="",Results!M5=""),"",IF(M33=Results!M5,1+IF(OR($O33=12,$P33=12,$Q33=12),1,0),0))</f>
        <v>2</v>
      </c>
      <c r="AE33" s="4">
        <f>IF(OR(N33="",Results!N5=""),"",IF(N33=Results!N5,1+IF(OR($O33=13,$P33=13,$Q33=13),1,0),0))</f>
        <v>1</v>
      </c>
      <c r="AF33" s="11">
        <f t="shared" si="0"/>
        <v>14</v>
      </c>
      <c r="AG33" s="4">
        <f>IF(OR($R33="",Results!O5=""),"",ABS($R33-Results!O5))</f>
        <v>4</v>
      </c>
      <c r="AH33" s="12">
        <v>15</v>
      </c>
      <c r="AI33" s="13">
        <f>IF(OR(B33="",Results!B5=""),"",IF(AND(B33=Results!B5,Results!B5&lt;&gt;Games!$C$5),1,0))</f>
        <v>0</v>
      </c>
      <c r="AJ33" s="13">
        <f>IF(OR(C33="",Results!C5=""),"",IF(AND(C33=Results!C5,Results!C5&lt;&gt;Games!$C$6),1,0))</f>
        <v>1</v>
      </c>
      <c r="AK33" s="13">
        <f>IF(OR(D33="",Results!D5=""),"",IF(AND(D33=Results!D5,Results!D5&lt;&gt;Games!$C$7),1,0))</f>
        <v>0</v>
      </c>
      <c r="AL33" s="13">
        <f>IF(OR(E33="",Results!E5=""),"",IF(AND(E33=Results!E5,Results!E5&lt;&gt;Games!$C$8),1,0))</f>
        <v>0</v>
      </c>
      <c r="AM33" s="13">
        <f>IF(OR(F33="",Results!F5=""),"",IF(AND(F33=Results!F5,Results!F5&lt;&gt;Games!$C$9),1,0))</f>
        <v>0</v>
      </c>
      <c r="AN33" s="13">
        <f>IF(OR(G33="",Results!G5=""),"",IF(AND(G33=Results!G5,Results!G5&lt;&gt;Games!$C$10),1,0))</f>
        <v>0</v>
      </c>
      <c r="AO33" s="13">
        <f>IF(OR(H33="",Results!H5=""),"",IF(AND(H33=Results!H5,Results!H5&lt;&gt;Games!$C$11),1,0))</f>
        <v>0</v>
      </c>
      <c r="AP33" s="13">
        <f>IF(OR(I33="",Results!I5=""),"",IF(AND(I33=Results!I5,Results!I5&lt;&gt;Games!$C$12),1,0))</f>
        <v>0</v>
      </c>
      <c r="AQ33" s="13">
        <f>IF(OR(J33="",Results!J5=""),"",IF(AND(J33=Results!J5,Results!J5&lt;&gt;Games!$C$13),1,0))</f>
        <v>0</v>
      </c>
      <c r="AR33" s="13">
        <f>IF(OR(K33="",Results!K5=""),"",IF(AND(K33=Results!K5,Results!K5&lt;&gt;Games!$C$14),1,0))</f>
        <v>0</v>
      </c>
      <c r="AS33" s="13">
        <f>IF(OR(L33="",Results!L5=""),"",IF(AND(L33=Results!L5,Results!L5&lt;&gt;Games!$C$15),1,0))</f>
        <v>1</v>
      </c>
      <c r="AT33" s="13">
        <f>IF(OR(M33="",Results!M5=""),"",IF(AND(M33=Results!M5,Results!M5&lt;&gt;Games!$C$16),1,0))</f>
        <v>0</v>
      </c>
      <c r="AU33" s="13">
        <f>IF(OR(N33="",Results!N5=""),"",IF(AND(N33=Results!N5,Results!N5&lt;&gt;Games!$C$17),1,0))</f>
        <v>0</v>
      </c>
      <c r="AV33" s="14">
        <f t="shared" si="1"/>
        <v>2</v>
      </c>
    </row>
    <row r="34" spans="1:48" ht="15" customHeight="1" x14ac:dyDescent="0.25">
      <c r="A34" s="4" t="str">
        <f>INDEX(Players!$D$6:$D$69,MATCH(16,Players!$A$6:$A$69,0))</f>
        <v>Josh H.</v>
      </c>
      <c r="B34" s="5" t="s">
        <v>183</v>
      </c>
      <c r="C34" s="5" t="s">
        <v>188</v>
      </c>
      <c r="D34" s="5" t="s">
        <v>191</v>
      </c>
      <c r="E34" s="5" t="s">
        <v>195</v>
      </c>
      <c r="F34" s="5" t="s">
        <v>199</v>
      </c>
      <c r="G34" s="5" t="s">
        <v>202</v>
      </c>
      <c r="H34" s="5" t="s">
        <v>206</v>
      </c>
      <c r="I34" s="5" t="s">
        <v>210</v>
      </c>
      <c r="J34" s="5" t="s">
        <v>213</v>
      </c>
      <c r="K34" s="5" t="s">
        <v>217</v>
      </c>
      <c r="L34" s="5" t="s">
        <v>221</v>
      </c>
      <c r="M34" s="5" t="s">
        <v>223</v>
      </c>
      <c r="N34" s="5" t="s">
        <v>226</v>
      </c>
      <c r="O34" s="5">
        <v>3</v>
      </c>
      <c r="P34" s="5">
        <v>5</v>
      </c>
      <c r="Q34" s="5">
        <v>8</v>
      </c>
      <c r="R34" s="5">
        <v>50</v>
      </c>
      <c r="S34" s="4">
        <f>IF(OR(B34="",Results!B5=""),"",IF(B34=Results!B5,1+IF(OR($O34=1,$P34=1,$Q34=1),1,0),0))</f>
        <v>0</v>
      </c>
      <c r="T34" s="4">
        <f>IF(OR(C34="",Results!C5=""),"",IF(C34=Results!C5,1+IF(OR($O34=2,$P34=2,$Q34=2),1,0),0))</f>
        <v>1</v>
      </c>
      <c r="U34" s="4">
        <f>IF(OR(D34="",Results!D5=""),"",IF(D34=Results!D5,1+IF(OR($O34=3,$P34=3,$Q34=3),1,0),0))</f>
        <v>2</v>
      </c>
      <c r="V34" s="4">
        <f>IF(OR(E34="",Results!E5=""),"",IF(E34=Results!E5,1+IF(OR($O34=4,$P34=4,$Q34=4),1,0),0))</f>
        <v>1</v>
      </c>
      <c r="W34" s="4">
        <f>IF(OR(F34="",Results!F5=""),"",IF(F34=Results!F5,1+IF(OR($O34=5,$P34=5,$Q34=5),1,0),0))</f>
        <v>2</v>
      </c>
      <c r="X34" s="4">
        <f>IF(OR(G34="",Results!G5=""),"",IF(G34=Results!G5,1+IF(OR($O34=6,$P34=6,$Q34=6),1,0),0))</f>
        <v>1</v>
      </c>
      <c r="Y34" s="4">
        <f>IF(OR(H34="",Results!H5=""),"",IF(H34=Results!H5,1+IF(OR($O34=7,$P34=7,$Q34=7),1,0),0))</f>
        <v>1</v>
      </c>
      <c r="Z34" s="4">
        <f>IF(OR(I34="",Results!I5=""),"",IF(I34=Results!I5,1+IF(OR($O34=8,$P34=8,$Q34=8),1,0),0))</f>
        <v>2</v>
      </c>
      <c r="AA34" s="4">
        <f>IF(OR(J34="",Results!J5=""),"",IF(J34=Results!J5,1+IF(OR($O34=9,$P34=9,$Q34=9),1,0),0))</f>
        <v>1</v>
      </c>
      <c r="AB34" s="4">
        <f>IF(OR(K34="",Results!K5=""),"",IF(K34=Results!K5,1+IF(OR($O34=10,$P34=10,$Q34=10),1,0),0))</f>
        <v>1</v>
      </c>
      <c r="AC34" s="4">
        <f>IF(OR(L34="",Results!L5=""),"",IF(L34=Results!L5,1+IF(OR($O34=11,$P34=11,$Q34=11),1,0),0))</f>
        <v>1</v>
      </c>
      <c r="AD34" s="4">
        <f>IF(OR(M34="",Results!M5=""),"",IF(M34=Results!M5,1+IF(OR($O34=12,$P34=12,$Q34=12),1,0),0))</f>
        <v>1</v>
      </c>
      <c r="AE34" s="4">
        <f>IF(OR(N34="",Results!N5=""),"",IF(N34=Results!N5,1+IF(OR($O34=13,$P34=13,$Q34=13),1,0),0))</f>
        <v>1</v>
      </c>
      <c r="AF34" s="11">
        <f t="shared" si="0"/>
        <v>15</v>
      </c>
      <c r="AG34" s="4">
        <f>IF(OR($R34="",Results!O5=""),"",ABS($R34-Results!O5))</f>
        <v>1</v>
      </c>
      <c r="AH34" s="12">
        <v>16</v>
      </c>
      <c r="AI34" s="13">
        <f>IF(OR(B34="",Results!B5=""),"",IF(AND(B34=Results!B5,Results!B5&lt;&gt;Games!$C$5),1,0))</f>
        <v>0</v>
      </c>
      <c r="AJ34" s="13">
        <f>IF(OR(C34="",Results!C5=""),"",IF(AND(C34=Results!C5,Results!C5&lt;&gt;Games!$C$6),1,0))</f>
        <v>1</v>
      </c>
      <c r="AK34" s="13">
        <f>IF(OR(D34="",Results!D5=""),"",IF(AND(D34=Results!D5,Results!D5&lt;&gt;Games!$C$7),1,0))</f>
        <v>0</v>
      </c>
      <c r="AL34" s="13">
        <f>IF(OR(E34="",Results!E5=""),"",IF(AND(E34=Results!E5,Results!E5&lt;&gt;Games!$C$8),1,0))</f>
        <v>0</v>
      </c>
      <c r="AM34" s="13">
        <f>IF(OR(F34="",Results!F5=""),"",IF(AND(F34=Results!F5,Results!F5&lt;&gt;Games!$C$9),1,0))</f>
        <v>0</v>
      </c>
      <c r="AN34" s="13">
        <f>IF(OR(G34="",Results!G5=""),"",IF(AND(G34=Results!G5,Results!G5&lt;&gt;Games!$C$10),1,0))</f>
        <v>0</v>
      </c>
      <c r="AO34" s="13">
        <f>IF(OR(H34="",Results!H5=""),"",IF(AND(H34=Results!H5,Results!H5&lt;&gt;Games!$C$11),1,0))</f>
        <v>0</v>
      </c>
      <c r="AP34" s="13">
        <f>IF(OR(I34="",Results!I5=""),"",IF(AND(I34=Results!I5,Results!I5&lt;&gt;Games!$C$12),1,0))</f>
        <v>0</v>
      </c>
      <c r="AQ34" s="13">
        <f>IF(OR(J34="",Results!J5=""),"",IF(AND(J34=Results!J5,Results!J5&lt;&gt;Games!$C$13),1,0))</f>
        <v>0</v>
      </c>
      <c r="AR34" s="13">
        <f>IF(OR(K34="",Results!K5=""),"",IF(AND(K34=Results!K5,Results!K5&lt;&gt;Games!$C$14),1,0))</f>
        <v>0</v>
      </c>
      <c r="AS34" s="13">
        <f>IF(OR(L34="",Results!L5=""),"",IF(AND(L34=Results!L5,Results!L5&lt;&gt;Games!$C$15),1,0))</f>
        <v>1</v>
      </c>
      <c r="AT34" s="13">
        <f>IF(OR(M34="",Results!M5=""),"",IF(AND(M34=Results!M5,Results!M5&lt;&gt;Games!$C$16),1,0))</f>
        <v>0</v>
      </c>
      <c r="AU34" s="13">
        <f>IF(OR(N34="",Results!N5=""),"",IF(AND(N34=Results!N5,Results!N5&lt;&gt;Games!$C$17),1,0))</f>
        <v>0</v>
      </c>
      <c r="AV34" s="14">
        <f t="shared" si="1"/>
        <v>2</v>
      </c>
    </row>
    <row r="35" spans="1:48" ht="15" customHeight="1" x14ac:dyDescent="0.25">
      <c r="A35" s="4" t="str">
        <f>INDEX(Players!$D$6:$D$69,MATCH(17,Players!$A$6:$A$69,0))</f>
        <v>Justin S.</v>
      </c>
      <c r="B35" s="5" t="s">
        <v>183</v>
      </c>
      <c r="C35" s="5" t="s">
        <v>188</v>
      </c>
      <c r="D35" s="5" t="s">
        <v>191</v>
      </c>
      <c r="E35" s="5" t="s">
        <v>195</v>
      </c>
      <c r="F35" s="5" t="s">
        <v>199</v>
      </c>
      <c r="G35" s="5" t="s">
        <v>202</v>
      </c>
      <c r="H35" s="5" t="s">
        <v>206</v>
      </c>
      <c r="I35" s="5" t="s">
        <v>210</v>
      </c>
      <c r="J35" s="5" t="s">
        <v>214</v>
      </c>
      <c r="K35" s="5" t="s">
        <v>218</v>
      </c>
      <c r="L35" s="5" t="s">
        <v>220</v>
      </c>
      <c r="M35" s="5" t="s">
        <v>223</v>
      </c>
      <c r="N35" s="5" t="s">
        <v>226</v>
      </c>
      <c r="O35" s="5">
        <v>1</v>
      </c>
      <c r="P35" s="5">
        <v>4</v>
      </c>
      <c r="Q35" s="5">
        <v>12</v>
      </c>
      <c r="R35" s="5">
        <v>56</v>
      </c>
      <c r="S35" s="4">
        <f>IF(OR(B35="",Results!B5=""),"",IF(B35=Results!B5,1+IF(OR($O35=1,$P35=1,$Q35=1),1,0),0))</f>
        <v>0</v>
      </c>
      <c r="T35" s="4">
        <f>IF(OR(C35="",Results!C5=""),"",IF(C35=Results!C5,1+IF(OR($O35=2,$P35=2,$Q35=2),1,0),0))</f>
        <v>1</v>
      </c>
      <c r="U35" s="4">
        <f>IF(OR(D35="",Results!D5=""),"",IF(D35=Results!D5,1+IF(OR($O35=3,$P35=3,$Q35=3),1,0),0))</f>
        <v>1</v>
      </c>
      <c r="V35" s="4">
        <f>IF(OR(E35="",Results!E5=""),"",IF(E35=Results!E5,1+IF(OR($O35=4,$P35=4,$Q35=4),1,0),0))</f>
        <v>2</v>
      </c>
      <c r="W35" s="4">
        <f>IF(OR(F35="",Results!F5=""),"",IF(F35=Results!F5,1+IF(OR($O35=5,$P35=5,$Q35=5),1,0),0))</f>
        <v>1</v>
      </c>
      <c r="X35" s="4">
        <f>IF(OR(G35="",Results!G5=""),"",IF(G35=Results!G5,1+IF(OR($O35=6,$P35=6,$Q35=6),1,0),0))</f>
        <v>1</v>
      </c>
      <c r="Y35" s="4">
        <f>IF(OR(H35="",Results!H5=""),"",IF(H35=Results!H5,1+IF(OR($O35=7,$P35=7,$Q35=7),1,0),0))</f>
        <v>1</v>
      </c>
      <c r="Z35" s="4">
        <f>IF(OR(I35="",Results!I5=""),"",IF(I35=Results!I5,1+IF(OR($O35=8,$P35=8,$Q35=8),1,0),0))</f>
        <v>1</v>
      </c>
      <c r="AA35" s="4">
        <f>IF(OR(J35="",Results!J5=""),"",IF(J35=Results!J5,1+IF(OR($O35=9,$P35=9,$Q35=9),1,0),0))</f>
        <v>0</v>
      </c>
      <c r="AB35" s="4">
        <f>IF(OR(K35="",Results!K5=""),"",IF(K35=Results!K5,1+IF(OR($O35=10,$P35=10,$Q35=10),1,0),0))</f>
        <v>0</v>
      </c>
      <c r="AC35" s="4">
        <f>IF(OR(L35="",Results!L5=""),"",IF(L35=Results!L5,1+IF(OR($O35=11,$P35=11,$Q35=11),1,0),0))</f>
        <v>0</v>
      </c>
      <c r="AD35" s="4">
        <f>IF(OR(M35="",Results!M5=""),"",IF(M35=Results!M5,1+IF(OR($O35=12,$P35=12,$Q35=12),1,0),0))</f>
        <v>2</v>
      </c>
      <c r="AE35" s="4">
        <f>IF(OR(N35="",Results!N5=""),"",IF(N35=Results!N5,1+IF(OR($O35=13,$P35=13,$Q35=13),1,0),0))</f>
        <v>1</v>
      </c>
      <c r="AF35" s="11">
        <f t="shared" si="0"/>
        <v>11</v>
      </c>
      <c r="AG35" s="4">
        <f>IF(OR($R35="",Results!O5=""),"",ABS($R35-Results!O5))</f>
        <v>5</v>
      </c>
      <c r="AH35" s="12">
        <v>17</v>
      </c>
      <c r="AI35" s="13">
        <f>IF(OR(B35="",Results!B5=""),"",IF(AND(B35=Results!B5,Results!B5&lt;&gt;Games!$C$5),1,0))</f>
        <v>0</v>
      </c>
      <c r="AJ35" s="13">
        <f>IF(OR(C35="",Results!C5=""),"",IF(AND(C35=Results!C5,Results!C5&lt;&gt;Games!$C$6),1,0))</f>
        <v>1</v>
      </c>
      <c r="AK35" s="13">
        <f>IF(OR(D35="",Results!D5=""),"",IF(AND(D35=Results!D5,Results!D5&lt;&gt;Games!$C$7),1,0))</f>
        <v>0</v>
      </c>
      <c r="AL35" s="13">
        <f>IF(OR(E35="",Results!E5=""),"",IF(AND(E35=Results!E5,Results!E5&lt;&gt;Games!$C$8),1,0))</f>
        <v>0</v>
      </c>
      <c r="AM35" s="13">
        <f>IF(OR(F35="",Results!F5=""),"",IF(AND(F35=Results!F5,Results!F5&lt;&gt;Games!$C$9),1,0))</f>
        <v>0</v>
      </c>
      <c r="AN35" s="13">
        <f>IF(OR(G35="",Results!G5=""),"",IF(AND(G35=Results!G5,Results!G5&lt;&gt;Games!$C$10),1,0))</f>
        <v>0</v>
      </c>
      <c r="AO35" s="13">
        <f>IF(OR(H35="",Results!H5=""),"",IF(AND(H35=Results!H5,Results!H5&lt;&gt;Games!$C$11),1,0))</f>
        <v>0</v>
      </c>
      <c r="AP35" s="13">
        <f>IF(OR(I35="",Results!I5=""),"",IF(AND(I35=Results!I5,Results!I5&lt;&gt;Games!$C$12),1,0))</f>
        <v>0</v>
      </c>
      <c r="AQ35" s="13">
        <f>IF(OR(J35="",Results!J5=""),"",IF(AND(J35=Results!J5,Results!J5&lt;&gt;Games!$C$13),1,0))</f>
        <v>0</v>
      </c>
      <c r="AR35" s="13">
        <f>IF(OR(K35="",Results!K5=""),"",IF(AND(K35=Results!K5,Results!K5&lt;&gt;Games!$C$14),1,0))</f>
        <v>0</v>
      </c>
      <c r="AS35" s="13">
        <f>IF(OR(L35="",Results!L5=""),"",IF(AND(L35=Results!L5,Results!L5&lt;&gt;Games!$C$15),1,0))</f>
        <v>0</v>
      </c>
      <c r="AT35" s="13">
        <f>IF(OR(M35="",Results!M5=""),"",IF(AND(M35=Results!M5,Results!M5&lt;&gt;Games!$C$16),1,0))</f>
        <v>0</v>
      </c>
      <c r="AU35" s="13">
        <f>IF(OR(N35="",Results!N5=""),"",IF(AND(N35=Results!N5,Results!N5&lt;&gt;Games!$C$17),1,0))</f>
        <v>0</v>
      </c>
      <c r="AV35" s="14">
        <f t="shared" si="1"/>
        <v>1</v>
      </c>
    </row>
    <row r="36" spans="1:48" ht="15" customHeight="1" x14ac:dyDescent="0.25">
      <c r="A36" s="4" t="str">
        <f>INDEX(Players!$D$6:$D$69,MATCH(39,Players!$A$6:$A$69,0))</f>
        <v>Kaley P.</v>
      </c>
      <c r="B36" s="5" t="s">
        <v>183</v>
      </c>
      <c r="C36" s="5" t="s">
        <v>187</v>
      </c>
      <c r="D36" s="5" t="s">
        <v>191</v>
      </c>
      <c r="E36" s="5" t="s">
        <v>195</v>
      </c>
      <c r="F36" s="5" t="s">
        <v>199</v>
      </c>
      <c r="G36" s="5" t="s">
        <v>202</v>
      </c>
      <c r="H36" s="5" t="s">
        <v>206</v>
      </c>
      <c r="I36" s="5" t="s">
        <v>210</v>
      </c>
      <c r="J36" s="5" t="s">
        <v>213</v>
      </c>
      <c r="K36" s="5" t="s">
        <v>217</v>
      </c>
      <c r="L36" s="5" t="s">
        <v>221</v>
      </c>
      <c r="M36" s="5" t="s">
        <v>223</v>
      </c>
      <c r="N36" s="5" t="s">
        <v>227</v>
      </c>
      <c r="O36" s="5">
        <v>3</v>
      </c>
      <c r="P36" s="5">
        <v>5</v>
      </c>
      <c r="Q36" s="5">
        <v>8</v>
      </c>
      <c r="R36" s="5">
        <v>51</v>
      </c>
      <c r="S36" s="4">
        <f>IF(OR(B36="",Results!B5=""),"",IF(B36=Results!B5,1+IF(OR($O36=1,$P36=1,$Q36=1),1,0),0))</f>
        <v>0</v>
      </c>
      <c r="T36" s="4">
        <f>IF(OR(C36="",Results!C5=""),"",IF(C36=Results!C5,1+IF(OR($O36=2,$P36=2,$Q36=2),1,0),0))</f>
        <v>0</v>
      </c>
      <c r="U36" s="4">
        <f>IF(OR(D36="",Results!D5=""),"",IF(D36=Results!D5,1+IF(OR($O36=3,$P36=3,$Q36=3),1,0),0))</f>
        <v>2</v>
      </c>
      <c r="V36" s="4">
        <f>IF(OR(E36="",Results!E5=""),"",IF(E36=Results!E5,1+IF(OR($O36=4,$P36=4,$Q36=4),1,0),0))</f>
        <v>1</v>
      </c>
      <c r="W36" s="4">
        <f>IF(OR(F36="",Results!F5=""),"",IF(F36=Results!F5,1+IF(OR($O36=5,$P36=5,$Q36=5),1,0),0))</f>
        <v>2</v>
      </c>
      <c r="X36" s="4">
        <f>IF(OR(G36="",Results!G5=""),"",IF(G36=Results!G5,1+IF(OR($O36=6,$P36=6,$Q36=6),1,0),0))</f>
        <v>1</v>
      </c>
      <c r="Y36" s="4">
        <f>IF(OR(H36="",Results!H5=""),"",IF(H36=Results!H5,1+IF(OR($O36=7,$P36=7,$Q36=7),1,0),0))</f>
        <v>1</v>
      </c>
      <c r="Z36" s="4">
        <f>IF(OR(I36="",Results!I5=""),"",IF(I36=Results!I5,1+IF(OR($O36=8,$P36=8,$Q36=8),1,0),0))</f>
        <v>2</v>
      </c>
      <c r="AA36" s="4">
        <f>IF(OR(J36="",Results!J5=""),"",IF(J36=Results!J5,1+IF(OR($O36=9,$P36=9,$Q36=9),1,0),0))</f>
        <v>1</v>
      </c>
      <c r="AB36" s="4">
        <f>IF(OR(K36="",Results!K5=""),"",IF(K36=Results!K5,1+IF(OR($O36=10,$P36=10,$Q36=10),1,0),0))</f>
        <v>1</v>
      </c>
      <c r="AC36" s="4">
        <f>IF(OR(L36="",Results!L5=""),"",IF(L36=Results!L5,1+IF(OR($O36=11,$P36=11,$Q36=11),1,0),0))</f>
        <v>1</v>
      </c>
      <c r="AD36" s="4">
        <f>IF(OR(M36="",Results!M5=""),"",IF(M36=Results!M5,1+IF(OR($O36=12,$P36=12,$Q36=12),1,0),0))</f>
        <v>1</v>
      </c>
      <c r="AE36" s="4">
        <f>IF(OR(N36="",Results!N5=""),"",IF(N36=Results!N5,1+IF(OR($O36=13,$P36=13,$Q36=13),1,0),0))</f>
        <v>0</v>
      </c>
      <c r="AF36" s="11">
        <f t="shared" si="0"/>
        <v>13</v>
      </c>
      <c r="AG36" s="4">
        <f>IF(OR($R36="",Results!O5=""),"",ABS($R36-Results!O5))</f>
        <v>0</v>
      </c>
      <c r="AH36" s="12">
        <v>39</v>
      </c>
      <c r="AI36" s="13">
        <f>IF(OR(B36="",Results!B5=""),"",IF(AND(B36=Results!B5,Results!B5&lt;&gt;Games!$C$5),1,0))</f>
        <v>0</v>
      </c>
      <c r="AJ36" s="13">
        <f>IF(OR(C36="",Results!C5=""),"",IF(AND(C36=Results!C5,Results!C5&lt;&gt;Games!$C$6),1,0))</f>
        <v>0</v>
      </c>
      <c r="AK36" s="13">
        <f>IF(OR(D36="",Results!D5=""),"",IF(AND(D36=Results!D5,Results!D5&lt;&gt;Games!$C$7),1,0))</f>
        <v>0</v>
      </c>
      <c r="AL36" s="13">
        <f>IF(OR(E36="",Results!E5=""),"",IF(AND(E36=Results!E5,Results!E5&lt;&gt;Games!$C$8),1,0))</f>
        <v>0</v>
      </c>
      <c r="AM36" s="13">
        <f>IF(OR(F36="",Results!F5=""),"",IF(AND(F36=Results!F5,Results!F5&lt;&gt;Games!$C$9),1,0))</f>
        <v>0</v>
      </c>
      <c r="AN36" s="13">
        <f>IF(OR(G36="",Results!G5=""),"",IF(AND(G36=Results!G5,Results!G5&lt;&gt;Games!$C$10),1,0))</f>
        <v>0</v>
      </c>
      <c r="AO36" s="13">
        <f>IF(OR(H36="",Results!H5=""),"",IF(AND(H36=Results!H5,Results!H5&lt;&gt;Games!$C$11),1,0))</f>
        <v>0</v>
      </c>
      <c r="AP36" s="13">
        <f>IF(OR(I36="",Results!I5=""),"",IF(AND(I36=Results!I5,Results!I5&lt;&gt;Games!$C$12),1,0))</f>
        <v>0</v>
      </c>
      <c r="AQ36" s="13">
        <f>IF(OR(J36="",Results!J5=""),"",IF(AND(J36=Results!J5,Results!J5&lt;&gt;Games!$C$13),1,0))</f>
        <v>0</v>
      </c>
      <c r="AR36" s="13">
        <f>IF(OR(K36="",Results!K5=""),"",IF(AND(K36=Results!K5,Results!K5&lt;&gt;Games!$C$14),1,0))</f>
        <v>0</v>
      </c>
      <c r="AS36" s="13">
        <f>IF(OR(L36="",Results!L5=""),"",IF(AND(L36=Results!L5,Results!L5&lt;&gt;Games!$C$15),1,0))</f>
        <v>1</v>
      </c>
      <c r="AT36" s="13">
        <f>IF(OR(M36="",Results!M5=""),"",IF(AND(M36=Results!M5,Results!M5&lt;&gt;Games!$C$16),1,0))</f>
        <v>0</v>
      </c>
      <c r="AU36" s="13">
        <f>IF(OR(N36="",Results!N5=""),"",IF(AND(N36=Results!N5,Results!N5&lt;&gt;Games!$C$17),1,0))</f>
        <v>0</v>
      </c>
      <c r="AV36" s="14">
        <f t="shared" si="1"/>
        <v>1</v>
      </c>
    </row>
    <row r="37" spans="1:48" ht="15" customHeight="1" x14ac:dyDescent="0.25">
      <c r="A37" s="4" t="str">
        <f>INDEX(Players!$D$6:$D$69,MATCH(49,Players!$A$6:$A$69,0))</f>
        <v>Kate S.</v>
      </c>
      <c r="B37" s="5" t="s">
        <v>183</v>
      </c>
      <c r="C37" s="5" t="s">
        <v>187</v>
      </c>
      <c r="D37" s="5" t="s">
        <v>191</v>
      </c>
      <c r="E37" s="5" t="s">
        <v>195</v>
      </c>
      <c r="F37" s="5" t="s">
        <v>199</v>
      </c>
      <c r="G37" s="5" t="s">
        <v>202</v>
      </c>
      <c r="H37" s="5" t="s">
        <v>207</v>
      </c>
      <c r="I37" s="5" t="s">
        <v>210</v>
      </c>
      <c r="J37" s="5" t="s">
        <v>213</v>
      </c>
      <c r="K37" s="5" t="s">
        <v>218</v>
      </c>
      <c r="L37" s="5" t="s">
        <v>220</v>
      </c>
      <c r="M37" s="5" t="s">
        <v>223</v>
      </c>
      <c r="N37" s="5" t="s">
        <v>226</v>
      </c>
      <c r="O37" s="5">
        <v>4</v>
      </c>
      <c r="P37" s="5">
        <v>8</v>
      </c>
      <c r="Q37" s="5">
        <v>12</v>
      </c>
      <c r="R37" s="5">
        <v>45</v>
      </c>
      <c r="S37" s="4">
        <f>IF(OR(B37="",Results!B5=""),"",IF(B37=Results!B5,1+IF(OR($O37=1,$P37=1,$Q37=1),1,0),0))</f>
        <v>0</v>
      </c>
      <c r="T37" s="4">
        <f>IF(OR(C37="",Results!C5=""),"",IF(C37=Results!C5,1+IF(OR($O37=2,$P37=2,$Q37=2),1,0),0))</f>
        <v>0</v>
      </c>
      <c r="U37" s="4">
        <f>IF(OR(D37="",Results!D5=""),"",IF(D37=Results!D5,1+IF(OR($O37=3,$P37=3,$Q37=3),1,0),0))</f>
        <v>1</v>
      </c>
      <c r="V37" s="4">
        <f>IF(OR(E37="",Results!E5=""),"",IF(E37=Results!E5,1+IF(OR($O37=4,$P37=4,$Q37=4),1,0),0))</f>
        <v>2</v>
      </c>
      <c r="W37" s="4">
        <f>IF(OR(F37="",Results!F5=""),"",IF(F37=Results!F5,1+IF(OR($O37=5,$P37=5,$Q37=5),1,0),0))</f>
        <v>1</v>
      </c>
      <c r="X37" s="4">
        <f>IF(OR(G37="",Results!G5=""),"",IF(G37=Results!G5,1+IF(OR($O37=6,$P37=6,$Q37=6),1,0),0))</f>
        <v>1</v>
      </c>
      <c r="Y37" s="4">
        <f>IF(OR(H37="",Results!H5=""),"",IF(H37=Results!H5,1+IF(OR($O37=7,$P37=7,$Q37=7),1,0),0))</f>
        <v>0</v>
      </c>
      <c r="Z37" s="4">
        <f>IF(OR(I37="",Results!I5=""),"",IF(I37=Results!I5,1+IF(OR($O37=8,$P37=8,$Q37=8),1,0),0))</f>
        <v>2</v>
      </c>
      <c r="AA37" s="4">
        <f>IF(OR(J37="",Results!J5=""),"",IF(J37=Results!J5,1+IF(OR($O37=9,$P37=9,$Q37=9),1,0),0))</f>
        <v>1</v>
      </c>
      <c r="AB37" s="4">
        <f>IF(OR(K37="",Results!K5=""),"",IF(K37=Results!K5,1+IF(OR($O37=10,$P37=10,$Q37=10),1,0),0))</f>
        <v>0</v>
      </c>
      <c r="AC37" s="4">
        <f>IF(OR(L37="",Results!L5=""),"",IF(L37=Results!L5,1+IF(OR($O37=11,$P37=11,$Q37=11),1,0),0))</f>
        <v>0</v>
      </c>
      <c r="AD37" s="4">
        <f>IF(OR(M37="",Results!M5=""),"",IF(M37=Results!M5,1+IF(OR($O37=12,$P37=12,$Q37=12),1,0),0))</f>
        <v>2</v>
      </c>
      <c r="AE37" s="4">
        <f>IF(OR(N37="",Results!N5=""),"",IF(N37=Results!N5,1+IF(OR($O37=13,$P37=13,$Q37=13),1,0),0))</f>
        <v>1</v>
      </c>
      <c r="AF37" s="11">
        <f t="shared" si="0"/>
        <v>11</v>
      </c>
      <c r="AG37" s="4">
        <f>IF(OR($R37="",Results!O5=""),"",ABS($R37-Results!O5))</f>
        <v>6</v>
      </c>
      <c r="AH37" s="12">
        <v>49</v>
      </c>
      <c r="AI37" s="13">
        <f>IF(OR(B37="",Results!B5=""),"",IF(AND(B37=Results!B5,Results!B5&lt;&gt;Games!$C$5),1,0))</f>
        <v>0</v>
      </c>
      <c r="AJ37" s="13">
        <f>IF(OR(C37="",Results!C5=""),"",IF(AND(C37=Results!C5,Results!C5&lt;&gt;Games!$C$6),1,0))</f>
        <v>0</v>
      </c>
      <c r="AK37" s="13">
        <f>IF(OR(D37="",Results!D5=""),"",IF(AND(D37=Results!D5,Results!D5&lt;&gt;Games!$C$7),1,0))</f>
        <v>0</v>
      </c>
      <c r="AL37" s="13">
        <f>IF(OR(E37="",Results!E5=""),"",IF(AND(E37=Results!E5,Results!E5&lt;&gt;Games!$C$8),1,0))</f>
        <v>0</v>
      </c>
      <c r="AM37" s="13">
        <f>IF(OR(F37="",Results!F5=""),"",IF(AND(F37=Results!F5,Results!F5&lt;&gt;Games!$C$9),1,0))</f>
        <v>0</v>
      </c>
      <c r="AN37" s="13">
        <f>IF(OR(G37="",Results!G5=""),"",IF(AND(G37=Results!G5,Results!G5&lt;&gt;Games!$C$10),1,0))</f>
        <v>0</v>
      </c>
      <c r="AO37" s="13">
        <f>IF(OR(H37="",Results!H5=""),"",IF(AND(H37=Results!H5,Results!H5&lt;&gt;Games!$C$11),1,0))</f>
        <v>0</v>
      </c>
      <c r="AP37" s="13">
        <f>IF(OR(I37="",Results!I5=""),"",IF(AND(I37=Results!I5,Results!I5&lt;&gt;Games!$C$12),1,0))</f>
        <v>0</v>
      </c>
      <c r="AQ37" s="13">
        <f>IF(OR(J37="",Results!J5=""),"",IF(AND(J37=Results!J5,Results!J5&lt;&gt;Games!$C$13),1,0))</f>
        <v>0</v>
      </c>
      <c r="AR37" s="13">
        <f>IF(OR(K37="",Results!K5=""),"",IF(AND(K37=Results!K5,Results!K5&lt;&gt;Games!$C$14),1,0))</f>
        <v>0</v>
      </c>
      <c r="AS37" s="13">
        <f>IF(OR(L37="",Results!L5=""),"",IF(AND(L37=Results!L5,Results!L5&lt;&gt;Games!$C$15),1,0))</f>
        <v>0</v>
      </c>
      <c r="AT37" s="13">
        <f>IF(OR(M37="",Results!M5=""),"",IF(AND(M37=Results!M5,Results!M5&lt;&gt;Games!$C$16),1,0))</f>
        <v>0</v>
      </c>
      <c r="AU37" s="13">
        <f>IF(OR(N37="",Results!N5=""),"",IF(AND(N37=Results!N5,Results!N5&lt;&gt;Games!$C$17),1,0))</f>
        <v>0</v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 t="s">
        <v>183</v>
      </c>
      <c r="C38" s="5" t="s">
        <v>187</v>
      </c>
      <c r="D38" s="5" t="s">
        <v>191</v>
      </c>
      <c r="E38" s="5" t="s">
        <v>195</v>
      </c>
      <c r="F38" s="5" t="s">
        <v>199</v>
      </c>
      <c r="G38" s="5" t="s">
        <v>202</v>
      </c>
      <c r="H38" s="5" t="s">
        <v>206</v>
      </c>
      <c r="I38" s="5" t="s">
        <v>210</v>
      </c>
      <c r="J38" s="5" t="s">
        <v>213</v>
      </c>
      <c r="K38" s="5" t="s">
        <v>217</v>
      </c>
      <c r="L38" s="5" t="s">
        <v>221</v>
      </c>
      <c r="M38" s="5" t="s">
        <v>223</v>
      </c>
      <c r="N38" s="5" t="s">
        <v>226</v>
      </c>
      <c r="O38" s="5">
        <v>4</v>
      </c>
      <c r="P38" s="5">
        <v>5</v>
      </c>
      <c r="Q38" s="5">
        <v>8</v>
      </c>
      <c r="R38" s="5">
        <v>53</v>
      </c>
      <c r="S38" s="4">
        <f>IF(OR(B38="",Results!B5=""),"",IF(B38=Results!B5,1+IF(OR($O38=1,$P38=1,$Q38=1),1,0),0))</f>
        <v>0</v>
      </c>
      <c r="T38" s="4">
        <f>IF(OR(C38="",Results!C5=""),"",IF(C38=Results!C5,1+IF(OR($O38=2,$P38=2,$Q38=2),1,0),0))</f>
        <v>0</v>
      </c>
      <c r="U38" s="4">
        <f>IF(OR(D38="",Results!D5=""),"",IF(D38=Results!D5,1+IF(OR($O38=3,$P38=3,$Q38=3),1,0),0))</f>
        <v>1</v>
      </c>
      <c r="V38" s="4">
        <f>IF(OR(E38="",Results!E5=""),"",IF(E38=Results!E5,1+IF(OR($O38=4,$P38=4,$Q38=4),1,0),0))</f>
        <v>2</v>
      </c>
      <c r="W38" s="4">
        <f>IF(OR(F38="",Results!F5=""),"",IF(F38=Results!F5,1+IF(OR($O38=5,$P38=5,$Q38=5),1,0),0))</f>
        <v>2</v>
      </c>
      <c r="X38" s="4">
        <f>IF(OR(G38="",Results!G5=""),"",IF(G38=Results!G5,1+IF(OR($O38=6,$P38=6,$Q38=6),1,0),0))</f>
        <v>1</v>
      </c>
      <c r="Y38" s="4">
        <f>IF(OR(H38="",Results!H5=""),"",IF(H38=Results!H5,1+IF(OR($O38=7,$P38=7,$Q38=7),1,0),0))</f>
        <v>1</v>
      </c>
      <c r="Z38" s="4">
        <f>IF(OR(I38="",Results!I5=""),"",IF(I38=Results!I5,1+IF(OR($O38=8,$P38=8,$Q38=8),1,0),0))</f>
        <v>2</v>
      </c>
      <c r="AA38" s="4">
        <f>IF(OR(J38="",Results!J5=""),"",IF(J38=Results!J5,1+IF(OR($O38=9,$P38=9,$Q38=9),1,0),0))</f>
        <v>1</v>
      </c>
      <c r="AB38" s="4">
        <f>IF(OR(K38="",Results!K5=""),"",IF(K38=Results!K5,1+IF(OR($O38=10,$P38=10,$Q38=10),1,0),0))</f>
        <v>1</v>
      </c>
      <c r="AC38" s="4">
        <f>IF(OR(L38="",Results!L5=""),"",IF(L38=Results!L5,1+IF(OR($O38=11,$P38=11,$Q38=11),1,0),0))</f>
        <v>1</v>
      </c>
      <c r="AD38" s="4">
        <f>IF(OR(M38="",Results!M5=""),"",IF(M38=Results!M5,1+IF(OR($O38=12,$P38=12,$Q38=12),1,0),0))</f>
        <v>1</v>
      </c>
      <c r="AE38" s="4">
        <f>IF(OR(N38="",Results!N5=""),"",IF(N38=Results!N5,1+IF(OR($O38=13,$P38=13,$Q38=13),1,0),0))</f>
        <v>1</v>
      </c>
      <c r="AF38" s="11">
        <f t="shared" ref="AF38:AF65" si="2">SUM(S38:AE38)</f>
        <v>14</v>
      </c>
      <c r="AG38" s="4">
        <f>IF(OR($R38="",Results!O5=""),"",ABS($R38-Results!O5))</f>
        <v>2</v>
      </c>
      <c r="AH38" s="12">
        <v>18</v>
      </c>
      <c r="AI38" s="13">
        <f>IF(OR(B38="",Results!B5=""),"",IF(AND(B38=Results!B5,Results!B5&lt;&gt;Games!$C$5),1,0))</f>
        <v>0</v>
      </c>
      <c r="AJ38" s="13">
        <f>IF(OR(C38="",Results!C5=""),"",IF(AND(C38=Results!C5,Results!C5&lt;&gt;Games!$C$6),1,0))</f>
        <v>0</v>
      </c>
      <c r="AK38" s="13">
        <f>IF(OR(D38="",Results!D5=""),"",IF(AND(D38=Results!D5,Results!D5&lt;&gt;Games!$C$7),1,0))</f>
        <v>0</v>
      </c>
      <c r="AL38" s="13">
        <f>IF(OR(E38="",Results!E5=""),"",IF(AND(E38=Results!E5,Results!E5&lt;&gt;Games!$C$8),1,0))</f>
        <v>0</v>
      </c>
      <c r="AM38" s="13">
        <f>IF(OR(F38="",Results!F5=""),"",IF(AND(F38=Results!F5,Results!F5&lt;&gt;Games!$C$9),1,0))</f>
        <v>0</v>
      </c>
      <c r="AN38" s="13">
        <f>IF(OR(G38="",Results!G5=""),"",IF(AND(G38=Results!G5,Results!G5&lt;&gt;Games!$C$10),1,0))</f>
        <v>0</v>
      </c>
      <c r="AO38" s="13">
        <f>IF(OR(H38="",Results!H5=""),"",IF(AND(H38=Results!H5,Results!H5&lt;&gt;Games!$C$11),1,0))</f>
        <v>0</v>
      </c>
      <c r="AP38" s="13">
        <f>IF(OR(I38="",Results!I5=""),"",IF(AND(I38=Results!I5,Results!I5&lt;&gt;Games!$C$12),1,0))</f>
        <v>0</v>
      </c>
      <c r="AQ38" s="13">
        <f>IF(OR(J38="",Results!J5=""),"",IF(AND(J38=Results!J5,Results!J5&lt;&gt;Games!$C$13),1,0))</f>
        <v>0</v>
      </c>
      <c r="AR38" s="13">
        <f>IF(OR(K38="",Results!K5=""),"",IF(AND(K38=Results!K5,Results!K5&lt;&gt;Games!$C$14),1,0))</f>
        <v>0</v>
      </c>
      <c r="AS38" s="13">
        <f>IF(OR(L38="",Results!L5=""),"",IF(AND(L38=Results!L5,Results!L5&lt;&gt;Games!$C$15),1,0))</f>
        <v>1</v>
      </c>
      <c r="AT38" s="13">
        <f>IF(OR(M38="",Results!M5=""),"",IF(AND(M38=Results!M5,Results!M5&lt;&gt;Games!$C$16),1,0))</f>
        <v>0</v>
      </c>
      <c r="AU38" s="13">
        <f>IF(OR(N38="",Results!N5=""),"",IF(AND(N38=Results!N5,Results!N5&lt;&gt;Games!$C$17),1,0))</f>
        <v>0</v>
      </c>
      <c r="AV38" s="14">
        <f t="shared" ref="AV38:AV65" si="3">SUM(AI38:AU38)</f>
        <v>1</v>
      </c>
    </row>
    <row r="39" spans="1:48" ht="15" customHeight="1" x14ac:dyDescent="0.25">
      <c r="A39" s="4" t="str">
        <f>INDEX(Players!$D$6:$D$69,MATCH(50,Players!$A$6:$A$69,0))</f>
        <v>Kyle W.</v>
      </c>
      <c r="B39" s="5" t="s">
        <v>183</v>
      </c>
      <c r="C39" s="5" t="s">
        <v>188</v>
      </c>
      <c r="D39" s="5" t="s">
        <v>191</v>
      </c>
      <c r="E39" s="5" t="s">
        <v>195</v>
      </c>
      <c r="F39" s="5" t="s">
        <v>199</v>
      </c>
      <c r="G39" s="5" t="s">
        <v>202</v>
      </c>
      <c r="H39" s="5" t="s">
        <v>207</v>
      </c>
      <c r="I39" s="5" t="s">
        <v>210</v>
      </c>
      <c r="J39" s="5" t="s">
        <v>213</v>
      </c>
      <c r="K39" s="5" t="s">
        <v>217</v>
      </c>
      <c r="L39" s="5" t="s">
        <v>220</v>
      </c>
      <c r="M39" s="5" t="s">
        <v>223</v>
      </c>
      <c r="N39" s="5" t="s">
        <v>226</v>
      </c>
      <c r="O39" s="5">
        <v>2</v>
      </c>
      <c r="P39" s="5">
        <v>9</v>
      </c>
      <c r="Q39" s="5">
        <v>11</v>
      </c>
      <c r="R39" s="5">
        <v>57</v>
      </c>
      <c r="S39" s="4">
        <f>IF(OR(B39="",Results!B5=""),"",IF(B39=Results!B5,1+IF(OR($O39=1,$P39=1,$Q39=1),1,0),0))</f>
        <v>0</v>
      </c>
      <c r="T39" s="4">
        <f>IF(OR(C39="",Results!C5=""),"",IF(C39=Results!C5,1+IF(OR($O39=2,$P39=2,$Q39=2),1,0),0))</f>
        <v>2</v>
      </c>
      <c r="U39" s="4">
        <f>IF(OR(D39="",Results!D5=""),"",IF(D39=Results!D5,1+IF(OR($O39=3,$P39=3,$Q39=3),1,0),0))</f>
        <v>1</v>
      </c>
      <c r="V39" s="4">
        <f>IF(OR(E39="",Results!E5=""),"",IF(E39=Results!E5,1+IF(OR($O39=4,$P39=4,$Q39=4),1,0),0))</f>
        <v>1</v>
      </c>
      <c r="W39" s="4">
        <f>IF(OR(F39="",Results!F5=""),"",IF(F39=Results!F5,1+IF(OR($O39=5,$P39=5,$Q39=5),1,0),0))</f>
        <v>1</v>
      </c>
      <c r="X39" s="4">
        <f>IF(OR(G39="",Results!G5=""),"",IF(G39=Results!G5,1+IF(OR($O39=6,$P39=6,$Q39=6),1,0),0))</f>
        <v>1</v>
      </c>
      <c r="Y39" s="4">
        <f>IF(OR(H39="",Results!H5=""),"",IF(H39=Results!H5,1+IF(OR($O39=7,$P39=7,$Q39=7),1,0),0))</f>
        <v>0</v>
      </c>
      <c r="Z39" s="4">
        <f>IF(OR(I39="",Results!I5=""),"",IF(I39=Results!I5,1+IF(OR($O39=8,$P39=8,$Q39=8),1,0),0))</f>
        <v>1</v>
      </c>
      <c r="AA39" s="4">
        <f>IF(OR(J39="",Results!J5=""),"",IF(J39=Results!J5,1+IF(OR($O39=9,$P39=9,$Q39=9),1,0),0))</f>
        <v>2</v>
      </c>
      <c r="AB39" s="4">
        <f>IF(OR(K39="",Results!K5=""),"",IF(K39=Results!K5,1+IF(OR($O39=10,$P39=10,$Q39=10),1,0),0))</f>
        <v>1</v>
      </c>
      <c r="AC39" s="4">
        <f>IF(OR(L39="",Results!L5=""),"",IF(L39=Results!L5,1+IF(OR($O39=11,$P39=11,$Q39=11),1,0),0))</f>
        <v>0</v>
      </c>
      <c r="AD39" s="4">
        <f>IF(OR(M39="",Results!M5=""),"",IF(M39=Results!M5,1+IF(OR($O39=12,$P39=12,$Q39=12),1,0),0))</f>
        <v>1</v>
      </c>
      <c r="AE39" s="4">
        <f>IF(OR(N39="",Results!N5=""),"",IF(N39=Results!N5,1+IF(OR($O39=13,$P39=13,$Q39=13),1,0),0))</f>
        <v>1</v>
      </c>
      <c r="AF39" s="11">
        <f t="shared" si="2"/>
        <v>12</v>
      </c>
      <c r="AG39" s="4">
        <f>IF(OR($R39="",Results!O5=""),"",ABS($R39-Results!O5))</f>
        <v>6</v>
      </c>
      <c r="AH39" s="12">
        <v>50</v>
      </c>
      <c r="AI39" s="13">
        <f>IF(OR(B39="",Results!B5=""),"",IF(AND(B39=Results!B5,Results!B5&lt;&gt;Games!$C$5),1,0))</f>
        <v>0</v>
      </c>
      <c r="AJ39" s="13">
        <f>IF(OR(C39="",Results!C5=""),"",IF(AND(C39=Results!C5,Results!C5&lt;&gt;Games!$C$6),1,0))</f>
        <v>1</v>
      </c>
      <c r="AK39" s="13">
        <f>IF(OR(D39="",Results!D5=""),"",IF(AND(D39=Results!D5,Results!D5&lt;&gt;Games!$C$7),1,0))</f>
        <v>0</v>
      </c>
      <c r="AL39" s="13">
        <f>IF(OR(E39="",Results!E5=""),"",IF(AND(E39=Results!E5,Results!E5&lt;&gt;Games!$C$8),1,0))</f>
        <v>0</v>
      </c>
      <c r="AM39" s="13">
        <f>IF(OR(F39="",Results!F5=""),"",IF(AND(F39=Results!F5,Results!F5&lt;&gt;Games!$C$9),1,0))</f>
        <v>0</v>
      </c>
      <c r="AN39" s="13">
        <f>IF(OR(G39="",Results!G5=""),"",IF(AND(G39=Results!G5,Results!G5&lt;&gt;Games!$C$10),1,0))</f>
        <v>0</v>
      </c>
      <c r="AO39" s="13">
        <f>IF(OR(H39="",Results!H5=""),"",IF(AND(H39=Results!H5,Results!H5&lt;&gt;Games!$C$11),1,0))</f>
        <v>0</v>
      </c>
      <c r="AP39" s="13">
        <f>IF(OR(I39="",Results!I5=""),"",IF(AND(I39=Results!I5,Results!I5&lt;&gt;Games!$C$12),1,0))</f>
        <v>0</v>
      </c>
      <c r="AQ39" s="13">
        <f>IF(OR(J39="",Results!J5=""),"",IF(AND(J39=Results!J5,Results!J5&lt;&gt;Games!$C$13),1,0))</f>
        <v>0</v>
      </c>
      <c r="AR39" s="13">
        <f>IF(OR(K39="",Results!K5=""),"",IF(AND(K39=Results!K5,Results!K5&lt;&gt;Games!$C$14),1,0))</f>
        <v>0</v>
      </c>
      <c r="AS39" s="13">
        <f>IF(OR(L39="",Results!L5=""),"",IF(AND(L39=Results!L5,Results!L5&lt;&gt;Games!$C$15),1,0))</f>
        <v>0</v>
      </c>
      <c r="AT39" s="13">
        <f>IF(OR(M39="",Results!M5=""),"",IF(AND(M39=Results!M5,Results!M5&lt;&gt;Games!$C$16),1,0))</f>
        <v>0</v>
      </c>
      <c r="AU39" s="13">
        <f>IF(OR(N39="",Results!N5=""),"",IF(AND(N39=Results!N5,Results!N5&lt;&gt;Games!$C$17),1,0))</f>
        <v>0</v>
      </c>
      <c r="AV39" s="14">
        <f t="shared" si="3"/>
        <v>1</v>
      </c>
    </row>
    <row r="40" spans="1:48" ht="15" customHeight="1" x14ac:dyDescent="0.25">
      <c r="A40" s="4" t="str">
        <f>INDEX(Players!$D$6:$D$69,MATCH(19,Players!$A$6:$A$69,0))</f>
        <v>Lauren C.</v>
      </c>
      <c r="B40" s="5" t="s">
        <v>183</v>
      </c>
      <c r="C40" s="5" t="s">
        <v>187</v>
      </c>
      <c r="D40" s="5" t="s">
        <v>191</v>
      </c>
      <c r="E40" s="5" t="s">
        <v>195</v>
      </c>
      <c r="F40" s="5" t="s">
        <v>199</v>
      </c>
      <c r="G40" s="5" t="s">
        <v>202</v>
      </c>
      <c r="H40" s="5" t="s">
        <v>206</v>
      </c>
      <c r="I40" s="5" t="s">
        <v>210</v>
      </c>
      <c r="J40" s="5" t="s">
        <v>213</v>
      </c>
      <c r="K40" s="5" t="s">
        <v>217</v>
      </c>
      <c r="L40" s="5" t="s">
        <v>220</v>
      </c>
      <c r="M40" s="5" t="s">
        <v>223</v>
      </c>
      <c r="N40" s="5" t="s">
        <v>226</v>
      </c>
      <c r="O40" s="5">
        <v>1</v>
      </c>
      <c r="P40" s="5">
        <v>3</v>
      </c>
      <c r="Q40" s="5">
        <v>8</v>
      </c>
      <c r="R40" s="5">
        <v>65</v>
      </c>
      <c r="S40" s="4">
        <f>IF(OR(B40="",Results!B5=""),"",IF(B40=Results!B5,1+IF(OR($O40=1,$P40=1,$Q40=1),1,0),0))</f>
        <v>0</v>
      </c>
      <c r="T40" s="4">
        <f>IF(OR(C40="",Results!C5=""),"",IF(C40=Results!C5,1+IF(OR($O40=2,$P40=2,$Q40=2),1,0),0))</f>
        <v>0</v>
      </c>
      <c r="U40" s="4">
        <f>IF(OR(D40="",Results!D5=""),"",IF(D40=Results!D5,1+IF(OR($O40=3,$P40=3,$Q40=3),1,0),0))</f>
        <v>2</v>
      </c>
      <c r="V40" s="4">
        <f>IF(OR(E40="",Results!E5=""),"",IF(E40=Results!E5,1+IF(OR($O40=4,$P40=4,$Q40=4),1,0),0))</f>
        <v>1</v>
      </c>
      <c r="W40" s="4">
        <f>IF(OR(F40="",Results!F5=""),"",IF(F40=Results!F5,1+IF(OR($O40=5,$P40=5,$Q40=5),1,0),0))</f>
        <v>1</v>
      </c>
      <c r="X40" s="4">
        <f>IF(OR(G40="",Results!G5=""),"",IF(G40=Results!G5,1+IF(OR($O40=6,$P40=6,$Q40=6),1,0),0))</f>
        <v>1</v>
      </c>
      <c r="Y40" s="4">
        <f>IF(OR(H40="",Results!H5=""),"",IF(H40=Results!H5,1+IF(OR($O40=7,$P40=7,$Q40=7),1,0),0))</f>
        <v>1</v>
      </c>
      <c r="Z40" s="4">
        <f>IF(OR(I40="",Results!I5=""),"",IF(I40=Results!I5,1+IF(OR($O40=8,$P40=8,$Q40=8),1,0),0))</f>
        <v>2</v>
      </c>
      <c r="AA40" s="4">
        <f>IF(OR(J40="",Results!J5=""),"",IF(J40=Results!J5,1+IF(OR($O40=9,$P40=9,$Q40=9),1,0),0))</f>
        <v>1</v>
      </c>
      <c r="AB40" s="4">
        <f>IF(OR(K40="",Results!K5=""),"",IF(K40=Results!K5,1+IF(OR($O40=10,$P40=10,$Q40=10),1,0),0))</f>
        <v>1</v>
      </c>
      <c r="AC40" s="4">
        <f>IF(OR(L40="",Results!L5=""),"",IF(L40=Results!L5,1+IF(OR($O40=11,$P40=11,$Q40=11),1,0),0))</f>
        <v>0</v>
      </c>
      <c r="AD40" s="4">
        <f>IF(OR(M40="",Results!M5=""),"",IF(M40=Results!M5,1+IF(OR($O40=12,$P40=12,$Q40=12),1,0),0))</f>
        <v>1</v>
      </c>
      <c r="AE40" s="4">
        <f>IF(OR(N40="",Results!N5=""),"",IF(N40=Results!N5,1+IF(OR($O40=13,$P40=13,$Q40=13),1,0),0))</f>
        <v>1</v>
      </c>
      <c r="AF40" s="11">
        <f t="shared" si="2"/>
        <v>12</v>
      </c>
      <c r="AG40" s="4">
        <f>IF(OR($R40="",Results!O5=""),"",ABS($R40-Results!O5))</f>
        <v>14</v>
      </c>
      <c r="AH40" s="12">
        <v>19</v>
      </c>
      <c r="AI40" s="13">
        <f>IF(OR(B40="",Results!B5=""),"",IF(AND(B40=Results!B5,Results!B5&lt;&gt;Games!$C$5),1,0))</f>
        <v>0</v>
      </c>
      <c r="AJ40" s="13">
        <f>IF(OR(C40="",Results!C5=""),"",IF(AND(C40=Results!C5,Results!C5&lt;&gt;Games!$C$6),1,0))</f>
        <v>0</v>
      </c>
      <c r="AK40" s="13">
        <f>IF(OR(D40="",Results!D5=""),"",IF(AND(D40=Results!D5,Results!D5&lt;&gt;Games!$C$7),1,0))</f>
        <v>0</v>
      </c>
      <c r="AL40" s="13">
        <f>IF(OR(E40="",Results!E5=""),"",IF(AND(E40=Results!E5,Results!E5&lt;&gt;Games!$C$8),1,0))</f>
        <v>0</v>
      </c>
      <c r="AM40" s="13">
        <f>IF(OR(F40="",Results!F5=""),"",IF(AND(F40=Results!F5,Results!F5&lt;&gt;Games!$C$9),1,0))</f>
        <v>0</v>
      </c>
      <c r="AN40" s="13">
        <f>IF(OR(G40="",Results!G5=""),"",IF(AND(G40=Results!G5,Results!G5&lt;&gt;Games!$C$10),1,0))</f>
        <v>0</v>
      </c>
      <c r="AO40" s="13">
        <f>IF(OR(H40="",Results!H5=""),"",IF(AND(H40=Results!H5,Results!H5&lt;&gt;Games!$C$11),1,0))</f>
        <v>0</v>
      </c>
      <c r="AP40" s="13">
        <f>IF(OR(I40="",Results!I5=""),"",IF(AND(I40=Results!I5,Results!I5&lt;&gt;Games!$C$12),1,0))</f>
        <v>0</v>
      </c>
      <c r="AQ40" s="13">
        <f>IF(OR(J40="",Results!J5=""),"",IF(AND(J40=Results!J5,Results!J5&lt;&gt;Games!$C$13),1,0))</f>
        <v>0</v>
      </c>
      <c r="AR40" s="13">
        <f>IF(OR(K40="",Results!K5=""),"",IF(AND(K40=Results!K5,Results!K5&lt;&gt;Games!$C$14),1,0))</f>
        <v>0</v>
      </c>
      <c r="AS40" s="13">
        <f>IF(OR(L40="",Results!L5=""),"",IF(AND(L40=Results!L5,Results!L5&lt;&gt;Games!$C$15),1,0))</f>
        <v>0</v>
      </c>
      <c r="AT40" s="13">
        <f>IF(OR(M40="",Results!M5=""),"",IF(AND(M40=Results!M5,Results!M5&lt;&gt;Games!$C$16),1,0))</f>
        <v>0</v>
      </c>
      <c r="AU40" s="13">
        <f>IF(OR(N40="",Results!N5=""),"",IF(AND(N40=Results!N5,Results!N5&lt;&gt;Games!$C$17),1,0))</f>
        <v>0</v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 t="s">
        <v>183</v>
      </c>
      <c r="C41" s="5" t="s">
        <v>187</v>
      </c>
      <c r="D41" s="5" t="s">
        <v>191</v>
      </c>
      <c r="E41" s="5" t="s">
        <v>195</v>
      </c>
      <c r="F41" s="5" t="s">
        <v>199</v>
      </c>
      <c r="G41" s="5" t="s">
        <v>202</v>
      </c>
      <c r="H41" s="5" t="s">
        <v>206</v>
      </c>
      <c r="I41" s="5" t="s">
        <v>211</v>
      </c>
      <c r="J41" s="5" t="s">
        <v>213</v>
      </c>
      <c r="K41" s="5" t="s">
        <v>218</v>
      </c>
      <c r="L41" s="5" t="s">
        <v>221</v>
      </c>
      <c r="M41" s="5" t="s">
        <v>223</v>
      </c>
      <c r="N41" s="5" t="s">
        <v>226</v>
      </c>
      <c r="O41" s="5">
        <v>3</v>
      </c>
      <c r="P41" s="5">
        <v>4</v>
      </c>
      <c r="Q41" s="5">
        <v>6</v>
      </c>
      <c r="R41" s="5">
        <v>52</v>
      </c>
      <c r="S41" s="4">
        <f>IF(OR(B41="",Results!B5=""),"",IF(B41=Results!B5,1+IF(OR($O41=1,$P41=1,$Q41=1),1,0),0))</f>
        <v>0</v>
      </c>
      <c r="T41" s="4">
        <f>IF(OR(C41="",Results!C5=""),"",IF(C41=Results!C5,1+IF(OR($O41=2,$P41=2,$Q41=2),1,0),0))</f>
        <v>0</v>
      </c>
      <c r="U41" s="4">
        <f>IF(OR(D41="",Results!D5=""),"",IF(D41=Results!D5,1+IF(OR($O41=3,$P41=3,$Q41=3),1,0),0))</f>
        <v>2</v>
      </c>
      <c r="V41" s="4">
        <f>IF(OR(E41="",Results!E5=""),"",IF(E41=Results!E5,1+IF(OR($O41=4,$P41=4,$Q41=4),1,0),0))</f>
        <v>2</v>
      </c>
      <c r="W41" s="4">
        <f>IF(OR(F41="",Results!F5=""),"",IF(F41=Results!F5,1+IF(OR($O41=5,$P41=5,$Q41=5),1,0),0))</f>
        <v>1</v>
      </c>
      <c r="X41" s="4">
        <f>IF(OR(G41="",Results!G5=""),"",IF(G41=Results!G5,1+IF(OR($O41=6,$P41=6,$Q41=6),1,0),0))</f>
        <v>2</v>
      </c>
      <c r="Y41" s="4">
        <f>IF(OR(H41="",Results!H5=""),"",IF(H41=Results!H5,1+IF(OR($O41=7,$P41=7,$Q41=7),1,0),0))</f>
        <v>1</v>
      </c>
      <c r="Z41" s="4">
        <f>IF(OR(I41="",Results!I5=""),"",IF(I41=Results!I5,1+IF(OR($O41=8,$P41=8,$Q41=8),1,0),0))</f>
        <v>0</v>
      </c>
      <c r="AA41" s="4">
        <f>IF(OR(J41="",Results!J5=""),"",IF(J41=Results!J5,1+IF(OR($O41=9,$P41=9,$Q41=9),1,0),0))</f>
        <v>1</v>
      </c>
      <c r="AB41" s="4">
        <f>IF(OR(K41="",Results!K5=""),"",IF(K41=Results!K5,1+IF(OR($O41=10,$P41=10,$Q41=10),1,0),0))</f>
        <v>0</v>
      </c>
      <c r="AC41" s="4">
        <f>IF(OR(L41="",Results!L5=""),"",IF(L41=Results!L5,1+IF(OR($O41=11,$P41=11,$Q41=11),1,0),0))</f>
        <v>1</v>
      </c>
      <c r="AD41" s="4">
        <f>IF(OR(M41="",Results!M5=""),"",IF(M41=Results!M5,1+IF(OR($O41=12,$P41=12,$Q41=12),1,0),0))</f>
        <v>1</v>
      </c>
      <c r="AE41" s="4">
        <f>IF(OR(N41="",Results!N5=""),"",IF(N41=Results!N5,1+IF(OR($O41=13,$P41=13,$Q41=13),1,0),0))</f>
        <v>1</v>
      </c>
      <c r="AF41" s="11">
        <f t="shared" si="2"/>
        <v>12</v>
      </c>
      <c r="AG41" s="4">
        <f>IF(OR($R41="",Results!O5=""),"",ABS($R41-Results!O5))</f>
        <v>1</v>
      </c>
      <c r="AH41" s="12">
        <v>20</v>
      </c>
      <c r="AI41" s="13">
        <f>IF(OR(B41="",Results!B5=""),"",IF(AND(B41=Results!B5,Results!B5&lt;&gt;Games!$C$5),1,0))</f>
        <v>0</v>
      </c>
      <c r="AJ41" s="13">
        <f>IF(OR(C41="",Results!C5=""),"",IF(AND(C41=Results!C5,Results!C5&lt;&gt;Games!$C$6),1,0))</f>
        <v>0</v>
      </c>
      <c r="AK41" s="13">
        <f>IF(OR(D41="",Results!D5=""),"",IF(AND(D41=Results!D5,Results!D5&lt;&gt;Games!$C$7),1,0))</f>
        <v>0</v>
      </c>
      <c r="AL41" s="13">
        <f>IF(OR(E41="",Results!E5=""),"",IF(AND(E41=Results!E5,Results!E5&lt;&gt;Games!$C$8),1,0))</f>
        <v>0</v>
      </c>
      <c r="AM41" s="13">
        <f>IF(OR(F41="",Results!F5=""),"",IF(AND(F41=Results!F5,Results!F5&lt;&gt;Games!$C$9),1,0))</f>
        <v>0</v>
      </c>
      <c r="AN41" s="13">
        <f>IF(OR(G41="",Results!G5=""),"",IF(AND(G41=Results!G5,Results!G5&lt;&gt;Games!$C$10),1,0))</f>
        <v>0</v>
      </c>
      <c r="AO41" s="13">
        <f>IF(OR(H41="",Results!H5=""),"",IF(AND(H41=Results!H5,Results!H5&lt;&gt;Games!$C$11),1,0))</f>
        <v>0</v>
      </c>
      <c r="AP41" s="13">
        <f>IF(OR(I41="",Results!I5=""),"",IF(AND(I41=Results!I5,Results!I5&lt;&gt;Games!$C$12),1,0))</f>
        <v>0</v>
      </c>
      <c r="AQ41" s="13">
        <f>IF(OR(J41="",Results!J5=""),"",IF(AND(J41=Results!J5,Results!J5&lt;&gt;Games!$C$13),1,0))</f>
        <v>0</v>
      </c>
      <c r="AR41" s="13">
        <f>IF(OR(K41="",Results!K5=""),"",IF(AND(K41=Results!K5,Results!K5&lt;&gt;Games!$C$14),1,0))</f>
        <v>0</v>
      </c>
      <c r="AS41" s="13">
        <f>IF(OR(L41="",Results!L5=""),"",IF(AND(L41=Results!L5,Results!L5&lt;&gt;Games!$C$15),1,0))</f>
        <v>1</v>
      </c>
      <c r="AT41" s="13">
        <f>IF(OR(M41="",Results!M5=""),"",IF(AND(M41=Results!M5,Results!M5&lt;&gt;Games!$C$16),1,0))</f>
        <v>0</v>
      </c>
      <c r="AU41" s="13">
        <f>IF(OR(N41="",Results!N5=""),"",IF(AND(N41=Results!N5,Results!N5&lt;&gt;Games!$C$17),1,0))</f>
        <v>0</v>
      </c>
      <c r="AV41" s="14">
        <f t="shared" si="3"/>
        <v>1</v>
      </c>
    </row>
    <row r="42" spans="1:48" ht="15" customHeight="1" x14ac:dyDescent="0.25">
      <c r="A42" s="4" t="str">
        <f>INDEX(Players!$D$6:$D$69,MATCH(21,Players!$A$6:$A$69,0))</f>
        <v>Lucas D.</v>
      </c>
      <c r="B42" s="5" t="s">
        <v>183</v>
      </c>
      <c r="C42" s="5" t="s">
        <v>188</v>
      </c>
      <c r="D42" s="5" t="s">
        <v>191</v>
      </c>
      <c r="E42" s="5" t="s">
        <v>195</v>
      </c>
      <c r="F42" s="5" t="s">
        <v>199</v>
      </c>
      <c r="G42" s="5" t="s">
        <v>202</v>
      </c>
      <c r="H42" s="5" t="s">
        <v>206</v>
      </c>
      <c r="I42" s="5" t="s">
        <v>210</v>
      </c>
      <c r="J42" s="5" t="s">
        <v>213</v>
      </c>
      <c r="K42" s="5" t="s">
        <v>217</v>
      </c>
      <c r="L42" s="5" t="s">
        <v>221</v>
      </c>
      <c r="M42" s="5" t="s">
        <v>223</v>
      </c>
      <c r="N42" s="5" t="s">
        <v>227</v>
      </c>
      <c r="O42" s="5">
        <v>3</v>
      </c>
      <c r="P42" s="5">
        <v>8</v>
      </c>
      <c r="Q42" s="5">
        <v>12</v>
      </c>
      <c r="R42" s="5">
        <v>72</v>
      </c>
      <c r="S42" s="4">
        <f>IF(OR(B42="",Results!B5=""),"",IF(B42=Results!B5,1+IF(OR($O42=1,$P42=1,$Q42=1),1,0),0))</f>
        <v>0</v>
      </c>
      <c r="T42" s="4">
        <f>IF(OR(C42="",Results!C5=""),"",IF(C42=Results!C5,1+IF(OR($O42=2,$P42=2,$Q42=2),1,0),0))</f>
        <v>1</v>
      </c>
      <c r="U42" s="4">
        <f>IF(OR(D42="",Results!D5=""),"",IF(D42=Results!D5,1+IF(OR($O42=3,$P42=3,$Q42=3),1,0),0))</f>
        <v>2</v>
      </c>
      <c r="V42" s="4">
        <f>IF(OR(E42="",Results!E5=""),"",IF(E42=Results!E5,1+IF(OR($O42=4,$P42=4,$Q42=4),1,0),0))</f>
        <v>1</v>
      </c>
      <c r="W42" s="4">
        <f>IF(OR(F42="",Results!F5=""),"",IF(F42=Results!F5,1+IF(OR($O42=5,$P42=5,$Q42=5),1,0),0))</f>
        <v>1</v>
      </c>
      <c r="X42" s="4">
        <f>IF(OR(G42="",Results!G5=""),"",IF(G42=Results!G5,1+IF(OR($O42=6,$P42=6,$Q42=6),1,0),0))</f>
        <v>1</v>
      </c>
      <c r="Y42" s="4">
        <f>IF(OR(H42="",Results!H5=""),"",IF(H42=Results!H5,1+IF(OR($O42=7,$P42=7,$Q42=7),1,0),0))</f>
        <v>1</v>
      </c>
      <c r="Z42" s="4">
        <f>IF(OR(I42="",Results!I5=""),"",IF(I42=Results!I5,1+IF(OR($O42=8,$P42=8,$Q42=8),1,0),0))</f>
        <v>2</v>
      </c>
      <c r="AA42" s="4">
        <f>IF(OR(J42="",Results!J5=""),"",IF(J42=Results!J5,1+IF(OR($O42=9,$P42=9,$Q42=9),1,0),0))</f>
        <v>1</v>
      </c>
      <c r="AB42" s="4">
        <f>IF(OR(K42="",Results!K5=""),"",IF(K42=Results!K5,1+IF(OR($O42=10,$P42=10,$Q42=10),1,0),0))</f>
        <v>1</v>
      </c>
      <c r="AC42" s="4">
        <f>IF(OR(L42="",Results!L5=""),"",IF(L42=Results!L5,1+IF(OR($O42=11,$P42=11,$Q42=11),1,0),0))</f>
        <v>1</v>
      </c>
      <c r="AD42" s="4">
        <f>IF(OR(M42="",Results!M5=""),"",IF(M42=Results!M5,1+IF(OR($O42=12,$P42=12,$Q42=12),1,0),0))</f>
        <v>2</v>
      </c>
      <c r="AE42" s="4">
        <f>IF(OR(N42="",Results!N5=""),"",IF(N42=Results!N5,1+IF(OR($O42=13,$P42=13,$Q42=13),1,0),0))</f>
        <v>0</v>
      </c>
      <c r="AF42" s="11">
        <f t="shared" si="2"/>
        <v>14</v>
      </c>
      <c r="AG42" s="4">
        <f>IF(OR($R42="",Results!O5=""),"",ABS($R42-Results!O5))</f>
        <v>21</v>
      </c>
      <c r="AH42" s="12">
        <v>21</v>
      </c>
      <c r="AI42" s="13">
        <f>IF(OR(B42="",Results!B5=""),"",IF(AND(B42=Results!B5,Results!B5&lt;&gt;Games!$C$5),1,0))</f>
        <v>0</v>
      </c>
      <c r="AJ42" s="13">
        <f>IF(OR(C42="",Results!C5=""),"",IF(AND(C42=Results!C5,Results!C5&lt;&gt;Games!$C$6),1,0))</f>
        <v>1</v>
      </c>
      <c r="AK42" s="13">
        <f>IF(OR(D42="",Results!D5=""),"",IF(AND(D42=Results!D5,Results!D5&lt;&gt;Games!$C$7),1,0))</f>
        <v>0</v>
      </c>
      <c r="AL42" s="13">
        <f>IF(OR(E42="",Results!E5=""),"",IF(AND(E42=Results!E5,Results!E5&lt;&gt;Games!$C$8),1,0))</f>
        <v>0</v>
      </c>
      <c r="AM42" s="13">
        <f>IF(OR(F42="",Results!F5=""),"",IF(AND(F42=Results!F5,Results!F5&lt;&gt;Games!$C$9),1,0))</f>
        <v>0</v>
      </c>
      <c r="AN42" s="13">
        <f>IF(OR(G42="",Results!G5=""),"",IF(AND(G42=Results!G5,Results!G5&lt;&gt;Games!$C$10),1,0))</f>
        <v>0</v>
      </c>
      <c r="AO42" s="13">
        <f>IF(OR(H42="",Results!H5=""),"",IF(AND(H42=Results!H5,Results!H5&lt;&gt;Games!$C$11),1,0))</f>
        <v>0</v>
      </c>
      <c r="AP42" s="13">
        <f>IF(OR(I42="",Results!I5=""),"",IF(AND(I42=Results!I5,Results!I5&lt;&gt;Games!$C$12),1,0))</f>
        <v>0</v>
      </c>
      <c r="AQ42" s="13">
        <f>IF(OR(J42="",Results!J5=""),"",IF(AND(J42=Results!J5,Results!J5&lt;&gt;Games!$C$13),1,0))</f>
        <v>0</v>
      </c>
      <c r="AR42" s="13">
        <f>IF(OR(K42="",Results!K5=""),"",IF(AND(K42=Results!K5,Results!K5&lt;&gt;Games!$C$14),1,0))</f>
        <v>0</v>
      </c>
      <c r="AS42" s="13">
        <f>IF(OR(L42="",Results!L5=""),"",IF(AND(L42=Results!L5,Results!L5&lt;&gt;Games!$C$15),1,0))</f>
        <v>1</v>
      </c>
      <c r="AT42" s="13">
        <f>IF(OR(M42="",Results!M5=""),"",IF(AND(M42=Results!M5,Results!M5&lt;&gt;Games!$C$16),1,0))</f>
        <v>0</v>
      </c>
      <c r="AU42" s="13">
        <f>IF(OR(N42="",Results!N5=""),"",IF(AND(N42=Results!N5,Results!N5&lt;&gt;Games!$C$17),1,0))</f>
        <v>0</v>
      </c>
      <c r="AV42" s="14">
        <f t="shared" si="3"/>
        <v>2</v>
      </c>
    </row>
    <row r="43" spans="1:48" ht="15" customHeight="1" x14ac:dyDescent="0.25">
      <c r="A43" s="4" t="str">
        <f>INDEX(Players!$D$6:$D$69,MATCH(22,Players!$A$6:$A$69,0))</f>
        <v>Lynn P.</v>
      </c>
      <c r="B43" s="5" t="s">
        <v>183</v>
      </c>
      <c r="C43" s="5" t="s">
        <v>187</v>
      </c>
      <c r="D43" s="5" t="s">
        <v>191</v>
      </c>
      <c r="E43" s="5" t="s">
        <v>195</v>
      </c>
      <c r="F43" s="5" t="s">
        <v>199</v>
      </c>
      <c r="G43" s="5" t="s">
        <v>202</v>
      </c>
      <c r="H43" s="5" t="s">
        <v>206</v>
      </c>
      <c r="I43" s="5" t="s">
        <v>210</v>
      </c>
      <c r="J43" s="5" t="s">
        <v>213</v>
      </c>
      <c r="K43" s="5" t="s">
        <v>217</v>
      </c>
      <c r="L43" s="5" t="s">
        <v>221</v>
      </c>
      <c r="M43" s="5" t="s">
        <v>223</v>
      </c>
      <c r="N43" s="5" t="s">
        <v>227</v>
      </c>
      <c r="O43" s="5">
        <v>3</v>
      </c>
      <c r="P43" s="5">
        <v>5</v>
      </c>
      <c r="Q43" s="5">
        <v>8</v>
      </c>
      <c r="R43" s="5">
        <v>53</v>
      </c>
      <c r="S43" s="4">
        <f>IF(OR(B43="",Results!B5=""),"",IF(B43=Results!B5,1+IF(OR($O43=1,$P43=1,$Q43=1),1,0),0))</f>
        <v>0</v>
      </c>
      <c r="T43" s="4">
        <f>IF(OR(C43="",Results!C5=""),"",IF(C43=Results!C5,1+IF(OR($O43=2,$P43=2,$Q43=2),1,0),0))</f>
        <v>0</v>
      </c>
      <c r="U43" s="4">
        <f>IF(OR(D43="",Results!D5=""),"",IF(D43=Results!D5,1+IF(OR($O43=3,$P43=3,$Q43=3),1,0),0))</f>
        <v>2</v>
      </c>
      <c r="V43" s="4">
        <f>IF(OR(E43="",Results!E5=""),"",IF(E43=Results!E5,1+IF(OR($O43=4,$P43=4,$Q43=4),1,0),0))</f>
        <v>1</v>
      </c>
      <c r="W43" s="4">
        <f>IF(OR(F43="",Results!F5=""),"",IF(F43=Results!F5,1+IF(OR($O43=5,$P43=5,$Q43=5),1,0),0))</f>
        <v>2</v>
      </c>
      <c r="X43" s="4">
        <f>IF(OR(G43="",Results!G5=""),"",IF(G43=Results!G5,1+IF(OR($O43=6,$P43=6,$Q43=6),1,0),0))</f>
        <v>1</v>
      </c>
      <c r="Y43" s="4">
        <f>IF(OR(H43="",Results!H5=""),"",IF(H43=Results!H5,1+IF(OR($O43=7,$P43=7,$Q43=7),1,0),0))</f>
        <v>1</v>
      </c>
      <c r="Z43" s="4">
        <f>IF(OR(I43="",Results!I5=""),"",IF(I43=Results!I5,1+IF(OR($O43=8,$P43=8,$Q43=8),1,0),0))</f>
        <v>2</v>
      </c>
      <c r="AA43" s="4">
        <f>IF(OR(J43="",Results!J5=""),"",IF(J43=Results!J5,1+IF(OR($O43=9,$P43=9,$Q43=9),1,0),0))</f>
        <v>1</v>
      </c>
      <c r="AB43" s="4">
        <f>IF(OR(K43="",Results!K5=""),"",IF(K43=Results!K5,1+IF(OR($O43=10,$P43=10,$Q43=10),1,0),0))</f>
        <v>1</v>
      </c>
      <c r="AC43" s="4">
        <f>IF(OR(L43="",Results!L5=""),"",IF(L43=Results!L5,1+IF(OR($O43=11,$P43=11,$Q43=11),1,0),0))</f>
        <v>1</v>
      </c>
      <c r="AD43" s="4">
        <f>IF(OR(M43="",Results!M5=""),"",IF(M43=Results!M5,1+IF(OR($O43=12,$P43=12,$Q43=12),1,0),0))</f>
        <v>1</v>
      </c>
      <c r="AE43" s="4">
        <f>IF(OR(N43="",Results!N5=""),"",IF(N43=Results!N5,1+IF(OR($O43=13,$P43=13,$Q43=13),1,0),0))</f>
        <v>0</v>
      </c>
      <c r="AF43" s="11">
        <f t="shared" si="2"/>
        <v>13</v>
      </c>
      <c r="AG43" s="4">
        <f>IF(OR($R43="",Results!O5=""),"",ABS($R43-Results!O5))</f>
        <v>2</v>
      </c>
      <c r="AH43" s="12">
        <v>22</v>
      </c>
      <c r="AI43" s="13">
        <f>IF(OR(B43="",Results!B5=""),"",IF(AND(B43=Results!B5,Results!B5&lt;&gt;Games!$C$5),1,0))</f>
        <v>0</v>
      </c>
      <c r="AJ43" s="13">
        <f>IF(OR(C43="",Results!C5=""),"",IF(AND(C43=Results!C5,Results!C5&lt;&gt;Games!$C$6),1,0))</f>
        <v>0</v>
      </c>
      <c r="AK43" s="13">
        <f>IF(OR(D43="",Results!D5=""),"",IF(AND(D43=Results!D5,Results!D5&lt;&gt;Games!$C$7),1,0))</f>
        <v>0</v>
      </c>
      <c r="AL43" s="13">
        <f>IF(OR(E43="",Results!E5=""),"",IF(AND(E43=Results!E5,Results!E5&lt;&gt;Games!$C$8),1,0))</f>
        <v>0</v>
      </c>
      <c r="AM43" s="13">
        <f>IF(OR(F43="",Results!F5=""),"",IF(AND(F43=Results!F5,Results!F5&lt;&gt;Games!$C$9),1,0))</f>
        <v>0</v>
      </c>
      <c r="AN43" s="13">
        <f>IF(OR(G43="",Results!G5=""),"",IF(AND(G43=Results!G5,Results!G5&lt;&gt;Games!$C$10),1,0))</f>
        <v>0</v>
      </c>
      <c r="AO43" s="13">
        <f>IF(OR(H43="",Results!H5=""),"",IF(AND(H43=Results!H5,Results!H5&lt;&gt;Games!$C$11),1,0))</f>
        <v>0</v>
      </c>
      <c r="AP43" s="13">
        <f>IF(OR(I43="",Results!I5=""),"",IF(AND(I43=Results!I5,Results!I5&lt;&gt;Games!$C$12),1,0))</f>
        <v>0</v>
      </c>
      <c r="AQ43" s="13">
        <f>IF(OR(J43="",Results!J5=""),"",IF(AND(J43=Results!J5,Results!J5&lt;&gt;Games!$C$13),1,0))</f>
        <v>0</v>
      </c>
      <c r="AR43" s="13">
        <f>IF(OR(K43="",Results!K5=""),"",IF(AND(K43=Results!K5,Results!K5&lt;&gt;Games!$C$14),1,0))</f>
        <v>0</v>
      </c>
      <c r="AS43" s="13">
        <f>IF(OR(L43="",Results!L5=""),"",IF(AND(L43=Results!L5,Results!L5&lt;&gt;Games!$C$15),1,0))</f>
        <v>1</v>
      </c>
      <c r="AT43" s="13">
        <f>IF(OR(M43="",Results!M5=""),"",IF(AND(M43=Results!M5,Results!M5&lt;&gt;Games!$C$16),1,0))</f>
        <v>0</v>
      </c>
      <c r="AU43" s="13">
        <f>IF(OR(N43="",Results!N5=""),"",IF(AND(N43=Results!N5,Results!N5&lt;&gt;Games!$C$17),1,0))</f>
        <v>0</v>
      </c>
      <c r="AV43" s="14">
        <f t="shared" si="3"/>
        <v>1</v>
      </c>
    </row>
    <row r="44" spans="1:48" ht="15" customHeight="1" x14ac:dyDescent="0.25">
      <c r="A44" s="4" t="str">
        <f>INDEX(Players!$D$6:$D$69,MATCH(23,Players!$A$6:$A$69,0))</f>
        <v>Martin J.</v>
      </c>
      <c r="B44" s="5" t="s">
        <v>183</v>
      </c>
      <c r="C44" s="5" t="s">
        <v>188</v>
      </c>
      <c r="D44" s="5" t="s">
        <v>191</v>
      </c>
      <c r="E44" s="5" t="s">
        <v>195</v>
      </c>
      <c r="F44" s="5" t="s">
        <v>199</v>
      </c>
      <c r="G44" s="5" t="s">
        <v>202</v>
      </c>
      <c r="H44" s="5" t="s">
        <v>207</v>
      </c>
      <c r="I44" s="5" t="s">
        <v>210</v>
      </c>
      <c r="J44" s="5" t="s">
        <v>214</v>
      </c>
      <c r="K44" s="5" t="s">
        <v>217</v>
      </c>
      <c r="L44" s="5" t="s">
        <v>220</v>
      </c>
      <c r="M44" s="5" t="s">
        <v>223</v>
      </c>
      <c r="N44" s="5" t="s">
        <v>226</v>
      </c>
      <c r="O44" s="5">
        <v>6</v>
      </c>
      <c r="P44" s="5">
        <v>8</v>
      </c>
      <c r="Q44" s="5">
        <v>12</v>
      </c>
      <c r="R44" s="5">
        <v>55</v>
      </c>
      <c r="S44" s="4">
        <f>IF(OR(B44="",Results!B5=""),"",IF(B44=Results!B5,1+IF(OR($O44=1,$P44=1,$Q44=1),1,0),0))</f>
        <v>0</v>
      </c>
      <c r="T44" s="4">
        <f>IF(OR(C44="",Results!C5=""),"",IF(C44=Results!C5,1+IF(OR($O44=2,$P44=2,$Q44=2),1,0),0))</f>
        <v>1</v>
      </c>
      <c r="U44" s="4">
        <f>IF(OR(D44="",Results!D5=""),"",IF(D44=Results!D5,1+IF(OR($O44=3,$P44=3,$Q44=3),1,0),0))</f>
        <v>1</v>
      </c>
      <c r="V44" s="4">
        <f>IF(OR(E44="",Results!E5=""),"",IF(E44=Results!E5,1+IF(OR($O44=4,$P44=4,$Q44=4),1,0),0))</f>
        <v>1</v>
      </c>
      <c r="W44" s="4">
        <f>IF(OR(F44="",Results!F5=""),"",IF(F44=Results!F5,1+IF(OR($O44=5,$P44=5,$Q44=5),1,0),0))</f>
        <v>1</v>
      </c>
      <c r="X44" s="4">
        <f>IF(OR(G44="",Results!G5=""),"",IF(G44=Results!G5,1+IF(OR($O44=6,$P44=6,$Q44=6),1,0),0))</f>
        <v>2</v>
      </c>
      <c r="Y44" s="4">
        <f>IF(OR(H44="",Results!H5=""),"",IF(H44=Results!H5,1+IF(OR($O44=7,$P44=7,$Q44=7),1,0),0))</f>
        <v>0</v>
      </c>
      <c r="Z44" s="4">
        <f>IF(OR(I44="",Results!I5=""),"",IF(I44=Results!I5,1+IF(OR($O44=8,$P44=8,$Q44=8),1,0),0))</f>
        <v>2</v>
      </c>
      <c r="AA44" s="4">
        <f>IF(OR(J44="",Results!J5=""),"",IF(J44=Results!J5,1+IF(OR($O44=9,$P44=9,$Q44=9),1,0),0))</f>
        <v>0</v>
      </c>
      <c r="AB44" s="4">
        <f>IF(OR(K44="",Results!K5=""),"",IF(K44=Results!K5,1+IF(OR($O44=10,$P44=10,$Q44=10),1,0),0))</f>
        <v>1</v>
      </c>
      <c r="AC44" s="4">
        <f>IF(OR(L44="",Results!L5=""),"",IF(L44=Results!L5,1+IF(OR($O44=11,$P44=11,$Q44=11),1,0),0))</f>
        <v>0</v>
      </c>
      <c r="AD44" s="4">
        <f>IF(OR(M44="",Results!M5=""),"",IF(M44=Results!M5,1+IF(OR($O44=12,$P44=12,$Q44=12),1,0),0))</f>
        <v>2</v>
      </c>
      <c r="AE44" s="4">
        <f>IF(OR(N44="",Results!N5=""),"",IF(N44=Results!N5,1+IF(OR($O44=13,$P44=13,$Q44=13),1,0),0))</f>
        <v>1</v>
      </c>
      <c r="AF44" s="11">
        <f t="shared" si="2"/>
        <v>12</v>
      </c>
      <c r="AG44" s="4">
        <f>IF(OR($R44="",Results!O5=""),"",ABS($R44-Results!O5))</f>
        <v>4</v>
      </c>
      <c r="AH44" s="12">
        <v>23</v>
      </c>
      <c r="AI44" s="13">
        <f>IF(OR(B44="",Results!B5=""),"",IF(AND(B44=Results!B5,Results!B5&lt;&gt;Games!$C$5),1,0))</f>
        <v>0</v>
      </c>
      <c r="AJ44" s="13">
        <f>IF(OR(C44="",Results!C5=""),"",IF(AND(C44=Results!C5,Results!C5&lt;&gt;Games!$C$6),1,0))</f>
        <v>1</v>
      </c>
      <c r="AK44" s="13">
        <f>IF(OR(D44="",Results!D5=""),"",IF(AND(D44=Results!D5,Results!D5&lt;&gt;Games!$C$7),1,0))</f>
        <v>0</v>
      </c>
      <c r="AL44" s="13">
        <f>IF(OR(E44="",Results!E5=""),"",IF(AND(E44=Results!E5,Results!E5&lt;&gt;Games!$C$8),1,0))</f>
        <v>0</v>
      </c>
      <c r="AM44" s="13">
        <f>IF(OR(F44="",Results!F5=""),"",IF(AND(F44=Results!F5,Results!F5&lt;&gt;Games!$C$9),1,0))</f>
        <v>0</v>
      </c>
      <c r="AN44" s="13">
        <f>IF(OR(G44="",Results!G5=""),"",IF(AND(G44=Results!G5,Results!G5&lt;&gt;Games!$C$10),1,0))</f>
        <v>0</v>
      </c>
      <c r="AO44" s="13">
        <f>IF(OR(H44="",Results!H5=""),"",IF(AND(H44=Results!H5,Results!H5&lt;&gt;Games!$C$11),1,0))</f>
        <v>0</v>
      </c>
      <c r="AP44" s="13">
        <f>IF(OR(I44="",Results!I5=""),"",IF(AND(I44=Results!I5,Results!I5&lt;&gt;Games!$C$12),1,0))</f>
        <v>0</v>
      </c>
      <c r="AQ44" s="13">
        <f>IF(OR(J44="",Results!J5=""),"",IF(AND(J44=Results!J5,Results!J5&lt;&gt;Games!$C$13),1,0))</f>
        <v>0</v>
      </c>
      <c r="AR44" s="13">
        <f>IF(OR(K44="",Results!K5=""),"",IF(AND(K44=Results!K5,Results!K5&lt;&gt;Games!$C$14),1,0))</f>
        <v>0</v>
      </c>
      <c r="AS44" s="13">
        <f>IF(OR(L44="",Results!L5=""),"",IF(AND(L44=Results!L5,Results!L5&lt;&gt;Games!$C$15),1,0))</f>
        <v>0</v>
      </c>
      <c r="AT44" s="13">
        <f>IF(OR(M44="",Results!M5=""),"",IF(AND(M44=Results!M5,Results!M5&lt;&gt;Games!$C$16),1,0))</f>
        <v>0</v>
      </c>
      <c r="AU44" s="13">
        <f>IF(OR(N44="",Results!N5=""),"",IF(AND(N44=Results!N5,Results!N5&lt;&gt;Games!$C$17),1,0))</f>
        <v>0</v>
      </c>
      <c r="AV44" s="14">
        <f t="shared" si="3"/>
        <v>1</v>
      </c>
    </row>
    <row r="45" spans="1:48" ht="15" customHeight="1" x14ac:dyDescent="0.25">
      <c r="A45" s="4" t="str">
        <f>INDEX(Players!$D$6:$D$69,MATCH(24,Players!$A$6:$A$69,0))</f>
        <v>Matt B.</v>
      </c>
      <c r="B45" s="5" t="s">
        <v>183</v>
      </c>
      <c r="C45" s="5" t="s">
        <v>187</v>
      </c>
      <c r="D45" s="5" t="s">
        <v>191</v>
      </c>
      <c r="E45" s="5" t="s">
        <v>195</v>
      </c>
      <c r="F45" s="5" t="s">
        <v>199</v>
      </c>
      <c r="G45" s="5" t="s">
        <v>202</v>
      </c>
      <c r="H45" s="5" t="s">
        <v>206</v>
      </c>
      <c r="I45" s="5" t="s">
        <v>210</v>
      </c>
      <c r="J45" s="5" t="s">
        <v>213</v>
      </c>
      <c r="K45" s="5" t="s">
        <v>217</v>
      </c>
      <c r="L45" s="5" t="s">
        <v>221</v>
      </c>
      <c r="M45" s="5" t="s">
        <v>223</v>
      </c>
      <c r="N45" s="5" t="s">
        <v>226</v>
      </c>
      <c r="O45" s="5">
        <v>1</v>
      </c>
      <c r="P45" s="5">
        <v>6</v>
      </c>
      <c r="Q45" s="5">
        <v>13</v>
      </c>
      <c r="R45" s="5">
        <v>56</v>
      </c>
      <c r="S45" s="4">
        <f>IF(OR(B45="",Results!B5=""),"",IF(B45=Results!B5,1+IF(OR($O45=1,$P45=1,$Q45=1),1,0),0))</f>
        <v>0</v>
      </c>
      <c r="T45" s="4">
        <f>IF(OR(C45="",Results!C5=""),"",IF(C45=Results!C5,1+IF(OR($O45=2,$P45=2,$Q45=2),1,0),0))</f>
        <v>0</v>
      </c>
      <c r="U45" s="4">
        <f>IF(OR(D45="",Results!D5=""),"",IF(D45=Results!D5,1+IF(OR($O45=3,$P45=3,$Q45=3),1,0),0))</f>
        <v>1</v>
      </c>
      <c r="V45" s="4">
        <f>IF(OR(E45="",Results!E5=""),"",IF(E45=Results!E5,1+IF(OR($O45=4,$P45=4,$Q45=4),1,0),0))</f>
        <v>1</v>
      </c>
      <c r="W45" s="4">
        <f>IF(OR(F45="",Results!F5=""),"",IF(F45=Results!F5,1+IF(OR($O45=5,$P45=5,$Q45=5),1,0),0))</f>
        <v>1</v>
      </c>
      <c r="X45" s="4">
        <f>IF(OR(G45="",Results!G5=""),"",IF(G45=Results!G5,1+IF(OR($O45=6,$P45=6,$Q45=6),1,0),0))</f>
        <v>2</v>
      </c>
      <c r="Y45" s="4">
        <f>IF(OR(H45="",Results!H5=""),"",IF(H45=Results!H5,1+IF(OR($O45=7,$P45=7,$Q45=7),1,0),0))</f>
        <v>1</v>
      </c>
      <c r="Z45" s="4">
        <f>IF(OR(I45="",Results!I5=""),"",IF(I45=Results!I5,1+IF(OR($O45=8,$P45=8,$Q45=8),1,0),0))</f>
        <v>1</v>
      </c>
      <c r="AA45" s="4">
        <f>IF(OR(J45="",Results!J5=""),"",IF(J45=Results!J5,1+IF(OR($O45=9,$P45=9,$Q45=9),1,0),0))</f>
        <v>1</v>
      </c>
      <c r="AB45" s="4">
        <f>IF(OR(K45="",Results!K5=""),"",IF(K45=Results!K5,1+IF(OR($O45=10,$P45=10,$Q45=10),1,0),0))</f>
        <v>1</v>
      </c>
      <c r="AC45" s="4">
        <f>IF(OR(L45="",Results!L5=""),"",IF(L45=Results!L5,1+IF(OR($O45=11,$P45=11,$Q45=11),1,0),0))</f>
        <v>1</v>
      </c>
      <c r="AD45" s="4">
        <f>IF(OR(M45="",Results!M5=""),"",IF(M45=Results!M5,1+IF(OR($O45=12,$P45=12,$Q45=12),1,0),0))</f>
        <v>1</v>
      </c>
      <c r="AE45" s="4">
        <f>IF(OR(N45="",Results!N5=""),"",IF(N45=Results!N5,1+IF(OR($O45=13,$P45=13,$Q45=13),1,0),0))</f>
        <v>2</v>
      </c>
      <c r="AF45" s="11">
        <f t="shared" si="2"/>
        <v>13</v>
      </c>
      <c r="AG45" s="4">
        <f>IF(OR($R45="",Results!O5=""),"",ABS($R45-Results!O5))</f>
        <v>5</v>
      </c>
      <c r="AH45" s="12">
        <v>24</v>
      </c>
      <c r="AI45" s="13">
        <f>IF(OR(B45="",Results!B5=""),"",IF(AND(B45=Results!B5,Results!B5&lt;&gt;Games!$C$5),1,0))</f>
        <v>0</v>
      </c>
      <c r="AJ45" s="13">
        <f>IF(OR(C45="",Results!C5=""),"",IF(AND(C45=Results!C5,Results!C5&lt;&gt;Games!$C$6),1,0))</f>
        <v>0</v>
      </c>
      <c r="AK45" s="13">
        <f>IF(OR(D45="",Results!D5=""),"",IF(AND(D45=Results!D5,Results!D5&lt;&gt;Games!$C$7),1,0))</f>
        <v>0</v>
      </c>
      <c r="AL45" s="13">
        <f>IF(OR(E45="",Results!E5=""),"",IF(AND(E45=Results!E5,Results!E5&lt;&gt;Games!$C$8),1,0))</f>
        <v>0</v>
      </c>
      <c r="AM45" s="13">
        <f>IF(OR(F45="",Results!F5=""),"",IF(AND(F45=Results!F5,Results!F5&lt;&gt;Games!$C$9),1,0))</f>
        <v>0</v>
      </c>
      <c r="AN45" s="13">
        <f>IF(OR(G45="",Results!G5=""),"",IF(AND(G45=Results!G5,Results!G5&lt;&gt;Games!$C$10),1,0))</f>
        <v>0</v>
      </c>
      <c r="AO45" s="13">
        <f>IF(OR(H45="",Results!H5=""),"",IF(AND(H45=Results!H5,Results!H5&lt;&gt;Games!$C$11),1,0))</f>
        <v>0</v>
      </c>
      <c r="AP45" s="13">
        <f>IF(OR(I45="",Results!I5=""),"",IF(AND(I45=Results!I5,Results!I5&lt;&gt;Games!$C$12),1,0))</f>
        <v>0</v>
      </c>
      <c r="AQ45" s="13">
        <f>IF(OR(J45="",Results!J5=""),"",IF(AND(J45=Results!J5,Results!J5&lt;&gt;Games!$C$13),1,0))</f>
        <v>0</v>
      </c>
      <c r="AR45" s="13">
        <f>IF(OR(K45="",Results!K5=""),"",IF(AND(K45=Results!K5,Results!K5&lt;&gt;Games!$C$14),1,0))</f>
        <v>0</v>
      </c>
      <c r="AS45" s="13">
        <f>IF(OR(L45="",Results!L5=""),"",IF(AND(L45=Results!L5,Results!L5&lt;&gt;Games!$C$15),1,0))</f>
        <v>1</v>
      </c>
      <c r="AT45" s="13">
        <f>IF(OR(M45="",Results!M5=""),"",IF(AND(M45=Results!M5,Results!M5&lt;&gt;Games!$C$16),1,0))</f>
        <v>0</v>
      </c>
      <c r="AU45" s="13">
        <f>IF(OR(N45="",Results!N5=""),"",IF(AND(N45=Results!N5,Results!N5&lt;&gt;Games!$C$17),1,0))</f>
        <v>0</v>
      </c>
      <c r="AV45" s="14">
        <f t="shared" si="3"/>
        <v>1</v>
      </c>
    </row>
    <row r="46" spans="1:48" ht="15" customHeight="1" x14ac:dyDescent="0.25">
      <c r="A46" s="4" t="str">
        <f>INDEX(Players!$D$6:$D$69,MATCH(36,Players!$A$6:$A$69,0))</f>
        <v>Matt C.</v>
      </c>
      <c r="B46" s="5" t="s">
        <v>183</v>
      </c>
      <c r="C46" s="5" t="s">
        <v>188</v>
      </c>
      <c r="D46" s="5" t="s">
        <v>191</v>
      </c>
      <c r="E46" s="5" t="s">
        <v>195</v>
      </c>
      <c r="F46" s="5" t="s">
        <v>199</v>
      </c>
      <c r="G46" s="5" t="s">
        <v>202</v>
      </c>
      <c r="H46" s="5" t="s">
        <v>207</v>
      </c>
      <c r="I46" s="5" t="s">
        <v>210</v>
      </c>
      <c r="J46" s="5" t="s">
        <v>214</v>
      </c>
      <c r="K46" s="5" t="s">
        <v>217</v>
      </c>
      <c r="L46" s="5" t="s">
        <v>220</v>
      </c>
      <c r="M46" s="5" t="s">
        <v>223</v>
      </c>
      <c r="N46" s="5" t="s">
        <v>226</v>
      </c>
      <c r="O46" s="5">
        <v>1</v>
      </c>
      <c r="P46" s="5">
        <v>4</v>
      </c>
      <c r="Q46" s="5">
        <v>8</v>
      </c>
      <c r="R46" s="5">
        <v>56</v>
      </c>
      <c r="S46" s="4">
        <f>IF(OR(B46="",Results!B5=""),"",IF(B46=Results!B5,1+IF(OR($O46=1,$P46=1,$Q46=1),1,0),0))</f>
        <v>0</v>
      </c>
      <c r="T46" s="4">
        <f>IF(OR(C46="",Results!C5=""),"",IF(C46=Results!C5,1+IF(OR($O46=2,$P46=2,$Q46=2),1,0),0))</f>
        <v>1</v>
      </c>
      <c r="U46" s="4">
        <f>IF(OR(D46="",Results!D5=""),"",IF(D46=Results!D5,1+IF(OR($O46=3,$P46=3,$Q46=3),1,0),0))</f>
        <v>1</v>
      </c>
      <c r="V46" s="4">
        <f>IF(OR(E46="",Results!E5=""),"",IF(E46=Results!E5,1+IF(OR($O46=4,$P46=4,$Q46=4),1,0),0))</f>
        <v>2</v>
      </c>
      <c r="W46" s="4">
        <f>IF(OR(F46="",Results!F5=""),"",IF(F46=Results!F5,1+IF(OR($O46=5,$P46=5,$Q46=5),1,0),0))</f>
        <v>1</v>
      </c>
      <c r="X46" s="4">
        <f>IF(OR(G46="",Results!G5=""),"",IF(G46=Results!G5,1+IF(OR($O46=6,$P46=6,$Q46=6),1,0),0))</f>
        <v>1</v>
      </c>
      <c r="Y46" s="4">
        <f>IF(OR(H46="",Results!H5=""),"",IF(H46=Results!H5,1+IF(OR($O46=7,$P46=7,$Q46=7),1,0),0))</f>
        <v>0</v>
      </c>
      <c r="Z46" s="4">
        <f>IF(OR(I46="",Results!I5=""),"",IF(I46=Results!I5,1+IF(OR($O46=8,$P46=8,$Q46=8),1,0),0))</f>
        <v>2</v>
      </c>
      <c r="AA46" s="4">
        <f>IF(OR(J46="",Results!J5=""),"",IF(J46=Results!J5,1+IF(OR($O46=9,$P46=9,$Q46=9),1,0),0))</f>
        <v>0</v>
      </c>
      <c r="AB46" s="4">
        <f>IF(OR(K46="",Results!K5=""),"",IF(K46=Results!K5,1+IF(OR($O46=10,$P46=10,$Q46=10),1,0),0))</f>
        <v>1</v>
      </c>
      <c r="AC46" s="4">
        <f>IF(OR(L46="",Results!L5=""),"",IF(L46=Results!L5,1+IF(OR($O46=11,$P46=11,$Q46=11),1,0),0))</f>
        <v>0</v>
      </c>
      <c r="AD46" s="4">
        <f>IF(OR(M46="",Results!M5=""),"",IF(M46=Results!M5,1+IF(OR($O46=12,$P46=12,$Q46=12),1,0),0))</f>
        <v>1</v>
      </c>
      <c r="AE46" s="4">
        <f>IF(OR(N46="",Results!N5=""),"",IF(N46=Results!N5,1+IF(OR($O46=13,$P46=13,$Q46=13),1,0),0))</f>
        <v>1</v>
      </c>
      <c r="AF46" s="11">
        <f t="shared" si="2"/>
        <v>11</v>
      </c>
      <c r="AG46" s="4">
        <f>IF(OR($R46="",Results!O5=""),"",ABS($R46-Results!O5))</f>
        <v>5</v>
      </c>
      <c r="AH46" s="12">
        <v>36</v>
      </c>
      <c r="AI46" s="13">
        <f>IF(OR(B46="",Results!B5=""),"",IF(AND(B46=Results!B5,Results!B5&lt;&gt;Games!$C$5),1,0))</f>
        <v>0</v>
      </c>
      <c r="AJ46" s="13">
        <f>IF(OR(C46="",Results!C5=""),"",IF(AND(C46=Results!C5,Results!C5&lt;&gt;Games!$C$6),1,0))</f>
        <v>1</v>
      </c>
      <c r="AK46" s="13">
        <f>IF(OR(D46="",Results!D5=""),"",IF(AND(D46=Results!D5,Results!D5&lt;&gt;Games!$C$7),1,0))</f>
        <v>0</v>
      </c>
      <c r="AL46" s="13">
        <f>IF(OR(E46="",Results!E5=""),"",IF(AND(E46=Results!E5,Results!E5&lt;&gt;Games!$C$8),1,0))</f>
        <v>0</v>
      </c>
      <c r="AM46" s="13">
        <f>IF(OR(F46="",Results!F5=""),"",IF(AND(F46=Results!F5,Results!F5&lt;&gt;Games!$C$9),1,0))</f>
        <v>0</v>
      </c>
      <c r="AN46" s="13">
        <f>IF(OR(G46="",Results!G5=""),"",IF(AND(G46=Results!G5,Results!G5&lt;&gt;Games!$C$10),1,0))</f>
        <v>0</v>
      </c>
      <c r="AO46" s="13">
        <f>IF(OR(H46="",Results!H5=""),"",IF(AND(H46=Results!H5,Results!H5&lt;&gt;Games!$C$11),1,0))</f>
        <v>0</v>
      </c>
      <c r="AP46" s="13">
        <f>IF(OR(I46="",Results!I5=""),"",IF(AND(I46=Results!I5,Results!I5&lt;&gt;Games!$C$12),1,0))</f>
        <v>0</v>
      </c>
      <c r="AQ46" s="13">
        <f>IF(OR(J46="",Results!J5=""),"",IF(AND(J46=Results!J5,Results!J5&lt;&gt;Games!$C$13),1,0))</f>
        <v>0</v>
      </c>
      <c r="AR46" s="13">
        <f>IF(OR(K46="",Results!K5=""),"",IF(AND(K46=Results!K5,Results!K5&lt;&gt;Games!$C$14),1,0))</f>
        <v>0</v>
      </c>
      <c r="AS46" s="13">
        <f>IF(OR(L46="",Results!L5=""),"",IF(AND(L46=Results!L5,Results!L5&lt;&gt;Games!$C$15),1,0))</f>
        <v>0</v>
      </c>
      <c r="AT46" s="13">
        <f>IF(OR(M46="",Results!M5=""),"",IF(AND(M46=Results!M5,Results!M5&lt;&gt;Games!$C$16),1,0))</f>
        <v>0</v>
      </c>
      <c r="AU46" s="13">
        <f>IF(OR(N46="",Results!N5=""),"",IF(AND(N46=Results!N5,Results!N5&lt;&gt;Games!$C$17),1,0))</f>
        <v>0</v>
      </c>
      <c r="AV46" s="14">
        <f t="shared" si="3"/>
        <v>1</v>
      </c>
    </row>
    <row r="47" spans="1:48" ht="15" customHeight="1" x14ac:dyDescent="0.25">
      <c r="A47" s="4" t="str">
        <f>INDEX(Players!$D$6:$D$69,MATCH(25,Players!$A$6:$A$69,0))</f>
        <v>Max R.</v>
      </c>
      <c r="B47" s="5" t="s">
        <v>183</v>
      </c>
      <c r="C47" s="5" t="s">
        <v>188</v>
      </c>
      <c r="D47" s="5" t="s">
        <v>191</v>
      </c>
      <c r="E47" s="5" t="s">
        <v>195</v>
      </c>
      <c r="F47" s="5" t="s">
        <v>199</v>
      </c>
      <c r="G47" s="5" t="s">
        <v>203</v>
      </c>
      <c r="H47" s="5" t="s">
        <v>206</v>
      </c>
      <c r="I47" s="5" t="s">
        <v>210</v>
      </c>
      <c r="J47" s="5" t="s">
        <v>213</v>
      </c>
      <c r="K47" s="5" t="s">
        <v>218</v>
      </c>
      <c r="L47" s="5" t="s">
        <v>221</v>
      </c>
      <c r="M47" s="5" t="s">
        <v>223</v>
      </c>
      <c r="N47" s="5" t="s">
        <v>227</v>
      </c>
      <c r="O47" s="5">
        <v>3</v>
      </c>
      <c r="P47" s="5">
        <v>8</v>
      </c>
      <c r="Q47" s="5">
        <v>12</v>
      </c>
      <c r="R47" s="5">
        <v>52</v>
      </c>
      <c r="S47" s="4">
        <f>IF(OR(B47="",Results!B5=""),"",IF(B47=Results!B5,1+IF(OR($O47=1,$P47=1,$Q47=1),1,0),0))</f>
        <v>0</v>
      </c>
      <c r="T47" s="4">
        <f>IF(OR(C47="",Results!C5=""),"",IF(C47=Results!C5,1+IF(OR($O47=2,$P47=2,$Q47=2),1,0),0))</f>
        <v>1</v>
      </c>
      <c r="U47" s="4">
        <f>IF(OR(D47="",Results!D5=""),"",IF(D47=Results!D5,1+IF(OR($O47=3,$P47=3,$Q47=3),1,0),0))</f>
        <v>2</v>
      </c>
      <c r="V47" s="4">
        <f>IF(OR(E47="",Results!E5=""),"",IF(E47=Results!E5,1+IF(OR($O47=4,$P47=4,$Q47=4),1,0),0))</f>
        <v>1</v>
      </c>
      <c r="W47" s="4">
        <f>IF(OR(F47="",Results!F5=""),"",IF(F47=Results!F5,1+IF(OR($O47=5,$P47=5,$Q47=5),1,0),0))</f>
        <v>1</v>
      </c>
      <c r="X47" s="4">
        <f>IF(OR(G47="",Results!G5=""),"",IF(G47=Results!G5,1+IF(OR($O47=6,$P47=6,$Q47=6),1,0),0))</f>
        <v>0</v>
      </c>
      <c r="Y47" s="4">
        <f>IF(OR(H47="",Results!H5=""),"",IF(H47=Results!H5,1+IF(OR($O47=7,$P47=7,$Q47=7),1,0),0))</f>
        <v>1</v>
      </c>
      <c r="Z47" s="4">
        <f>IF(OR(I47="",Results!I5=""),"",IF(I47=Results!I5,1+IF(OR($O47=8,$P47=8,$Q47=8),1,0),0))</f>
        <v>2</v>
      </c>
      <c r="AA47" s="4">
        <f>IF(OR(J47="",Results!J5=""),"",IF(J47=Results!J5,1+IF(OR($O47=9,$P47=9,$Q47=9),1,0),0))</f>
        <v>1</v>
      </c>
      <c r="AB47" s="4">
        <f>IF(OR(K47="",Results!K5=""),"",IF(K47=Results!K5,1+IF(OR($O47=10,$P47=10,$Q47=10),1,0),0))</f>
        <v>0</v>
      </c>
      <c r="AC47" s="4">
        <f>IF(OR(L47="",Results!L5=""),"",IF(L47=Results!L5,1+IF(OR($O47=11,$P47=11,$Q47=11),1,0),0))</f>
        <v>1</v>
      </c>
      <c r="AD47" s="4">
        <f>IF(OR(M47="",Results!M5=""),"",IF(M47=Results!M5,1+IF(OR($O47=12,$P47=12,$Q47=12),1,0),0))</f>
        <v>2</v>
      </c>
      <c r="AE47" s="4">
        <f>IF(OR(N47="",Results!N5=""),"",IF(N47=Results!N5,1+IF(OR($O47=13,$P47=13,$Q47=13),1,0),0))</f>
        <v>0</v>
      </c>
      <c r="AF47" s="11">
        <f t="shared" si="2"/>
        <v>12</v>
      </c>
      <c r="AG47" s="4">
        <f>IF(OR($R47="",Results!O5=""),"",ABS($R47-Results!O5))</f>
        <v>1</v>
      </c>
      <c r="AH47" s="12">
        <v>25</v>
      </c>
      <c r="AI47" s="13">
        <f>IF(OR(B47="",Results!B5=""),"",IF(AND(B47=Results!B5,Results!B5&lt;&gt;Games!$C$5),1,0))</f>
        <v>0</v>
      </c>
      <c r="AJ47" s="13">
        <f>IF(OR(C47="",Results!C5=""),"",IF(AND(C47=Results!C5,Results!C5&lt;&gt;Games!$C$6),1,0))</f>
        <v>1</v>
      </c>
      <c r="AK47" s="13">
        <f>IF(OR(D47="",Results!D5=""),"",IF(AND(D47=Results!D5,Results!D5&lt;&gt;Games!$C$7),1,0))</f>
        <v>0</v>
      </c>
      <c r="AL47" s="13">
        <f>IF(OR(E47="",Results!E5=""),"",IF(AND(E47=Results!E5,Results!E5&lt;&gt;Games!$C$8),1,0))</f>
        <v>0</v>
      </c>
      <c r="AM47" s="13">
        <f>IF(OR(F47="",Results!F5=""),"",IF(AND(F47=Results!F5,Results!F5&lt;&gt;Games!$C$9),1,0))</f>
        <v>0</v>
      </c>
      <c r="AN47" s="13">
        <f>IF(OR(G47="",Results!G5=""),"",IF(AND(G47=Results!G5,Results!G5&lt;&gt;Games!$C$10),1,0))</f>
        <v>0</v>
      </c>
      <c r="AO47" s="13">
        <f>IF(OR(H47="",Results!H5=""),"",IF(AND(H47=Results!H5,Results!H5&lt;&gt;Games!$C$11),1,0))</f>
        <v>0</v>
      </c>
      <c r="AP47" s="13">
        <f>IF(OR(I47="",Results!I5=""),"",IF(AND(I47=Results!I5,Results!I5&lt;&gt;Games!$C$12),1,0))</f>
        <v>0</v>
      </c>
      <c r="AQ47" s="13">
        <f>IF(OR(J47="",Results!J5=""),"",IF(AND(J47=Results!J5,Results!J5&lt;&gt;Games!$C$13),1,0))</f>
        <v>0</v>
      </c>
      <c r="AR47" s="13">
        <f>IF(OR(K47="",Results!K5=""),"",IF(AND(K47=Results!K5,Results!K5&lt;&gt;Games!$C$14),1,0))</f>
        <v>0</v>
      </c>
      <c r="AS47" s="13">
        <f>IF(OR(L47="",Results!L5=""),"",IF(AND(L47=Results!L5,Results!L5&lt;&gt;Games!$C$15),1,0))</f>
        <v>1</v>
      </c>
      <c r="AT47" s="13">
        <f>IF(OR(M47="",Results!M5=""),"",IF(AND(M47=Results!M5,Results!M5&lt;&gt;Games!$C$16),1,0))</f>
        <v>0</v>
      </c>
      <c r="AU47" s="13">
        <f>IF(OR(N47="",Results!N5=""),"",IF(AND(N47=Results!N5,Results!N5&lt;&gt;Games!$C$17),1,0))</f>
        <v>0</v>
      </c>
      <c r="AV47" s="14">
        <f t="shared" si="3"/>
        <v>2</v>
      </c>
    </row>
    <row r="48" spans="1:48" ht="15" customHeight="1" x14ac:dyDescent="0.25">
      <c r="A48" s="4" t="str">
        <f>INDEX(Players!$D$6:$D$69,MATCH(56,Players!$A$6:$A$69,0))</f>
        <v>Merritt E.</v>
      </c>
      <c r="B48" s="5" t="s">
        <v>183</v>
      </c>
      <c r="C48" s="5" t="s">
        <v>187</v>
      </c>
      <c r="D48" s="5" t="s">
        <v>191</v>
      </c>
      <c r="E48" s="5" t="s">
        <v>195</v>
      </c>
      <c r="F48" s="5" t="s">
        <v>200</v>
      </c>
      <c r="G48" s="5" t="s">
        <v>202</v>
      </c>
      <c r="H48" s="5" t="s">
        <v>206</v>
      </c>
      <c r="I48" s="5" t="s">
        <v>210</v>
      </c>
      <c r="J48" s="5" t="s">
        <v>213</v>
      </c>
      <c r="K48" s="5" t="s">
        <v>218</v>
      </c>
      <c r="L48" s="5" t="s">
        <v>220</v>
      </c>
      <c r="M48" s="5" t="s">
        <v>223</v>
      </c>
      <c r="N48" s="5" t="s">
        <v>226</v>
      </c>
      <c r="O48" s="5">
        <v>1</v>
      </c>
      <c r="P48" s="5">
        <v>8</v>
      </c>
      <c r="Q48" s="5">
        <v>12</v>
      </c>
      <c r="R48" s="5">
        <v>56</v>
      </c>
      <c r="S48" s="4">
        <f>IF(OR(B48="",Results!B5=""),"",IF(B48=Results!B5,1+IF(OR($O48=1,$P48=1,$Q48=1),1,0),0))</f>
        <v>0</v>
      </c>
      <c r="T48" s="4">
        <f>IF(OR(C48="",Results!C5=""),"",IF(C48=Results!C5,1+IF(OR($O48=2,$P48=2,$Q48=2),1,0),0))</f>
        <v>0</v>
      </c>
      <c r="U48" s="4">
        <f>IF(OR(D48="",Results!D5=""),"",IF(D48=Results!D5,1+IF(OR($O48=3,$P48=3,$Q48=3),1,0),0))</f>
        <v>1</v>
      </c>
      <c r="V48" s="4">
        <f>IF(OR(E48="",Results!E5=""),"",IF(E48=Results!E5,1+IF(OR($O48=4,$P48=4,$Q48=4),1,0),0))</f>
        <v>1</v>
      </c>
      <c r="W48" s="4">
        <f>IF(OR(F48="",Results!F5=""),"",IF(F48=Results!F5,1+IF(OR($O48=5,$P48=5,$Q48=5),1,0),0))</f>
        <v>0</v>
      </c>
      <c r="X48" s="4">
        <f>IF(OR(G48="",Results!G5=""),"",IF(G48=Results!G5,1+IF(OR($O48=6,$P48=6,$Q48=6),1,0),0))</f>
        <v>1</v>
      </c>
      <c r="Y48" s="4">
        <f>IF(OR(H48="",Results!H5=""),"",IF(H48=Results!H5,1+IF(OR($O48=7,$P48=7,$Q48=7),1,0),0))</f>
        <v>1</v>
      </c>
      <c r="Z48" s="4">
        <f>IF(OR(I48="",Results!I5=""),"",IF(I48=Results!I5,1+IF(OR($O48=8,$P48=8,$Q48=8),1,0),0))</f>
        <v>2</v>
      </c>
      <c r="AA48" s="4">
        <f>IF(OR(J48="",Results!J5=""),"",IF(J48=Results!J5,1+IF(OR($O48=9,$P48=9,$Q48=9),1,0),0))</f>
        <v>1</v>
      </c>
      <c r="AB48" s="4">
        <f>IF(OR(K48="",Results!K5=""),"",IF(K48=Results!K5,1+IF(OR($O48=10,$P48=10,$Q48=10),1,0),0))</f>
        <v>0</v>
      </c>
      <c r="AC48" s="4">
        <f>IF(OR(L48="",Results!L5=""),"",IF(L48=Results!L5,1+IF(OR($O48=11,$P48=11,$Q48=11),1,0),0))</f>
        <v>0</v>
      </c>
      <c r="AD48" s="4">
        <f>IF(OR(M48="",Results!M5=""),"",IF(M48=Results!M5,1+IF(OR($O48=12,$P48=12,$Q48=12),1,0),0))</f>
        <v>2</v>
      </c>
      <c r="AE48" s="4">
        <f>IF(OR(N48="",Results!N5=""),"",IF(N48=Results!N5,1+IF(OR($O48=13,$P48=13,$Q48=13),1,0),0))</f>
        <v>1</v>
      </c>
      <c r="AF48" s="11">
        <f t="shared" si="2"/>
        <v>10</v>
      </c>
      <c r="AG48" s="4">
        <f>IF(OR($R48="",Results!O5=""),"",ABS($R48-Results!O5))</f>
        <v>5</v>
      </c>
      <c r="AH48" s="12">
        <v>56</v>
      </c>
      <c r="AI48" s="13">
        <f>IF(OR(B48="",Results!B5=""),"",IF(AND(B48=Results!B5,Results!B5&lt;&gt;Games!$C$5),1,0))</f>
        <v>0</v>
      </c>
      <c r="AJ48" s="13">
        <f>IF(OR(C48="",Results!C5=""),"",IF(AND(C48=Results!C5,Results!C5&lt;&gt;Games!$C$6),1,0))</f>
        <v>0</v>
      </c>
      <c r="AK48" s="13">
        <f>IF(OR(D48="",Results!D5=""),"",IF(AND(D48=Results!D5,Results!D5&lt;&gt;Games!$C$7),1,0))</f>
        <v>0</v>
      </c>
      <c r="AL48" s="13">
        <f>IF(OR(E48="",Results!E5=""),"",IF(AND(E48=Results!E5,Results!E5&lt;&gt;Games!$C$8),1,0))</f>
        <v>0</v>
      </c>
      <c r="AM48" s="13">
        <f>IF(OR(F48="",Results!F5=""),"",IF(AND(F48=Results!F5,Results!F5&lt;&gt;Games!$C$9),1,0))</f>
        <v>0</v>
      </c>
      <c r="AN48" s="13">
        <f>IF(OR(G48="",Results!G5=""),"",IF(AND(G48=Results!G5,Results!G5&lt;&gt;Games!$C$10),1,0))</f>
        <v>0</v>
      </c>
      <c r="AO48" s="13">
        <f>IF(OR(H48="",Results!H5=""),"",IF(AND(H48=Results!H5,Results!H5&lt;&gt;Games!$C$11),1,0))</f>
        <v>0</v>
      </c>
      <c r="AP48" s="13">
        <f>IF(OR(I48="",Results!I5=""),"",IF(AND(I48=Results!I5,Results!I5&lt;&gt;Games!$C$12),1,0))</f>
        <v>0</v>
      </c>
      <c r="AQ48" s="13">
        <f>IF(OR(J48="",Results!J5=""),"",IF(AND(J48=Results!J5,Results!J5&lt;&gt;Games!$C$13),1,0))</f>
        <v>0</v>
      </c>
      <c r="AR48" s="13">
        <f>IF(OR(K48="",Results!K5=""),"",IF(AND(K48=Results!K5,Results!K5&lt;&gt;Games!$C$14),1,0))</f>
        <v>0</v>
      </c>
      <c r="AS48" s="13">
        <f>IF(OR(L48="",Results!L5=""),"",IF(AND(L48=Results!L5,Results!L5&lt;&gt;Games!$C$15),1,0))</f>
        <v>0</v>
      </c>
      <c r="AT48" s="13">
        <f>IF(OR(M48="",Results!M5=""),"",IF(AND(M48=Results!M5,Results!M5&lt;&gt;Games!$C$16),1,0))</f>
        <v>0</v>
      </c>
      <c r="AU48" s="13">
        <f>IF(OR(N48="",Results!N5=""),"",IF(AND(N48=Results!N5,Results!N5&lt;&gt;Games!$C$17),1,0))</f>
        <v>0</v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 t="s">
        <v>183</v>
      </c>
      <c r="C49" s="5" t="s">
        <v>188</v>
      </c>
      <c r="D49" s="5" t="s">
        <v>191</v>
      </c>
      <c r="E49" s="5" t="s">
        <v>195</v>
      </c>
      <c r="F49" s="5" t="s">
        <v>199</v>
      </c>
      <c r="G49" s="5" t="s">
        <v>202</v>
      </c>
      <c r="H49" s="5" t="s">
        <v>206</v>
      </c>
      <c r="I49" s="5" t="s">
        <v>210</v>
      </c>
      <c r="J49" s="5" t="s">
        <v>213</v>
      </c>
      <c r="K49" s="5" t="s">
        <v>217</v>
      </c>
      <c r="L49" s="5" t="s">
        <v>220</v>
      </c>
      <c r="M49" s="5" t="s">
        <v>224</v>
      </c>
      <c r="N49" s="5" t="s">
        <v>226</v>
      </c>
      <c r="O49" s="5">
        <v>1</v>
      </c>
      <c r="P49" s="5">
        <v>4</v>
      </c>
      <c r="Q49" s="5">
        <v>6</v>
      </c>
      <c r="R49" s="5">
        <v>54</v>
      </c>
      <c r="S49" s="4">
        <f>IF(OR(B49="",Results!B5=""),"",IF(B49=Results!B5,1+IF(OR($O49=1,$P49=1,$Q49=1),1,0),0))</f>
        <v>0</v>
      </c>
      <c r="T49" s="4">
        <f>IF(OR(C49="",Results!C5=""),"",IF(C49=Results!C5,1+IF(OR($O49=2,$P49=2,$Q49=2),1,0),0))</f>
        <v>1</v>
      </c>
      <c r="U49" s="4">
        <f>IF(OR(D49="",Results!D5=""),"",IF(D49=Results!D5,1+IF(OR($O49=3,$P49=3,$Q49=3),1,0),0))</f>
        <v>1</v>
      </c>
      <c r="V49" s="4">
        <f>IF(OR(E49="",Results!E5=""),"",IF(E49=Results!E5,1+IF(OR($O49=4,$P49=4,$Q49=4),1,0),0))</f>
        <v>2</v>
      </c>
      <c r="W49" s="4">
        <f>IF(OR(F49="",Results!F5=""),"",IF(F49=Results!F5,1+IF(OR($O49=5,$P49=5,$Q49=5),1,0),0))</f>
        <v>1</v>
      </c>
      <c r="X49" s="4">
        <f>IF(OR(G49="",Results!G5=""),"",IF(G49=Results!G5,1+IF(OR($O49=6,$P49=6,$Q49=6),1,0),0))</f>
        <v>2</v>
      </c>
      <c r="Y49" s="4">
        <f>IF(OR(H49="",Results!H5=""),"",IF(H49=Results!H5,1+IF(OR($O49=7,$P49=7,$Q49=7),1,0),0))</f>
        <v>1</v>
      </c>
      <c r="Z49" s="4">
        <f>IF(OR(I49="",Results!I5=""),"",IF(I49=Results!I5,1+IF(OR($O49=8,$P49=8,$Q49=8),1,0),0))</f>
        <v>1</v>
      </c>
      <c r="AA49" s="4">
        <f>IF(OR(J49="",Results!J5=""),"",IF(J49=Results!J5,1+IF(OR($O49=9,$P49=9,$Q49=9),1,0),0))</f>
        <v>1</v>
      </c>
      <c r="AB49" s="4">
        <f>IF(OR(K49="",Results!K5=""),"",IF(K49=Results!K5,1+IF(OR($O49=10,$P49=10,$Q49=10),1,0),0))</f>
        <v>1</v>
      </c>
      <c r="AC49" s="4">
        <f>IF(OR(L49="",Results!L5=""),"",IF(L49=Results!L5,1+IF(OR($O49=11,$P49=11,$Q49=11),1,0),0))</f>
        <v>0</v>
      </c>
      <c r="AD49" s="4">
        <f>IF(OR(M49="",Results!M5=""),"",IF(M49=Results!M5,1+IF(OR($O49=12,$P49=12,$Q49=12),1,0),0))</f>
        <v>0</v>
      </c>
      <c r="AE49" s="4">
        <f>IF(OR(N49="",Results!N5=""),"",IF(N49=Results!N5,1+IF(OR($O49=13,$P49=13,$Q49=13),1,0),0))</f>
        <v>1</v>
      </c>
      <c r="AF49" s="11">
        <f t="shared" si="2"/>
        <v>12</v>
      </c>
      <c r="AG49" s="4">
        <f>IF(OR($R49="",Results!O5=""),"",ABS($R49-Results!O5))</f>
        <v>3</v>
      </c>
      <c r="AH49" s="12">
        <v>34</v>
      </c>
      <c r="AI49" s="13">
        <f>IF(OR(B49="",Results!B5=""),"",IF(AND(B49=Results!B5,Results!B5&lt;&gt;Games!$C$5),1,0))</f>
        <v>0</v>
      </c>
      <c r="AJ49" s="13">
        <f>IF(OR(C49="",Results!C5=""),"",IF(AND(C49=Results!C5,Results!C5&lt;&gt;Games!$C$6),1,0))</f>
        <v>1</v>
      </c>
      <c r="AK49" s="13">
        <f>IF(OR(D49="",Results!D5=""),"",IF(AND(D49=Results!D5,Results!D5&lt;&gt;Games!$C$7),1,0))</f>
        <v>0</v>
      </c>
      <c r="AL49" s="13">
        <f>IF(OR(E49="",Results!E5=""),"",IF(AND(E49=Results!E5,Results!E5&lt;&gt;Games!$C$8),1,0))</f>
        <v>0</v>
      </c>
      <c r="AM49" s="13">
        <f>IF(OR(F49="",Results!F5=""),"",IF(AND(F49=Results!F5,Results!F5&lt;&gt;Games!$C$9),1,0))</f>
        <v>0</v>
      </c>
      <c r="AN49" s="13">
        <f>IF(OR(G49="",Results!G5=""),"",IF(AND(G49=Results!G5,Results!G5&lt;&gt;Games!$C$10),1,0))</f>
        <v>0</v>
      </c>
      <c r="AO49" s="13">
        <f>IF(OR(H49="",Results!H5=""),"",IF(AND(H49=Results!H5,Results!H5&lt;&gt;Games!$C$11),1,0))</f>
        <v>0</v>
      </c>
      <c r="AP49" s="13">
        <f>IF(OR(I49="",Results!I5=""),"",IF(AND(I49=Results!I5,Results!I5&lt;&gt;Games!$C$12),1,0))</f>
        <v>0</v>
      </c>
      <c r="AQ49" s="13">
        <f>IF(OR(J49="",Results!J5=""),"",IF(AND(J49=Results!J5,Results!J5&lt;&gt;Games!$C$13),1,0))</f>
        <v>0</v>
      </c>
      <c r="AR49" s="13">
        <f>IF(OR(K49="",Results!K5=""),"",IF(AND(K49=Results!K5,Results!K5&lt;&gt;Games!$C$14),1,0))</f>
        <v>0</v>
      </c>
      <c r="AS49" s="13">
        <f>IF(OR(L49="",Results!L5=""),"",IF(AND(L49=Results!L5,Results!L5&lt;&gt;Games!$C$15),1,0))</f>
        <v>0</v>
      </c>
      <c r="AT49" s="13">
        <f>IF(OR(M49="",Results!M5=""),"",IF(AND(M49=Results!M5,Results!M5&lt;&gt;Games!$C$16),1,0))</f>
        <v>0</v>
      </c>
      <c r="AU49" s="13">
        <f>IF(OR(N49="",Results!N5=""),"",IF(AND(N49=Results!N5,Results!N5&lt;&gt;Games!$C$17),1,0))</f>
        <v>0</v>
      </c>
      <c r="AV49" s="14">
        <f t="shared" si="3"/>
        <v>1</v>
      </c>
    </row>
    <row r="50" spans="1:48" ht="15" customHeight="1" x14ac:dyDescent="0.25">
      <c r="A50" s="4" t="str">
        <f>INDEX(Players!$D$6:$D$69,MATCH(40,Players!$A$6:$A$69,0))</f>
        <v>Mike C.</v>
      </c>
      <c r="B50" s="5" t="s">
        <v>183</v>
      </c>
      <c r="C50" s="5" t="s">
        <v>187</v>
      </c>
      <c r="D50" s="5" t="s">
        <v>191</v>
      </c>
      <c r="E50" s="5" t="s">
        <v>195</v>
      </c>
      <c r="F50" s="5" t="s">
        <v>199</v>
      </c>
      <c r="G50" s="5" t="s">
        <v>202</v>
      </c>
      <c r="H50" s="5" t="s">
        <v>206</v>
      </c>
      <c r="I50" s="5" t="s">
        <v>210</v>
      </c>
      <c r="J50" s="5" t="s">
        <v>213</v>
      </c>
      <c r="K50" s="5" t="s">
        <v>217</v>
      </c>
      <c r="L50" s="5" t="s">
        <v>221</v>
      </c>
      <c r="M50" s="5" t="s">
        <v>223</v>
      </c>
      <c r="N50" s="5" t="s">
        <v>227</v>
      </c>
      <c r="O50" s="5">
        <v>3</v>
      </c>
      <c r="P50" s="5">
        <v>5</v>
      </c>
      <c r="Q50" s="5">
        <v>6</v>
      </c>
      <c r="R50" s="5">
        <v>61</v>
      </c>
      <c r="S50" s="4">
        <f>IF(OR(B50="",Results!B5=""),"",IF(B50=Results!B5,1+IF(OR($O50=1,$P50=1,$Q50=1),1,0),0))</f>
        <v>0</v>
      </c>
      <c r="T50" s="4">
        <f>IF(OR(C50="",Results!C5=""),"",IF(C50=Results!C5,1+IF(OR($O50=2,$P50=2,$Q50=2),1,0),0))</f>
        <v>0</v>
      </c>
      <c r="U50" s="4">
        <f>IF(OR(D50="",Results!D5=""),"",IF(D50=Results!D5,1+IF(OR($O50=3,$P50=3,$Q50=3),1,0),0))</f>
        <v>2</v>
      </c>
      <c r="V50" s="4">
        <f>IF(OR(E50="",Results!E5=""),"",IF(E50=Results!E5,1+IF(OR($O50=4,$P50=4,$Q50=4),1,0),0))</f>
        <v>1</v>
      </c>
      <c r="W50" s="4">
        <f>IF(OR(F50="",Results!F5=""),"",IF(F50=Results!F5,1+IF(OR($O50=5,$P50=5,$Q50=5),1,0),0))</f>
        <v>2</v>
      </c>
      <c r="X50" s="4">
        <f>IF(OR(G50="",Results!G5=""),"",IF(G50=Results!G5,1+IF(OR($O50=6,$P50=6,$Q50=6),1,0),0))</f>
        <v>2</v>
      </c>
      <c r="Y50" s="4">
        <f>IF(OR(H50="",Results!H5=""),"",IF(H50=Results!H5,1+IF(OR($O50=7,$P50=7,$Q50=7),1,0),0))</f>
        <v>1</v>
      </c>
      <c r="Z50" s="4">
        <f>IF(OR(I50="",Results!I5=""),"",IF(I50=Results!I5,1+IF(OR($O50=8,$P50=8,$Q50=8),1,0),0))</f>
        <v>1</v>
      </c>
      <c r="AA50" s="4">
        <f>IF(OR(J50="",Results!J5=""),"",IF(J50=Results!J5,1+IF(OR($O50=9,$P50=9,$Q50=9),1,0),0))</f>
        <v>1</v>
      </c>
      <c r="AB50" s="4">
        <f>IF(OR(K50="",Results!K5=""),"",IF(K50=Results!K5,1+IF(OR($O50=10,$P50=10,$Q50=10),1,0),0))</f>
        <v>1</v>
      </c>
      <c r="AC50" s="4">
        <f>IF(OR(L50="",Results!L5=""),"",IF(L50=Results!L5,1+IF(OR($O50=11,$P50=11,$Q50=11),1,0),0))</f>
        <v>1</v>
      </c>
      <c r="AD50" s="4">
        <f>IF(OR(M50="",Results!M5=""),"",IF(M50=Results!M5,1+IF(OR($O50=12,$P50=12,$Q50=12),1,0),0))</f>
        <v>1</v>
      </c>
      <c r="AE50" s="4">
        <f>IF(OR(N50="",Results!N5=""),"",IF(N50=Results!N5,1+IF(OR($O50=13,$P50=13,$Q50=13),1,0),0))</f>
        <v>0</v>
      </c>
      <c r="AF50" s="11">
        <f t="shared" si="2"/>
        <v>13</v>
      </c>
      <c r="AG50" s="4">
        <f>IF(OR($R50="",Results!O5=""),"",ABS($R50-Results!O5))</f>
        <v>10</v>
      </c>
      <c r="AH50" s="12">
        <v>40</v>
      </c>
      <c r="AI50" s="13">
        <f>IF(OR(B50="",Results!B5=""),"",IF(AND(B50=Results!B5,Results!B5&lt;&gt;Games!$C$5),1,0))</f>
        <v>0</v>
      </c>
      <c r="AJ50" s="13">
        <f>IF(OR(C50="",Results!C5=""),"",IF(AND(C50=Results!C5,Results!C5&lt;&gt;Games!$C$6),1,0))</f>
        <v>0</v>
      </c>
      <c r="AK50" s="13">
        <f>IF(OR(D50="",Results!D5=""),"",IF(AND(D50=Results!D5,Results!D5&lt;&gt;Games!$C$7),1,0))</f>
        <v>0</v>
      </c>
      <c r="AL50" s="13">
        <f>IF(OR(E50="",Results!E5=""),"",IF(AND(E50=Results!E5,Results!E5&lt;&gt;Games!$C$8),1,0))</f>
        <v>0</v>
      </c>
      <c r="AM50" s="13">
        <f>IF(OR(F50="",Results!F5=""),"",IF(AND(F50=Results!F5,Results!F5&lt;&gt;Games!$C$9),1,0))</f>
        <v>0</v>
      </c>
      <c r="AN50" s="13">
        <f>IF(OR(G50="",Results!G5=""),"",IF(AND(G50=Results!G5,Results!G5&lt;&gt;Games!$C$10),1,0))</f>
        <v>0</v>
      </c>
      <c r="AO50" s="13">
        <f>IF(OR(H50="",Results!H5=""),"",IF(AND(H50=Results!H5,Results!H5&lt;&gt;Games!$C$11),1,0))</f>
        <v>0</v>
      </c>
      <c r="AP50" s="13">
        <f>IF(OR(I50="",Results!I5=""),"",IF(AND(I50=Results!I5,Results!I5&lt;&gt;Games!$C$12),1,0))</f>
        <v>0</v>
      </c>
      <c r="AQ50" s="13">
        <f>IF(OR(J50="",Results!J5=""),"",IF(AND(J50=Results!J5,Results!J5&lt;&gt;Games!$C$13),1,0))</f>
        <v>0</v>
      </c>
      <c r="AR50" s="13">
        <f>IF(OR(K50="",Results!K5=""),"",IF(AND(K50=Results!K5,Results!K5&lt;&gt;Games!$C$14),1,0))</f>
        <v>0</v>
      </c>
      <c r="AS50" s="13">
        <f>IF(OR(L50="",Results!L5=""),"",IF(AND(L50=Results!L5,Results!L5&lt;&gt;Games!$C$15),1,0))</f>
        <v>1</v>
      </c>
      <c r="AT50" s="13">
        <f>IF(OR(M50="",Results!M5=""),"",IF(AND(M50=Results!M5,Results!M5&lt;&gt;Games!$C$16),1,0))</f>
        <v>0</v>
      </c>
      <c r="AU50" s="13">
        <f>IF(OR(N50="",Results!N5=""),"",IF(AND(N50=Results!N5,Results!N5&lt;&gt;Games!$C$17),1,0))</f>
        <v>0</v>
      </c>
      <c r="AV50" s="14">
        <f t="shared" si="3"/>
        <v>1</v>
      </c>
    </row>
    <row r="51" spans="1:48" ht="15" customHeight="1" x14ac:dyDescent="0.25">
      <c r="A51" s="4" t="str">
        <f>INDEX(Players!$D$6:$D$69,MATCH(42,Players!$A$6:$A$69,0))</f>
        <v>Nathan P.</v>
      </c>
      <c r="B51" s="5" t="s">
        <v>183</v>
      </c>
      <c r="C51" s="5" t="s">
        <v>188</v>
      </c>
      <c r="D51" s="5" t="s">
        <v>191</v>
      </c>
      <c r="E51" s="5" t="s">
        <v>195</v>
      </c>
      <c r="F51" s="5" t="s">
        <v>199</v>
      </c>
      <c r="G51" s="5" t="s">
        <v>202</v>
      </c>
      <c r="H51" s="5" t="s">
        <v>207</v>
      </c>
      <c r="I51" s="5" t="s">
        <v>210</v>
      </c>
      <c r="J51" s="5" t="s">
        <v>213</v>
      </c>
      <c r="K51" s="5" t="s">
        <v>218</v>
      </c>
      <c r="L51" s="5" t="s">
        <v>220</v>
      </c>
      <c r="M51" s="5" t="s">
        <v>223</v>
      </c>
      <c r="N51" s="5" t="s">
        <v>226</v>
      </c>
      <c r="O51" s="5">
        <v>9</v>
      </c>
      <c r="P51" s="5">
        <v>13</v>
      </c>
      <c r="Q51" s="5">
        <v>8</v>
      </c>
      <c r="R51" s="5">
        <v>60</v>
      </c>
      <c r="S51" s="4">
        <f>IF(OR(B51="",Results!B5=""),"",IF(B51=Results!B5,1+IF(OR($O51=1,$P51=1,$Q51=1),1,0),0))</f>
        <v>0</v>
      </c>
      <c r="T51" s="4">
        <f>IF(OR(C51="",Results!C5=""),"",IF(C51=Results!C5,1+IF(OR($O51=2,$P51=2,$Q51=2),1,0),0))</f>
        <v>1</v>
      </c>
      <c r="U51" s="4">
        <f>IF(OR(D51="",Results!D5=""),"",IF(D51=Results!D5,1+IF(OR($O51=3,$P51=3,$Q51=3),1,0),0))</f>
        <v>1</v>
      </c>
      <c r="V51" s="4">
        <f>IF(OR(E51="",Results!E5=""),"",IF(E51=Results!E5,1+IF(OR($O51=4,$P51=4,$Q51=4),1,0),0))</f>
        <v>1</v>
      </c>
      <c r="W51" s="4">
        <f>IF(OR(F51="",Results!F5=""),"",IF(F51=Results!F5,1+IF(OR($O51=5,$P51=5,$Q51=5),1,0),0))</f>
        <v>1</v>
      </c>
      <c r="X51" s="4">
        <f>IF(OR(G51="",Results!G5=""),"",IF(G51=Results!G5,1+IF(OR($O51=6,$P51=6,$Q51=6),1,0),0))</f>
        <v>1</v>
      </c>
      <c r="Y51" s="4">
        <f>IF(OR(H51="",Results!H5=""),"",IF(H51=Results!H5,1+IF(OR($O51=7,$P51=7,$Q51=7),1,0),0))</f>
        <v>0</v>
      </c>
      <c r="Z51" s="4">
        <f>IF(OR(I51="",Results!I5=""),"",IF(I51=Results!I5,1+IF(OR($O51=8,$P51=8,$Q51=8),1,0),0))</f>
        <v>2</v>
      </c>
      <c r="AA51" s="4">
        <f>IF(OR(J51="",Results!J5=""),"",IF(J51=Results!J5,1+IF(OR($O51=9,$P51=9,$Q51=9),1,0),0))</f>
        <v>2</v>
      </c>
      <c r="AB51" s="4">
        <f>IF(OR(K51="",Results!K5=""),"",IF(K51=Results!K5,1+IF(OR($O51=10,$P51=10,$Q51=10),1,0),0))</f>
        <v>0</v>
      </c>
      <c r="AC51" s="4">
        <f>IF(OR(L51="",Results!L5=""),"",IF(L51=Results!L5,1+IF(OR($O51=11,$P51=11,$Q51=11),1,0),0))</f>
        <v>0</v>
      </c>
      <c r="AD51" s="4">
        <f>IF(OR(M51="",Results!M5=""),"",IF(M51=Results!M5,1+IF(OR($O51=12,$P51=12,$Q51=12),1,0),0))</f>
        <v>1</v>
      </c>
      <c r="AE51" s="4">
        <f>IF(OR(N51="",Results!N5=""),"",IF(N51=Results!N5,1+IF(OR($O51=13,$P51=13,$Q51=13),1,0),0))</f>
        <v>2</v>
      </c>
      <c r="AF51" s="11">
        <f t="shared" si="2"/>
        <v>12</v>
      </c>
      <c r="AG51" s="4">
        <f>IF(OR($R51="",Results!O5=""),"",ABS($R51-Results!O5))</f>
        <v>9</v>
      </c>
      <c r="AH51" s="12">
        <v>42</v>
      </c>
      <c r="AI51" s="13">
        <f>IF(OR(B51="",Results!B5=""),"",IF(AND(B51=Results!B5,Results!B5&lt;&gt;Games!$C$5),1,0))</f>
        <v>0</v>
      </c>
      <c r="AJ51" s="13">
        <f>IF(OR(C51="",Results!C5=""),"",IF(AND(C51=Results!C5,Results!C5&lt;&gt;Games!$C$6),1,0))</f>
        <v>1</v>
      </c>
      <c r="AK51" s="13">
        <f>IF(OR(D51="",Results!D5=""),"",IF(AND(D51=Results!D5,Results!D5&lt;&gt;Games!$C$7),1,0))</f>
        <v>0</v>
      </c>
      <c r="AL51" s="13">
        <f>IF(OR(E51="",Results!E5=""),"",IF(AND(E51=Results!E5,Results!E5&lt;&gt;Games!$C$8),1,0))</f>
        <v>0</v>
      </c>
      <c r="AM51" s="13">
        <f>IF(OR(F51="",Results!F5=""),"",IF(AND(F51=Results!F5,Results!F5&lt;&gt;Games!$C$9),1,0))</f>
        <v>0</v>
      </c>
      <c r="AN51" s="13">
        <f>IF(OR(G51="",Results!G5=""),"",IF(AND(G51=Results!G5,Results!G5&lt;&gt;Games!$C$10),1,0))</f>
        <v>0</v>
      </c>
      <c r="AO51" s="13">
        <f>IF(OR(H51="",Results!H5=""),"",IF(AND(H51=Results!H5,Results!H5&lt;&gt;Games!$C$11),1,0))</f>
        <v>0</v>
      </c>
      <c r="AP51" s="13">
        <f>IF(OR(I51="",Results!I5=""),"",IF(AND(I51=Results!I5,Results!I5&lt;&gt;Games!$C$12),1,0))</f>
        <v>0</v>
      </c>
      <c r="AQ51" s="13">
        <f>IF(OR(J51="",Results!J5=""),"",IF(AND(J51=Results!J5,Results!J5&lt;&gt;Games!$C$13),1,0))</f>
        <v>0</v>
      </c>
      <c r="AR51" s="13">
        <f>IF(OR(K51="",Results!K5=""),"",IF(AND(K51=Results!K5,Results!K5&lt;&gt;Games!$C$14),1,0))</f>
        <v>0</v>
      </c>
      <c r="AS51" s="13">
        <f>IF(OR(L51="",Results!L5=""),"",IF(AND(L51=Results!L5,Results!L5&lt;&gt;Games!$C$15),1,0))</f>
        <v>0</v>
      </c>
      <c r="AT51" s="13">
        <f>IF(OR(M51="",Results!M5=""),"",IF(AND(M51=Results!M5,Results!M5&lt;&gt;Games!$C$16),1,0))</f>
        <v>0</v>
      </c>
      <c r="AU51" s="13">
        <f>IF(OR(N51="",Results!N5=""),"",IF(AND(N51=Results!N5,Results!N5&lt;&gt;Games!$C$17),1,0))</f>
        <v>0</v>
      </c>
      <c r="AV51" s="14">
        <f t="shared" si="3"/>
        <v>1</v>
      </c>
    </row>
    <row r="52" spans="1:48" ht="15" customHeight="1" x14ac:dyDescent="0.25">
      <c r="A52" s="4" t="str">
        <f>INDEX(Players!$D$6:$D$69,MATCH(27,Players!$A$6:$A$69,0))</f>
        <v>Nick P.</v>
      </c>
      <c r="B52" s="5" t="s">
        <v>183</v>
      </c>
      <c r="C52" s="5" t="s">
        <v>188</v>
      </c>
      <c r="D52" s="5" t="s">
        <v>191</v>
      </c>
      <c r="E52" s="5" t="s">
        <v>195</v>
      </c>
      <c r="F52" s="5" t="s">
        <v>199</v>
      </c>
      <c r="G52" s="5" t="s">
        <v>202</v>
      </c>
      <c r="H52" s="5" t="s">
        <v>206</v>
      </c>
      <c r="I52" s="5" t="s">
        <v>211</v>
      </c>
      <c r="J52" s="5" t="s">
        <v>214</v>
      </c>
      <c r="K52" s="5" t="s">
        <v>218</v>
      </c>
      <c r="L52" s="5" t="s">
        <v>221</v>
      </c>
      <c r="M52" s="5" t="s">
        <v>223</v>
      </c>
      <c r="N52" s="5" t="s">
        <v>226</v>
      </c>
      <c r="O52" s="5">
        <v>5</v>
      </c>
      <c r="P52" s="5">
        <v>6</v>
      </c>
      <c r="Q52" s="5">
        <v>10</v>
      </c>
      <c r="R52" s="5">
        <v>57</v>
      </c>
      <c r="S52" s="4">
        <f>IF(OR(B52="",Results!B5=""),"",IF(B52=Results!B5,1+IF(OR($O52=1,$P52=1,$Q52=1),1,0),0))</f>
        <v>0</v>
      </c>
      <c r="T52" s="4">
        <f>IF(OR(C52="",Results!C5=""),"",IF(C52=Results!C5,1+IF(OR($O52=2,$P52=2,$Q52=2),1,0),0))</f>
        <v>1</v>
      </c>
      <c r="U52" s="4">
        <f>IF(OR(D52="",Results!D5=""),"",IF(D52=Results!D5,1+IF(OR($O52=3,$P52=3,$Q52=3),1,0),0))</f>
        <v>1</v>
      </c>
      <c r="V52" s="4">
        <f>IF(OR(E52="",Results!E5=""),"",IF(E52=Results!E5,1+IF(OR($O52=4,$P52=4,$Q52=4),1,0),0))</f>
        <v>1</v>
      </c>
      <c r="W52" s="4">
        <f>IF(OR(F52="",Results!F5=""),"",IF(F52=Results!F5,1+IF(OR($O52=5,$P52=5,$Q52=5),1,0),0))</f>
        <v>2</v>
      </c>
      <c r="X52" s="4">
        <f>IF(OR(G52="",Results!G5=""),"",IF(G52=Results!G5,1+IF(OR($O52=6,$P52=6,$Q52=6),1,0),0))</f>
        <v>2</v>
      </c>
      <c r="Y52" s="4">
        <f>IF(OR(H52="",Results!H5=""),"",IF(H52=Results!H5,1+IF(OR($O52=7,$P52=7,$Q52=7),1,0),0))</f>
        <v>1</v>
      </c>
      <c r="Z52" s="4">
        <f>IF(OR(I52="",Results!I5=""),"",IF(I52=Results!I5,1+IF(OR($O52=8,$P52=8,$Q52=8),1,0),0))</f>
        <v>0</v>
      </c>
      <c r="AA52" s="4">
        <f>IF(OR(J52="",Results!J5=""),"",IF(J52=Results!J5,1+IF(OR($O52=9,$P52=9,$Q52=9),1,0),0))</f>
        <v>0</v>
      </c>
      <c r="AB52" s="4">
        <f>IF(OR(K52="",Results!K5=""),"",IF(K52=Results!K5,1+IF(OR($O52=10,$P52=10,$Q52=10),1,0),0))</f>
        <v>0</v>
      </c>
      <c r="AC52" s="4">
        <f>IF(OR(L52="",Results!L5=""),"",IF(L52=Results!L5,1+IF(OR($O52=11,$P52=11,$Q52=11),1,0),0))</f>
        <v>1</v>
      </c>
      <c r="AD52" s="4">
        <f>IF(OR(M52="",Results!M5=""),"",IF(M52=Results!M5,1+IF(OR($O52=12,$P52=12,$Q52=12),1,0),0))</f>
        <v>1</v>
      </c>
      <c r="AE52" s="4">
        <f>IF(OR(N52="",Results!N5=""),"",IF(N52=Results!N5,1+IF(OR($O52=13,$P52=13,$Q52=13),1,0),0))</f>
        <v>1</v>
      </c>
      <c r="AF52" s="11">
        <f t="shared" si="2"/>
        <v>11</v>
      </c>
      <c r="AG52" s="4">
        <f>IF(OR($R52="",Results!O5=""),"",ABS($R52-Results!O5))</f>
        <v>6</v>
      </c>
      <c r="AH52" s="12">
        <v>27</v>
      </c>
      <c r="AI52" s="13">
        <f>IF(OR(B52="",Results!B5=""),"",IF(AND(B52=Results!B5,Results!B5&lt;&gt;Games!$C$5),1,0))</f>
        <v>0</v>
      </c>
      <c r="AJ52" s="13">
        <f>IF(OR(C52="",Results!C5=""),"",IF(AND(C52=Results!C5,Results!C5&lt;&gt;Games!$C$6),1,0))</f>
        <v>1</v>
      </c>
      <c r="AK52" s="13">
        <f>IF(OR(D52="",Results!D5=""),"",IF(AND(D52=Results!D5,Results!D5&lt;&gt;Games!$C$7),1,0))</f>
        <v>0</v>
      </c>
      <c r="AL52" s="13">
        <f>IF(OR(E52="",Results!E5=""),"",IF(AND(E52=Results!E5,Results!E5&lt;&gt;Games!$C$8),1,0))</f>
        <v>0</v>
      </c>
      <c r="AM52" s="13">
        <f>IF(OR(F52="",Results!F5=""),"",IF(AND(F52=Results!F5,Results!F5&lt;&gt;Games!$C$9),1,0))</f>
        <v>0</v>
      </c>
      <c r="AN52" s="13">
        <f>IF(OR(G52="",Results!G5=""),"",IF(AND(G52=Results!G5,Results!G5&lt;&gt;Games!$C$10),1,0))</f>
        <v>0</v>
      </c>
      <c r="AO52" s="13">
        <f>IF(OR(H52="",Results!H5=""),"",IF(AND(H52=Results!H5,Results!H5&lt;&gt;Games!$C$11),1,0))</f>
        <v>0</v>
      </c>
      <c r="AP52" s="13">
        <f>IF(OR(I52="",Results!I5=""),"",IF(AND(I52=Results!I5,Results!I5&lt;&gt;Games!$C$12),1,0))</f>
        <v>0</v>
      </c>
      <c r="AQ52" s="13">
        <f>IF(OR(J52="",Results!J5=""),"",IF(AND(J52=Results!J5,Results!J5&lt;&gt;Games!$C$13),1,0))</f>
        <v>0</v>
      </c>
      <c r="AR52" s="13">
        <f>IF(OR(K52="",Results!K5=""),"",IF(AND(K52=Results!K5,Results!K5&lt;&gt;Games!$C$14),1,0))</f>
        <v>0</v>
      </c>
      <c r="AS52" s="13">
        <f>IF(OR(L52="",Results!L5=""),"",IF(AND(L52=Results!L5,Results!L5&lt;&gt;Games!$C$15),1,0))</f>
        <v>1</v>
      </c>
      <c r="AT52" s="13">
        <f>IF(OR(M52="",Results!M5=""),"",IF(AND(M52=Results!M5,Results!M5&lt;&gt;Games!$C$16),1,0))</f>
        <v>0</v>
      </c>
      <c r="AU52" s="13">
        <f>IF(OR(N52="",Results!N5=""),"",IF(AND(N52=Results!N5,Results!N5&lt;&gt;Games!$C$17),1,0))</f>
        <v>0</v>
      </c>
      <c r="AV52" s="14">
        <f t="shared" si="3"/>
        <v>2</v>
      </c>
    </row>
    <row r="53" spans="1:48" ht="15" customHeight="1" x14ac:dyDescent="0.25">
      <c r="A53" s="4" t="str">
        <f>INDEX(Players!$D$6:$D$69,MATCH(35,Players!$A$6:$A$69,0))</f>
        <v>Oliver W.</v>
      </c>
      <c r="B53" s="5" t="s">
        <v>183</v>
      </c>
      <c r="C53" s="5" t="s">
        <v>187</v>
      </c>
      <c r="D53" s="5" t="s">
        <v>191</v>
      </c>
      <c r="E53" s="5" t="s">
        <v>195</v>
      </c>
      <c r="F53" s="5" t="s">
        <v>199</v>
      </c>
      <c r="G53" s="5" t="s">
        <v>202</v>
      </c>
      <c r="H53" s="5" t="s">
        <v>207</v>
      </c>
      <c r="I53" s="5" t="s">
        <v>210</v>
      </c>
      <c r="J53" s="5" t="s">
        <v>214</v>
      </c>
      <c r="K53" s="5" t="s">
        <v>218</v>
      </c>
      <c r="L53" s="5" t="s">
        <v>220</v>
      </c>
      <c r="M53" s="5" t="s">
        <v>223</v>
      </c>
      <c r="N53" s="5" t="s">
        <v>226</v>
      </c>
      <c r="O53" s="5">
        <v>8</v>
      </c>
      <c r="P53" s="5">
        <v>10</v>
      </c>
      <c r="Q53" s="5">
        <v>13</v>
      </c>
      <c r="R53" s="5">
        <v>52</v>
      </c>
      <c r="S53" s="4">
        <f>IF(OR(B53="",Results!B5=""),"",IF(B53=Results!B5,1+IF(OR($O53=1,$P53=1,$Q53=1),1,0),0))</f>
        <v>0</v>
      </c>
      <c r="T53" s="4">
        <f>IF(OR(C53="",Results!C5=""),"",IF(C53=Results!C5,1+IF(OR($O53=2,$P53=2,$Q53=2),1,0),0))</f>
        <v>0</v>
      </c>
      <c r="U53" s="4">
        <f>IF(OR(D53="",Results!D5=""),"",IF(D53=Results!D5,1+IF(OR($O53=3,$P53=3,$Q53=3),1,0),0))</f>
        <v>1</v>
      </c>
      <c r="V53" s="4">
        <f>IF(OR(E53="",Results!E5=""),"",IF(E53=Results!E5,1+IF(OR($O53=4,$P53=4,$Q53=4),1,0),0))</f>
        <v>1</v>
      </c>
      <c r="W53" s="4">
        <f>IF(OR(F53="",Results!F5=""),"",IF(F53=Results!F5,1+IF(OR($O53=5,$P53=5,$Q53=5),1,0),0))</f>
        <v>1</v>
      </c>
      <c r="X53" s="4">
        <f>IF(OR(G53="",Results!G5=""),"",IF(G53=Results!G5,1+IF(OR($O53=6,$P53=6,$Q53=6),1,0),0))</f>
        <v>1</v>
      </c>
      <c r="Y53" s="4">
        <f>IF(OR(H53="",Results!H5=""),"",IF(H53=Results!H5,1+IF(OR($O53=7,$P53=7,$Q53=7),1,0),0))</f>
        <v>0</v>
      </c>
      <c r="Z53" s="4">
        <f>IF(OR(I53="",Results!I5=""),"",IF(I53=Results!I5,1+IF(OR($O53=8,$P53=8,$Q53=8),1,0),0))</f>
        <v>2</v>
      </c>
      <c r="AA53" s="4">
        <f>IF(OR(J53="",Results!J5=""),"",IF(J53=Results!J5,1+IF(OR($O53=9,$P53=9,$Q53=9),1,0),0))</f>
        <v>0</v>
      </c>
      <c r="AB53" s="4">
        <f>IF(OR(K53="",Results!K5=""),"",IF(K53=Results!K5,1+IF(OR($O53=10,$P53=10,$Q53=10),1,0),0))</f>
        <v>0</v>
      </c>
      <c r="AC53" s="4">
        <f>IF(OR(L53="",Results!L5=""),"",IF(L53=Results!L5,1+IF(OR($O53=11,$P53=11,$Q53=11),1,0),0))</f>
        <v>0</v>
      </c>
      <c r="AD53" s="4">
        <f>IF(OR(M53="",Results!M5=""),"",IF(M53=Results!M5,1+IF(OR($O53=12,$P53=12,$Q53=12),1,0),0))</f>
        <v>1</v>
      </c>
      <c r="AE53" s="4">
        <f>IF(OR(N53="",Results!N5=""),"",IF(N53=Results!N5,1+IF(OR($O53=13,$P53=13,$Q53=13),1,0),0))</f>
        <v>2</v>
      </c>
      <c r="AF53" s="11">
        <f t="shared" si="2"/>
        <v>9</v>
      </c>
      <c r="AG53" s="4">
        <f>IF(OR($R53="",Results!O5=""),"",ABS($R53-Results!O5))</f>
        <v>1</v>
      </c>
      <c r="AH53" s="12">
        <v>35</v>
      </c>
      <c r="AI53" s="13">
        <f>IF(OR(B53="",Results!B5=""),"",IF(AND(B53=Results!B5,Results!B5&lt;&gt;Games!$C$5),1,0))</f>
        <v>0</v>
      </c>
      <c r="AJ53" s="13">
        <f>IF(OR(C53="",Results!C5=""),"",IF(AND(C53=Results!C5,Results!C5&lt;&gt;Games!$C$6),1,0))</f>
        <v>0</v>
      </c>
      <c r="AK53" s="13">
        <f>IF(OR(D53="",Results!D5=""),"",IF(AND(D53=Results!D5,Results!D5&lt;&gt;Games!$C$7),1,0))</f>
        <v>0</v>
      </c>
      <c r="AL53" s="13">
        <f>IF(OR(E53="",Results!E5=""),"",IF(AND(E53=Results!E5,Results!E5&lt;&gt;Games!$C$8),1,0))</f>
        <v>0</v>
      </c>
      <c r="AM53" s="13">
        <f>IF(OR(F53="",Results!F5=""),"",IF(AND(F53=Results!F5,Results!F5&lt;&gt;Games!$C$9),1,0))</f>
        <v>0</v>
      </c>
      <c r="AN53" s="13">
        <f>IF(OR(G53="",Results!G5=""),"",IF(AND(G53=Results!G5,Results!G5&lt;&gt;Games!$C$10),1,0))</f>
        <v>0</v>
      </c>
      <c r="AO53" s="13">
        <f>IF(OR(H53="",Results!H5=""),"",IF(AND(H53=Results!H5,Results!H5&lt;&gt;Games!$C$11),1,0))</f>
        <v>0</v>
      </c>
      <c r="AP53" s="13">
        <f>IF(OR(I53="",Results!I5=""),"",IF(AND(I53=Results!I5,Results!I5&lt;&gt;Games!$C$12),1,0))</f>
        <v>0</v>
      </c>
      <c r="AQ53" s="13">
        <f>IF(OR(J53="",Results!J5=""),"",IF(AND(J53=Results!J5,Results!J5&lt;&gt;Games!$C$13),1,0))</f>
        <v>0</v>
      </c>
      <c r="AR53" s="13">
        <f>IF(OR(K53="",Results!K5=""),"",IF(AND(K53=Results!K5,Results!K5&lt;&gt;Games!$C$14),1,0))</f>
        <v>0</v>
      </c>
      <c r="AS53" s="13">
        <f>IF(OR(L53="",Results!L5=""),"",IF(AND(L53=Results!L5,Results!L5&lt;&gt;Games!$C$15),1,0))</f>
        <v>0</v>
      </c>
      <c r="AT53" s="13">
        <f>IF(OR(M53="",Results!M5=""),"",IF(AND(M53=Results!M5,Results!M5&lt;&gt;Games!$C$16),1,0))</f>
        <v>0</v>
      </c>
      <c r="AU53" s="13">
        <f>IF(OR(N53="",Results!N5=""),"",IF(AND(N53=Results!N5,Results!N5&lt;&gt;Games!$C$17),1,0))</f>
        <v>0</v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 t="s">
        <v>183</v>
      </c>
      <c r="C54" s="5" t="s">
        <v>188</v>
      </c>
      <c r="D54" s="5" t="s">
        <v>192</v>
      </c>
      <c r="E54" s="5" t="s">
        <v>195</v>
      </c>
      <c r="F54" s="5" t="s">
        <v>199</v>
      </c>
      <c r="G54" s="5" t="s">
        <v>202</v>
      </c>
      <c r="H54" s="5" t="s">
        <v>207</v>
      </c>
      <c r="I54" s="5" t="s">
        <v>210</v>
      </c>
      <c r="J54" s="5" t="s">
        <v>213</v>
      </c>
      <c r="K54" s="5" t="s">
        <v>218</v>
      </c>
      <c r="L54" s="5" t="s">
        <v>221</v>
      </c>
      <c r="M54" s="5" t="s">
        <v>223</v>
      </c>
      <c r="N54" s="5" t="s">
        <v>226</v>
      </c>
      <c r="O54" s="5">
        <v>5</v>
      </c>
      <c r="P54" s="5">
        <v>7</v>
      </c>
      <c r="Q54" s="5">
        <v>8</v>
      </c>
      <c r="R54" s="5">
        <v>56</v>
      </c>
      <c r="S54" s="4">
        <f>IF(OR(B54="",Results!B5=""),"",IF(B54=Results!B5,1+IF(OR($O54=1,$P54=1,$Q54=1),1,0),0))</f>
        <v>0</v>
      </c>
      <c r="T54" s="4">
        <f>IF(OR(C54="",Results!C5=""),"",IF(C54=Results!C5,1+IF(OR($O54=2,$P54=2,$Q54=2),1,0),0))</f>
        <v>1</v>
      </c>
      <c r="U54" s="4">
        <f>IF(OR(D54="",Results!D5=""),"",IF(D54=Results!D5,1+IF(OR($O54=3,$P54=3,$Q54=3),1,0),0))</f>
        <v>0</v>
      </c>
      <c r="V54" s="4">
        <f>IF(OR(E54="",Results!E5=""),"",IF(E54=Results!E5,1+IF(OR($O54=4,$P54=4,$Q54=4),1,0),0))</f>
        <v>1</v>
      </c>
      <c r="W54" s="4">
        <f>IF(OR(F54="",Results!F5=""),"",IF(F54=Results!F5,1+IF(OR($O54=5,$P54=5,$Q54=5),1,0),0))</f>
        <v>2</v>
      </c>
      <c r="X54" s="4">
        <f>IF(OR(G54="",Results!G5=""),"",IF(G54=Results!G5,1+IF(OR($O54=6,$P54=6,$Q54=6),1,0),0))</f>
        <v>1</v>
      </c>
      <c r="Y54" s="4">
        <f>IF(OR(H54="",Results!H5=""),"",IF(H54=Results!H5,1+IF(OR($O54=7,$P54=7,$Q54=7),1,0),0))</f>
        <v>0</v>
      </c>
      <c r="Z54" s="4">
        <f>IF(OR(I54="",Results!I5=""),"",IF(I54=Results!I5,1+IF(OR($O54=8,$P54=8,$Q54=8),1,0),0))</f>
        <v>2</v>
      </c>
      <c r="AA54" s="4">
        <f>IF(OR(J54="",Results!J5=""),"",IF(J54=Results!J5,1+IF(OR($O54=9,$P54=9,$Q54=9),1,0),0))</f>
        <v>1</v>
      </c>
      <c r="AB54" s="4">
        <f>IF(OR(K54="",Results!K5=""),"",IF(K54=Results!K5,1+IF(OR($O54=10,$P54=10,$Q54=10),1,0),0))</f>
        <v>0</v>
      </c>
      <c r="AC54" s="4">
        <f>IF(OR(L54="",Results!L5=""),"",IF(L54=Results!L5,1+IF(OR($O54=11,$P54=11,$Q54=11),1,0),0))</f>
        <v>1</v>
      </c>
      <c r="AD54" s="4">
        <f>IF(OR(M54="",Results!M5=""),"",IF(M54=Results!M5,1+IF(OR($O54=12,$P54=12,$Q54=12),1,0),0))</f>
        <v>1</v>
      </c>
      <c r="AE54" s="4">
        <f>IF(OR(N54="",Results!N5=""),"",IF(N54=Results!N5,1+IF(OR($O54=13,$P54=13,$Q54=13),1,0),0))</f>
        <v>1</v>
      </c>
      <c r="AF54" s="11">
        <f t="shared" si="2"/>
        <v>11</v>
      </c>
      <c r="AG54" s="4">
        <f>IF(OR($R54="",Results!O5=""),"",ABS($R54-Results!O5))</f>
        <v>5</v>
      </c>
      <c r="AH54" s="12">
        <v>43</v>
      </c>
      <c r="AI54" s="13">
        <f>IF(OR(B54="",Results!B5=""),"",IF(AND(B54=Results!B5,Results!B5&lt;&gt;Games!$C$5),1,0))</f>
        <v>0</v>
      </c>
      <c r="AJ54" s="13">
        <f>IF(OR(C54="",Results!C5=""),"",IF(AND(C54=Results!C5,Results!C5&lt;&gt;Games!$C$6),1,0))</f>
        <v>1</v>
      </c>
      <c r="AK54" s="13">
        <f>IF(OR(D54="",Results!D5=""),"",IF(AND(D54=Results!D5,Results!D5&lt;&gt;Games!$C$7),1,0))</f>
        <v>0</v>
      </c>
      <c r="AL54" s="13">
        <f>IF(OR(E54="",Results!E5=""),"",IF(AND(E54=Results!E5,Results!E5&lt;&gt;Games!$C$8),1,0))</f>
        <v>0</v>
      </c>
      <c r="AM54" s="13">
        <f>IF(OR(F54="",Results!F5=""),"",IF(AND(F54=Results!F5,Results!F5&lt;&gt;Games!$C$9),1,0))</f>
        <v>0</v>
      </c>
      <c r="AN54" s="13">
        <f>IF(OR(G54="",Results!G5=""),"",IF(AND(G54=Results!G5,Results!G5&lt;&gt;Games!$C$10),1,0))</f>
        <v>0</v>
      </c>
      <c r="AO54" s="13">
        <f>IF(OR(H54="",Results!H5=""),"",IF(AND(H54=Results!H5,Results!H5&lt;&gt;Games!$C$11),1,0))</f>
        <v>0</v>
      </c>
      <c r="AP54" s="13">
        <f>IF(OR(I54="",Results!I5=""),"",IF(AND(I54=Results!I5,Results!I5&lt;&gt;Games!$C$12),1,0))</f>
        <v>0</v>
      </c>
      <c r="AQ54" s="13">
        <f>IF(OR(J54="",Results!J5=""),"",IF(AND(J54=Results!J5,Results!J5&lt;&gt;Games!$C$13),1,0))</f>
        <v>0</v>
      </c>
      <c r="AR54" s="13">
        <f>IF(OR(K54="",Results!K5=""),"",IF(AND(K54=Results!K5,Results!K5&lt;&gt;Games!$C$14),1,0))</f>
        <v>0</v>
      </c>
      <c r="AS54" s="13">
        <f>IF(OR(L54="",Results!L5=""),"",IF(AND(L54=Results!L5,Results!L5&lt;&gt;Games!$C$15),1,0))</f>
        <v>1</v>
      </c>
      <c r="AT54" s="13">
        <f>IF(OR(M54="",Results!M5=""),"",IF(AND(M54=Results!M5,Results!M5&lt;&gt;Games!$C$16),1,0))</f>
        <v>0</v>
      </c>
      <c r="AU54" s="13">
        <f>IF(OR(N54="",Results!N5=""),"",IF(AND(N54=Results!N5,Results!N5&lt;&gt;Games!$C$17),1,0))</f>
        <v>0</v>
      </c>
      <c r="AV54" s="14">
        <f t="shared" si="3"/>
        <v>2</v>
      </c>
    </row>
    <row r="55" spans="1:48" ht="15" customHeight="1" x14ac:dyDescent="0.25">
      <c r="A55" s="4" t="str">
        <f>INDEX(Players!$D$6:$D$69,MATCH(44,Players!$A$6:$A$69,0))</f>
        <v>Richie C.</v>
      </c>
      <c r="B55" s="5" t="s">
        <v>183</v>
      </c>
      <c r="C55" s="5" t="s">
        <v>187</v>
      </c>
      <c r="D55" s="5" t="s">
        <v>192</v>
      </c>
      <c r="E55" s="5" t="s">
        <v>196</v>
      </c>
      <c r="F55" s="5" t="s">
        <v>199</v>
      </c>
      <c r="G55" s="5" t="s">
        <v>203</v>
      </c>
      <c r="H55" s="5" t="s">
        <v>206</v>
      </c>
      <c r="I55" s="5" t="s">
        <v>210</v>
      </c>
      <c r="J55" s="5" t="s">
        <v>213</v>
      </c>
      <c r="K55" s="5" t="s">
        <v>217</v>
      </c>
      <c r="L55" s="5" t="s">
        <v>220</v>
      </c>
      <c r="M55" s="5" t="s">
        <v>223</v>
      </c>
      <c r="N55" s="5" t="s">
        <v>227</v>
      </c>
      <c r="O55" s="5">
        <v>5</v>
      </c>
      <c r="P55" s="5">
        <v>10</v>
      </c>
      <c r="Q55" s="5">
        <v>13</v>
      </c>
      <c r="R55" s="5">
        <v>46</v>
      </c>
      <c r="S55" s="4">
        <f>IF(OR(B55="",Results!B5=""),"",IF(B55=Results!B5,1+IF(OR($O55=1,$P55=1,$Q55=1),1,0),0))</f>
        <v>0</v>
      </c>
      <c r="T55" s="4">
        <f>IF(OR(C55="",Results!C5=""),"",IF(C55=Results!C5,1+IF(OR($O55=2,$P55=2,$Q55=2),1,0),0))</f>
        <v>0</v>
      </c>
      <c r="U55" s="4">
        <f>IF(OR(D55="",Results!D5=""),"",IF(D55=Results!D5,1+IF(OR($O55=3,$P55=3,$Q55=3),1,0),0))</f>
        <v>0</v>
      </c>
      <c r="V55" s="4">
        <f>IF(OR(E55="",Results!E5=""),"",IF(E55=Results!E5,1+IF(OR($O55=4,$P55=4,$Q55=4),1,0),0))</f>
        <v>0</v>
      </c>
      <c r="W55" s="4">
        <f>IF(OR(F55="",Results!F5=""),"",IF(F55=Results!F5,1+IF(OR($O55=5,$P55=5,$Q55=5),1,0),0))</f>
        <v>2</v>
      </c>
      <c r="X55" s="4">
        <f>IF(OR(G55="",Results!G5=""),"",IF(G55=Results!G5,1+IF(OR($O55=6,$P55=6,$Q55=6),1,0),0))</f>
        <v>0</v>
      </c>
      <c r="Y55" s="4">
        <f>IF(OR(H55="",Results!H5=""),"",IF(H55=Results!H5,1+IF(OR($O55=7,$P55=7,$Q55=7),1,0),0))</f>
        <v>1</v>
      </c>
      <c r="Z55" s="4">
        <f>IF(OR(I55="",Results!I5=""),"",IF(I55=Results!I5,1+IF(OR($O55=8,$P55=8,$Q55=8),1,0),0))</f>
        <v>1</v>
      </c>
      <c r="AA55" s="4">
        <f>IF(OR(J55="",Results!J5=""),"",IF(J55=Results!J5,1+IF(OR($O55=9,$P55=9,$Q55=9),1,0),0))</f>
        <v>1</v>
      </c>
      <c r="AB55" s="4">
        <f>IF(OR(K55="",Results!K5=""),"",IF(K55=Results!K5,1+IF(OR($O55=10,$P55=10,$Q55=10),1,0),0))</f>
        <v>2</v>
      </c>
      <c r="AC55" s="4">
        <f>IF(OR(L55="",Results!L5=""),"",IF(L55=Results!L5,1+IF(OR($O55=11,$P55=11,$Q55=11),1,0),0))</f>
        <v>0</v>
      </c>
      <c r="AD55" s="4">
        <f>IF(OR(M55="",Results!M5=""),"",IF(M55=Results!M5,1+IF(OR($O55=12,$P55=12,$Q55=12),1,0),0))</f>
        <v>1</v>
      </c>
      <c r="AE55" s="4">
        <f>IF(OR(N55="",Results!N5=""),"",IF(N55=Results!N5,1+IF(OR($O55=13,$P55=13,$Q55=13),1,0),0))</f>
        <v>0</v>
      </c>
      <c r="AF55" s="11">
        <f t="shared" si="2"/>
        <v>8</v>
      </c>
      <c r="AG55" s="4">
        <f>IF(OR($R55="",Results!O5=""),"",ABS($R55-Results!O5))</f>
        <v>5</v>
      </c>
      <c r="AH55" s="12">
        <v>44</v>
      </c>
      <c r="AI55" s="13">
        <f>IF(OR(B55="",Results!B5=""),"",IF(AND(B55=Results!B5,Results!B5&lt;&gt;Games!$C$5),1,0))</f>
        <v>0</v>
      </c>
      <c r="AJ55" s="13">
        <f>IF(OR(C55="",Results!C5=""),"",IF(AND(C55=Results!C5,Results!C5&lt;&gt;Games!$C$6),1,0))</f>
        <v>0</v>
      </c>
      <c r="AK55" s="13">
        <f>IF(OR(D55="",Results!D5=""),"",IF(AND(D55=Results!D5,Results!D5&lt;&gt;Games!$C$7),1,0))</f>
        <v>0</v>
      </c>
      <c r="AL55" s="13">
        <f>IF(OR(E55="",Results!E5=""),"",IF(AND(E55=Results!E5,Results!E5&lt;&gt;Games!$C$8),1,0))</f>
        <v>0</v>
      </c>
      <c r="AM55" s="13">
        <f>IF(OR(F55="",Results!F5=""),"",IF(AND(F55=Results!F5,Results!F5&lt;&gt;Games!$C$9),1,0))</f>
        <v>0</v>
      </c>
      <c r="AN55" s="13">
        <f>IF(OR(G55="",Results!G5=""),"",IF(AND(G55=Results!G5,Results!G5&lt;&gt;Games!$C$10),1,0))</f>
        <v>0</v>
      </c>
      <c r="AO55" s="13">
        <f>IF(OR(H55="",Results!H5=""),"",IF(AND(H55=Results!H5,Results!H5&lt;&gt;Games!$C$11),1,0))</f>
        <v>0</v>
      </c>
      <c r="AP55" s="13">
        <f>IF(OR(I55="",Results!I5=""),"",IF(AND(I55=Results!I5,Results!I5&lt;&gt;Games!$C$12),1,0))</f>
        <v>0</v>
      </c>
      <c r="AQ55" s="13">
        <f>IF(OR(J55="",Results!J5=""),"",IF(AND(J55=Results!J5,Results!J5&lt;&gt;Games!$C$13),1,0))</f>
        <v>0</v>
      </c>
      <c r="AR55" s="13">
        <f>IF(OR(K55="",Results!K5=""),"",IF(AND(K55=Results!K5,Results!K5&lt;&gt;Games!$C$14),1,0))</f>
        <v>0</v>
      </c>
      <c r="AS55" s="13">
        <f>IF(OR(L55="",Results!L5=""),"",IF(AND(L55=Results!L5,Results!L5&lt;&gt;Games!$C$15),1,0))</f>
        <v>0</v>
      </c>
      <c r="AT55" s="13">
        <f>IF(OR(M55="",Results!M5=""),"",IF(AND(M55=Results!M5,Results!M5&lt;&gt;Games!$C$16),1,0))</f>
        <v>0</v>
      </c>
      <c r="AU55" s="13">
        <f>IF(OR(N55="",Results!N5=""),"",IF(AND(N55=Results!N5,Results!N5&lt;&gt;Games!$C$17),1,0))</f>
        <v>0</v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 t="s">
        <v>183</v>
      </c>
      <c r="C56" s="5" t="s">
        <v>187</v>
      </c>
      <c r="D56" s="5" t="s">
        <v>192</v>
      </c>
      <c r="E56" s="5" t="s">
        <v>195</v>
      </c>
      <c r="F56" s="5" t="s">
        <v>199</v>
      </c>
      <c r="G56" s="5" t="s">
        <v>202</v>
      </c>
      <c r="H56" s="5" t="s">
        <v>207</v>
      </c>
      <c r="I56" s="5" t="s">
        <v>210</v>
      </c>
      <c r="J56" s="5" t="s">
        <v>213</v>
      </c>
      <c r="K56" s="5" t="s">
        <v>217</v>
      </c>
      <c r="L56" s="5" t="s">
        <v>221</v>
      </c>
      <c r="M56" s="5" t="s">
        <v>223</v>
      </c>
      <c r="N56" s="5" t="s">
        <v>227</v>
      </c>
      <c r="O56" s="5">
        <v>1</v>
      </c>
      <c r="P56" s="5">
        <v>8</v>
      </c>
      <c r="Q56" s="5">
        <v>12</v>
      </c>
      <c r="R56" s="5">
        <v>46</v>
      </c>
      <c r="S56" s="4">
        <f>IF(OR(B56="",Results!B5=""),"",IF(B56=Results!B5,1+IF(OR($O56=1,$P56=1,$Q56=1),1,0),0))</f>
        <v>0</v>
      </c>
      <c r="T56" s="4">
        <f>IF(OR(C56="",Results!C5=""),"",IF(C56=Results!C5,1+IF(OR($O56=2,$P56=2,$Q56=2),1,0),0))</f>
        <v>0</v>
      </c>
      <c r="U56" s="4">
        <f>IF(OR(D56="",Results!D5=""),"",IF(D56=Results!D5,1+IF(OR($O56=3,$P56=3,$Q56=3),1,0),0))</f>
        <v>0</v>
      </c>
      <c r="V56" s="4">
        <f>IF(OR(E56="",Results!E5=""),"",IF(E56=Results!E5,1+IF(OR($O56=4,$P56=4,$Q56=4),1,0),0))</f>
        <v>1</v>
      </c>
      <c r="W56" s="4">
        <f>IF(OR(F56="",Results!F5=""),"",IF(F56=Results!F5,1+IF(OR($O56=5,$P56=5,$Q56=5),1,0),0))</f>
        <v>1</v>
      </c>
      <c r="X56" s="4">
        <f>IF(OR(G56="",Results!G5=""),"",IF(G56=Results!G5,1+IF(OR($O56=6,$P56=6,$Q56=6),1,0),0))</f>
        <v>1</v>
      </c>
      <c r="Y56" s="4">
        <f>IF(OR(H56="",Results!H5=""),"",IF(H56=Results!H5,1+IF(OR($O56=7,$P56=7,$Q56=7),1,0),0))</f>
        <v>0</v>
      </c>
      <c r="Z56" s="4">
        <f>IF(OR(I56="",Results!I5=""),"",IF(I56=Results!I5,1+IF(OR($O56=8,$P56=8,$Q56=8),1,0),0))</f>
        <v>2</v>
      </c>
      <c r="AA56" s="4">
        <f>IF(OR(J56="",Results!J5=""),"",IF(J56=Results!J5,1+IF(OR($O56=9,$P56=9,$Q56=9),1,0),0))</f>
        <v>1</v>
      </c>
      <c r="AB56" s="4">
        <f>IF(OR(K56="",Results!K5=""),"",IF(K56=Results!K5,1+IF(OR($O56=10,$P56=10,$Q56=10),1,0),0))</f>
        <v>1</v>
      </c>
      <c r="AC56" s="4">
        <f>IF(OR(L56="",Results!L5=""),"",IF(L56=Results!L5,1+IF(OR($O56=11,$P56=11,$Q56=11),1,0),0))</f>
        <v>1</v>
      </c>
      <c r="AD56" s="4">
        <f>IF(OR(M56="",Results!M5=""),"",IF(M56=Results!M5,1+IF(OR($O56=12,$P56=12,$Q56=12),1,0),0))</f>
        <v>2</v>
      </c>
      <c r="AE56" s="4">
        <f>IF(OR(N56="",Results!N5=""),"",IF(N56=Results!N5,1+IF(OR($O56=13,$P56=13,$Q56=13),1,0),0))</f>
        <v>0</v>
      </c>
      <c r="AF56" s="11">
        <f t="shared" si="2"/>
        <v>10</v>
      </c>
      <c r="AG56" s="4">
        <f>IF(OR($R56="",Results!O5=""),"",ABS($R56-Results!O5))</f>
        <v>5</v>
      </c>
      <c r="AH56" s="12">
        <v>59</v>
      </c>
      <c r="AI56" s="13">
        <f>IF(OR(B56="",Results!B5=""),"",IF(AND(B56=Results!B5,Results!B5&lt;&gt;Games!$C$5),1,0))</f>
        <v>0</v>
      </c>
      <c r="AJ56" s="13">
        <f>IF(OR(C56="",Results!C5=""),"",IF(AND(C56=Results!C5,Results!C5&lt;&gt;Games!$C$6),1,0))</f>
        <v>0</v>
      </c>
      <c r="AK56" s="13">
        <f>IF(OR(D56="",Results!D5=""),"",IF(AND(D56=Results!D5,Results!D5&lt;&gt;Games!$C$7),1,0))</f>
        <v>0</v>
      </c>
      <c r="AL56" s="13">
        <f>IF(OR(E56="",Results!E5=""),"",IF(AND(E56=Results!E5,Results!E5&lt;&gt;Games!$C$8),1,0))</f>
        <v>0</v>
      </c>
      <c r="AM56" s="13">
        <f>IF(OR(F56="",Results!F5=""),"",IF(AND(F56=Results!F5,Results!F5&lt;&gt;Games!$C$9),1,0))</f>
        <v>0</v>
      </c>
      <c r="AN56" s="13">
        <f>IF(OR(G56="",Results!G5=""),"",IF(AND(G56=Results!G5,Results!G5&lt;&gt;Games!$C$10),1,0))</f>
        <v>0</v>
      </c>
      <c r="AO56" s="13">
        <f>IF(OR(H56="",Results!H5=""),"",IF(AND(H56=Results!H5,Results!H5&lt;&gt;Games!$C$11),1,0))</f>
        <v>0</v>
      </c>
      <c r="AP56" s="13">
        <f>IF(OR(I56="",Results!I5=""),"",IF(AND(I56=Results!I5,Results!I5&lt;&gt;Games!$C$12),1,0))</f>
        <v>0</v>
      </c>
      <c r="AQ56" s="13">
        <f>IF(OR(J56="",Results!J5=""),"",IF(AND(J56=Results!J5,Results!J5&lt;&gt;Games!$C$13),1,0))</f>
        <v>0</v>
      </c>
      <c r="AR56" s="13">
        <f>IF(OR(K56="",Results!K5=""),"",IF(AND(K56=Results!K5,Results!K5&lt;&gt;Games!$C$14),1,0))</f>
        <v>0</v>
      </c>
      <c r="AS56" s="13">
        <f>IF(OR(L56="",Results!L5=""),"",IF(AND(L56=Results!L5,Results!L5&lt;&gt;Games!$C$15),1,0))</f>
        <v>1</v>
      </c>
      <c r="AT56" s="13">
        <f>IF(OR(M56="",Results!M5=""),"",IF(AND(M56=Results!M5,Results!M5&lt;&gt;Games!$C$16),1,0))</f>
        <v>0</v>
      </c>
      <c r="AU56" s="13">
        <f>IF(OR(N56="",Results!N5=""),"",IF(AND(N56=Results!N5,Results!N5&lt;&gt;Games!$C$17),1,0))</f>
        <v>0</v>
      </c>
      <c r="AV56" s="14">
        <f t="shared" si="3"/>
        <v>1</v>
      </c>
    </row>
    <row r="57" spans="1:48" ht="15" customHeight="1" x14ac:dyDescent="0.25">
      <c r="A57" s="4" t="str">
        <f>INDEX(Players!$D$6:$D$69,MATCH(28,Players!$A$6:$A$69,0))</f>
        <v>Ryan C.</v>
      </c>
      <c r="B57" s="5" t="s">
        <v>183</v>
      </c>
      <c r="C57" s="5" t="s">
        <v>187</v>
      </c>
      <c r="D57" s="5" t="s">
        <v>191</v>
      </c>
      <c r="E57" s="5" t="s">
        <v>195</v>
      </c>
      <c r="F57" s="5" t="s">
        <v>199</v>
      </c>
      <c r="G57" s="5" t="s">
        <v>202</v>
      </c>
      <c r="H57" s="5" t="s">
        <v>206</v>
      </c>
      <c r="I57" s="5" t="s">
        <v>210</v>
      </c>
      <c r="J57" s="5" t="s">
        <v>213</v>
      </c>
      <c r="K57" s="5" t="s">
        <v>218</v>
      </c>
      <c r="L57" s="5" t="s">
        <v>221</v>
      </c>
      <c r="M57" s="5" t="s">
        <v>223</v>
      </c>
      <c r="N57" s="5" t="s">
        <v>226</v>
      </c>
      <c r="O57" s="5">
        <v>3</v>
      </c>
      <c r="P57" s="5">
        <v>5</v>
      </c>
      <c r="Q57" s="5">
        <v>8</v>
      </c>
      <c r="R57" s="5">
        <v>50</v>
      </c>
      <c r="S57" s="4">
        <f>IF(OR(B57="",Results!B5=""),"",IF(B57=Results!B5,1+IF(OR($O57=1,$P57=1,$Q57=1),1,0),0))</f>
        <v>0</v>
      </c>
      <c r="T57" s="4">
        <f>IF(OR(C57="",Results!C5=""),"",IF(C57=Results!C5,1+IF(OR($O57=2,$P57=2,$Q57=2),1,0),0))</f>
        <v>0</v>
      </c>
      <c r="U57" s="4">
        <f>IF(OR(D57="",Results!D5=""),"",IF(D57=Results!D5,1+IF(OR($O57=3,$P57=3,$Q57=3),1,0),0))</f>
        <v>2</v>
      </c>
      <c r="V57" s="4">
        <f>IF(OR(E57="",Results!E5=""),"",IF(E57=Results!E5,1+IF(OR($O57=4,$P57=4,$Q57=4),1,0),0))</f>
        <v>1</v>
      </c>
      <c r="W57" s="4">
        <f>IF(OR(F57="",Results!F5=""),"",IF(F57=Results!F5,1+IF(OR($O57=5,$P57=5,$Q57=5),1,0),0))</f>
        <v>2</v>
      </c>
      <c r="X57" s="4">
        <f>IF(OR(G57="",Results!G5=""),"",IF(G57=Results!G5,1+IF(OR($O57=6,$P57=6,$Q57=6),1,0),0))</f>
        <v>1</v>
      </c>
      <c r="Y57" s="4">
        <f>IF(OR(H57="",Results!H5=""),"",IF(H57=Results!H5,1+IF(OR($O57=7,$P57=7,$Q57=7),1,0),0))</f>
        <v>1</v>
      </c>
      <c r="Z57" s="4">
        <f>IF(OR(I57="",Results!I5=""),"",IF(I57=Results!I5,1+IF(OR($O57=8,$P57=8,$Q57=8),1,0),0))</f>
        <v>2</v>
      </c>
      <c r="AA57" s="4">
        <f>IF(OR(J57="",Results!J5=""),"",IF(J57=Results!J5,1+IF(OR($O57=9,$P57=9,$Q57=9),1,0),0))</f>
        <v>1</v>
      </c>
      <c r="AB57" s="4">
        <f>IF(OR(K57="",Results!K5=""),"",IF(K57=Results!K5,1+IF(OR($O57=10,$P57=10,$Q57=10),1,0),0))</f>
        <v>0</v>
      </c>
      <c r="AC57" s="4">
        <f>IF(OR(L57="",Results!L5=""),"",IF(L57=Results!L5,1+IF(OR($O57=11,$P57=11,$Q57=11),1,0),0))</f>
        <v>1</v>
      </c>
      <c r="AD57" s="4">
        <f>IF(OR(M57="",Results!M5=""),"",IF(M57=Results!M5,1+IF(OR($O57=12,$P57=12,$Q57=12),1,0),0))</f>
        <v>1</v>
      </c>
      <c r="AE57" s="4">
        <f>IF(OR(N57="",Results!N5=""),"",IF(N57=Results!N5,1+IF(OR($O57=13,$P57=13,$Q57=13),1,0),0))</f>
        <v>1</v>
      </c>
      <c r="AF57" s="11">
        <f t="shared" si="2"/>
        <v>13</v>
      </c>
      <c r="AG57" s="4">
        <f>IF(OR($R57="",Results!O5=""),"",ABS($R57-Results!O5))</f>
        <v>1</v>
      </c>
      <c r="AH57" s="12">
        <v>28</v>
      </c>
      <c r="AI57" s="13">
        <f>IF(OR(B57="",Results!B5=""),"",IF(AND(B57=Results!B5,Results!B5&lt;&gt;Games!$C$5),1,0))</f>
        <v>0</v>
      </c>
      <c r="AJ57" s="13">
        <f>IF(OR(C57="",Results!C5=""),"",IF(AND(C57=Results!C5,Results!C5&lt;&gt;Games!$C$6),1,0))</f>
        <v>0</v>
      </c>
      <c r="AK57" s="13">
        <f>IF(OR(D57="",Results!D5=""),"",IF(AND(D57=Results!D5,Results!D5&lt;&gt;Games!$C$7),1,0))</f>
        <v>0</v>
      </c>
      <c r="AL57" s="13">
        <f>IF(OR(E57="",Results!E5=""),"",IF(AND(E57=Results!E5,Results!E5&lt;&gt;Games!$C$8),1,0))</f>
        <v>0</v>
      </c>
      <c r="AM57" s="13">
        <f>IF(OR(F57="",Results!F5=""),"",IF(AND(F57=Results!F5,Results!F5&lt;&gt;Games!$C$9),1,0))</f>
        <v>0</v>
      </c>
      <c r="AN57" s="13">
        <f>IF(OR(G57="",Results!G5=""),"",IF(AND(G57=Results!G5,Results!G5&lt;&gt;Games!$C$10),1,0))</f>
        <v>0</v>
      </c>
      <c r="AO57" s="13">
        <f>IF(OR(H57="",Results!H5=""),"",IF(AND(H57=Results!H5,Results!H5&lt;&gt;Games!$C$11),1,0))</f>
        <v>0</v>
      </c>
      <c r="AP57" s="13">
        <f>IF(OR(I57="",Results!I5=""),"",IF(AND(I57=Results!I5,Results!I5&lt;&gt;Games!$C$12),1,0))</f>
        <v>0</v>
      </c>
      <c r="AQ57" s="13">
        <f>IF(OR(J57="",Results!J5=""),"",IF(AND(J57=Results!J5,Results!J5&lt;&gt;Games!$C$13),1,0))</f>
        <v>0</v>
      </c>
      <c r="AR57" s="13">
        <f>IF(OR(K57="",Results!K5=""),"",IF(AND(K57=Results!K5,Results!K5&lt;&gt;Games!$C$14),1,0))</f>
        <v>0</v>
      </c>
      <c r="AS57" s="13">
        <f>IF(OR(L57="",Results!L5=""),"",IF(AND(L57=Results!L5,Results!L5&lt;&gt;Games!$C$15),1,0))</f>
        <v>1</v>
      </c>
      <c r="AT57" s="13">
        <f>IF(OR(M57="",Results!M5=""),"",IF(AND(M57=Results!M5,Results!M5&lt;&gt;Games!$C$16),1,0))</f>
        <v>0</v>
      </c>
      <c r="AU57" s="13">
        <f>IF(OR(N57="",Results!N5=""),"",IF(AND(N57=Results!N5,Results!N5&lt;&gt;Games!$C$17),1,0))</f>
        <v>0</v>
      </c>
      <c r="AV57" s="14">
        <f t="shared" si="3"/>
        <v>1</v>
      </c>
    </row>
    <row r="58" spans="1:48" ht="15" customHeight="1" x14ac:dyDescent="0.25">
      <c r="A58" s="4" t="str">
        <f>INDEX(Players!$D$6:$D$69,MATCH(29,Players!$A$6:$A$69,0))</f>
        <v>Ryan T.</v>
      </c>
      <c r="B58" s="5" t="s">
        <v>314</v>
      </c>
      <c r="C58" s="5" t="s">
        <v>314</v>
      </c>
      <c r="D58" s="5" t="s">
        <v>191</v>
      </c>
      <c r="E58" s="5" t="s">
        <v>195</v>
      </c>
      <c r="F58" s="5" t="s">
        <v>200</v>
      </c>
      <c r="G58" s="5" t="s">
        <v>202</v>
      </c>
      <c r="H58" s="5" t="s">
        <v>206</v>
      </c>
      <c r="I58" s="5" t="s">
        <v>210</v>
      </c>
      <c r="J58" s="5" t="s">
        <v>213</v>
      </c>
      <c r="K58" s="5" t="s">
        <v>218</v>
      </c>
      <c r="L58" s="5" t="s">
        <v>220</v>
      </c>
      <c r="M58" s="5" t="s">
        <v>224</v>
      </c>
      <c r="N58" s="5" t="s">
        <v>227</v>
      </c>
      <c r="O58" s="5">
        <v>4</v>
      </c>
      <c r="P58" s="5">
        <v>12</v>
      </c>
      <c r="Q58" s="5">
        <v>8</v>
      </c>
      <c r="R58" s="5">
        <v>49</v>
      </c>
      <c r="S58" s="4">
        <f>IF(OR(B58="",Results!B5=""),"",IF(B58=Results!B5,1+IF(OR($O58=1,$P58=1,$Q58=1),1,0),0))</f>
        <v>0</v>
      </c>
      <c r="T58" s="4">
        <f>IF(OR(C58="",Results!C5=""),"",IF(C58=Results!C5,1+IF(OR($O58=2,$P58=2,$Q58=2),1,0),0))</f>
        <v>0</v>
      </c>
      <c r="U58" s="4">
        <f>IF(OR(D58="",Results!D5=""),"",IF(D58=Results!D5,1+IF(OR($O58=3,$P58=3,$Q58=3),1,0),0))</f>
        <v>1</v>
      </c>
      <c r="V58" s="4">
        <f>IF(OR(E58="",Results!E5=""),"",IF(E58=Results!E5,1+IF(OR($O58=4,$P58=4,$Q58=4),1,0),0))</f>
        <v>2</v>
      </c>
      <c r="W58" s="4">
        <f>IF(OR(F58="",Results!F5=""),"",IF(F58=Results!F5,1+IF(OR($O58=5,$P58=5,$Q58=5),1,0),0))</f>
        <v>0</v>
      </c>
      <c r="X58" s="4">
        <f>IF(OR(G58="",Results!G5=""),"",IF(G58=Results!G5,1+IF(OR($O58=6,$P58=6,$Q58=6),1,0),0))</f>
        <v>1</v>
      </c>
      <c r="Y58" s="4">
        <f>IF(OR(H58="",Results!H5=""),"",IF(H58=Results!H5,1+IF(OR($O58=7,$P58=7,$Q58=7),1,0),0))</f>
        <v>1</v>
      </c>
      <c r="Z58" s="4">
        <f>IF(OR(I58="",Results!I5=""),"",IF(I58=Results!I5,1+IF(OR($O58=8,$P58=8,$Q58=8),1,0),0))</f>
        <v>2</v>
      </c>
      <c r="AA58" s="4">
        <f>IF(OR(J58="",Results!J5=""),"",IF(J58=Results!J5,1+IF(OR($O58=9,$P58=9,$Q58=9),1,0),0))</f>
        <v>1</v>
      </c>
      <c r="AB58" s="4">
        <f>IF(OR(K58="",Results!K5=""),"",IF(K58=Results!K5,1+IF(OR($O58=10,$P58=10,$Q58=10),1,0),0))</f>
        <v>0</v>
      </c>
      <c r="AC58" s="4">
        <f>IF(OR(L58="",Results!L5=""),"",IF(L58=Results!L5,1+IF(OR($O58=11,$P58=11,$Q58=11),1,0),0))</f>
        <v>0</v>
      </c>
      <c r="AD58" s="4">
        <f>IF(OR(M58="",Results!M5=""),"",IF(M58=Results!M5,1+IF(OR($O58=12,$P58=12,$Q58=12),1,0),0))</f>
        <v>0</v>
      </c>
      <c r="AE58" s="4">
        <f>IF(OR(N58="",Results!N5=""),"",IF(N58=Results!N5,1+IF(OR($O58=13,$P58=13,$Q58=13),1,0),0))</f>
        <v>0</v>
      </c>
      <c r="AF58" s="11">
        <f t="shared" si="2"/>
        <v>8</v>
      </c>
      <c r="AG58" s="4">
        <f>IF(OR($R58="",Results!O5=""),"",ABS($R58-Results!O5))</f>
        <v>2</v>
      </c>
      <c r="AH58" s="12">
        <v>29</v>
      </c>
      <c r="AI58" s="13">
        <f>IF(OR(B58="",Results!B5=""),"",IF(AND(B58=Results!B5,Results!B5&lt;&gt;Games!$C$5),1,0))</f>
        <v>0</v>
      </c>
      <c r="AJ58" s="13">
        <f>IF(OR(C58="",Results!C5=""),"",IF(AND(C58=Results!C5,Results!C5&lt;&gt;Games!$C$6),1,0))</f>
        <v>0</v>
      </c>
      <c r="AK58" s="13">
        <f>IF(OR(D58="",Results!D5=""),"",IF(AND(D58=Results!D5,Results!D5&lt;&gt;Games!$C$7),1,0))</f>
        <v>0</v>
      </c>
      <c r="AL58" s="13">
        <f>IF(OR(E58="",Results!E5=""),"",IF(AND(E58=Results!E5,Results!E5&lt;&gt;Games!$C$8),1,0))</f>
        <v>0</v>
      </c>
      <c r="AM58" s="13">
        <f>IF(OR(F58="",Results!F5=""),"",IF(AND(F58=Results!F5,Results!F5&lt;&gt;Games!$C$9),1,0))</f>
        <v>0</v>
      </c>
      <c r="AN58" s="13">
        <f>IF(OR(G58="",Results!G5=""),"",IF(AND(G58=Results!G5,Results!G5&lt;&gt;Games!$C$10),1,0))</f>
        <v>0</v>
      </c>
      <c r="AO58" s="13">
        <f>IF(OR(H58="",Results!H5=""),"",IF(AND(H58=Results!H5,Results!H5&lt;&gt;Games!$C$11),1,0))</f>
        <v>0</v>
      </c>
      <c r="AP58" s="13">
        <f>IF(OR(I58="",Results!I5=""),"",IF(AND(I58=Results!I5,Results!I5&lt;&gt;Games!$C$12),1,0))</f>
        <v>0</v>
      </c>
      <c r="AQ58" s="13">
        <f>IF(OR(J58="",Results!J5=""),"",IF(AND(J58=Results!J5,Results!J5&lt;&gt;Games!$C$13),1,0))</f>
        <v>0</v>
      </c>
      <c r="AR58" s="13">
        <f>IF(OR(K58="",Results!K5=""),"",IF(AND(K58=Results!K5,Results!K5&lt;&gt;Games!$C$14),1,0))</f>
        <v>0</v>
      </c>
      <c r="AS58" s="13">
        <f>IF(OR(L58="",Results!L5=""),"",IF(AND(L58=Results!L5,Results!L5&lt;&gt;Games!$C$15),1,0))</f>
        <v>0</v>
      </c>
      <c r="AT58" s="13">
        <f>IF(OR(M58="",Results!M5=""),"",IF(AND(M58=Results!M5,Results!M5&lt;&gt;Games!$C$16),1,0))</f>
        <v>0</v>
      </c>
      <c r="AU58" s="13">
        <f>IF(OR(N58="",Results!N5=""),"",IF(AND(N58=Results!N5,Results!N5&lt;&gt;Games!$C$17),1,0))</f>
        <v>0</v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 t="s">
        <v>183</v>
      </c>
      <c r="C59" s="5" t="s">
        <v>187</v>
      </c>
      <c r="D59" s="5" t="s">
        <v>191</v>
      </c>
      <c r="E59" s="5" t="s">
        <v>196</v>
      </c>
      <c r="F59" s="5" t="s">
        <v>199</v>
      </c>
      <c r="G59" s="5" t="s">
        <v>203</v>
      </c>
      <c r="H59" s="5" t="s">
        <v>206</v>
      </c>
      <c r="I59" s="5" t="s">
        <v>210</v>
      </c>
      <c r="J59" s="5" t="s">
        <v>213</v>
      </c>
      <c r="K59" s="5" t="s">
        <v>217</v>
      </c>
      <c r="L59" s="5" t="s">
        <v>220</v>
      </c>
      <c r="M59" s="5" t="s">
        <v>223</v>
      </c>
      <c r="N59" s="5" t="s">
        <v>227</v>
      </c>
      <c r="O59" s="5">
        <v>3</v>
      </c>
      <c r="P59" s="5">
        <v>5</v>
      </c>
      <c r="Q59" s="5">
        <v>8</v>
      </c>
      <c r="R59" s="5">
        <v>53</v>
      </c>
      <c r="S59" s="4">
        <f>IF(OR(B59="",Results!B5=""),"",IF(B59=Results!B5,1+IF(OR($O59=1,$P59=1,$Q59=1),1,0),0))</f>
        <v>0</v>
      </c>
      <c r="T59" s="4">
        <f>IF(OR(C59="",Results!C5=""),"",IF(C59=Results!C5,1+IF(OR($O59=2,$P59=2,$Q59=2),1,0),0))</f>
        <v>0</v>
      </c>
      <c r="U59" s="4">
        <f>IF(OR(D59="",Results!D5=""),"",IF(D59=Results!D5,1+IF(OR($O59=3,$P59=3,$Q59=3),1,0),0))</f>
        <v>2</v>
      </c>
      <c r="V59" s="4">
        <f>IF(OR(E59="",Results!E5=""),"",IF(E59=Results!E5,1+IF(OR($O59=4,$P59=4,$Q59=4),1,0),0))</f>
        <v>0</v>
      </c>
      <c r="W59" s="4">
        <f>IF(OR(F59="",Results!F5=""),"",IF(F59=Results!F5,1+IF(OR($O59=5,$P59=5,$Q59=5),1,0),0))</f>
        <v>2</v>
      </c>
      <c r="X59" s="4">
        <f>IF(OR(G59="",Results!G5=""),"",IF(G59=Results!G5,1+IF(OR($O59=6,$P59=6,$Q59=6),1,0),0))</f>
        <v>0</v>
      </c>
      <c r="Y59" s="4">
        <f>IF(OR(H59="",Results!H5=""),"",IF(H59=Results!H5,1+IF(OR($O59=7,$P59=7,$Q59=7),1,0),0))</f>
        <v>1</v>
      </c>
      <c r="Z59" s="4">
        <f>IF(OR(I59="",Results!I5=""),"",IF(I59=Results!I5,1+IF(OR($O59=8,$P59=8,$Q59=8),1,0),0))</f>
        <v>2</v>
      </c>
      <c r="AA59" s="4">
        <f>IF(OR(J59="",Results!J5=""),"",IF(J59=Results!J5,1+IF(OR($O59=9,$P59=9,$Q59=9),1,0),0))</f>
        <v>1</v>
      </c>
      <c r="AB59" s="4">
        <f>IF(OR(K59="",Results!K5=""),"",IF(K59=Results!K5,1+IF(OR($O59=10,$P59=10,$Q59=10),1,0),0))</f>
        <v>1</v>
      </c>
      <c r="AC59" s="4">
        <f>IF(OR(L59="",Results!L5=""),"",IF(L59=Results!L5,1+IF(OR($O59=11,$P59=11,$Q59=11),1,0),0))</f>
        <v>0</v>
      </c>
      <c r="AD59" s="4">
        <f>IF(OR(M59="",Results!M5=""),"",IF(M59=Results!M5,1+IF(OR($O59=12,$P59=12,$Q59=12),1,0),0))</f>
        <v>1</v>
      </c>
      <c r="AE59" s="4">
        <f>IF(OR(N59="",Results!N5=""),"",IF(N59=Results!N5,1+IF(OR($O59=13,$P59=13,$Q59=13),1,0),0))</f>
        <v>0</v>
      </c>
      <c r="AF59" s="11">
        <f t="shared" si="2"/>
        <v>10</v>
      </c>
      <c r="AG59" s="4">
        <f>IF(OR($R59="",Results!O5=""),"",ABS($R59-Results!O5))</f>
        <v>2</v>
      </c>
      <c r="AH59" s="12">
        <v>51</v>
      </c>
      <c r="AI59" s="13">
        <f>IF(OR(B59="",Results!B5=""),"",IF(AND(B59=Results!B5,Results!B5&lt;&gt;Games!$C$5),1,0))</f>
        <v>0</v>
      </c>
      <c r="AJ59" s="13">
        <f>IF(OR(C59="",Results!C5=""),"",IF(AND(C59=Results!C5,Results!C5&lt;&gt;Games!$C$6),1,0))</f>
        <v>0</v>
      </c>
      <c r="AK59" s="13">
        <f>IF(OR(D59="",Results!D5=""),"",IF(AND(D59=Results!D5,Results!D5&lt;&gt;Games!$C$7),1,0))</f>
        <v>0</v>
      </c>
      <c r="AL59" s="13">
        <f>IF(OR(E59="",Results!E5=""),"",IF(AND(E59=Results!E5,Results!E5&lt;&gt;Games!$C$8),1,0))</f>
        <v>0</v>
      </c>
      <c r="AM59" s="13">
        <f>IF(OR(F59="",Results!F5=""),"",IF(AND(F59=Results!F5,Results!F5&lt;&gt;Games!$C$9),1,0))</f>
        <v>0</v>
      </c>
      <c r="AN59" s="13">
        <f>IF(OR(G59="",Results!G5=""),"",IF(AND(G59=Results!G5,Results!G5&lt;&gt;Games!$C$10),1,0))</f>
        <v>0</v>
      </c>
      <c r="AO59" s="13">
        <f>IF(OR(H59="",Results!H5=""),"",IF(AND(H59=Results!H5,Results!H5&lt;&gt;Games!$C$11),1,0))</f>
        <v>0</v>
      </c>
      <c r="AP59" s="13">
        <f>IF(OR(I59="",Results!I5=""),"",IF(AND(I59=Results!I5,Results!I5&lt;&gt;Games!$C$12),1,0))</f>
        <v>0</v>
      </c>
      <c r="AQ59" s="13">
        <f>IF(OR(J59="",Results!J5=""),"",IF(AND(J59=Results!J5,Results!J5&lt;&gt;Games!$C$13),1,0))</f>
        <v>0</v>
      </c>
      <c r="AR59" s="13">
        <f>IF(OR(K59="",Results!K5=""),"",IF(AND(K59=Results!K5,Results!K5&lt;&gt;Games!$C$14),1,0))</f>
        <v>0</v>
      </c>
      <c r="AS59" s="13">
        <f>IF(OR(L59="",Results!L5=""),"",IF(AND(L59=Results!L5,Results!L5&lt;&gt;Games!$C$15),1,0))</f>
        <v>0</v>
      </c>
      <c r="AT59" s="13">
        <f>IF(OR(M59="",Results!M5=""),"",IF(AND(M59=Results!M5,Results!M5&lt;&gt;Games!$C$16),1,0))</f>
        <v>0</v>
      </c>
      <c r="AU59" s="13">
        <f>IF(OR(N59="",Results!N5=""),"",IF(AND(N59=Results!N5,Results!N5&lt;&gt;Games!$C$17),1,0))</f>
        <v>0</v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 t="s">
        <v>183</v>
      </c>
      <c r="C60" s="5" t="s">
        <v>187</v>
      </c>
      <c r="D60" s="5" t="s">
        <v>191</v>
      </c>
      <c r="E60" s="5" t="s">
        <v>195</v>
      </c>
      <c r="F60" s="5" t="s">
        <v>199</v>
      </c>
      <c r="G60" s="5" t="s">
        <v>202</v>
      </c>
      <c r="H60" s="5" t="s">
        <v>207</v>
      </c>
      <c r="I60" s="5" t="s">
        <v>210</v>
      </c>
      <c r="J60" s="5" t="s">
        <v>213</v>
      </c>
      <c r="K60" s="5" t="s">
        <v>218</v>
      </c>
      <c r="L60" s="5" t="s">
        <v>220</v>
      </c>
      <c r="M60" s="5" t="s">
        <v>223</v>
      </c>
      <c r="N60" s="5" t="s">
        <v>226</v>
      </c>
      <c r="O60" s="5">
        <v>4</v>
      </c>
      <c r="P60" s="5">
        <v>5</v>
      </c>
      <c r="Q60" s="5">
        <v>8</v>
      </c>
      <c r="R60" s="5">
        <v>57</v>
      </c>
      <c r="S60" s="4">
        <f>IF(OR(B60="",Results!B5=""),"",IF(B60=Results!B5,1+IF(OR($O60=1,$P60=1,$Q60=1),1,0),0))</f>
        <v>0</v>
      </c>
      <c r="T60" s="4">
        <f>IF(OR(C60="",Results!C5=""),"",IF(C60=Results!C5,1+IF(OR($O60=2,$P60=2,$Q60=2),1,0),0))</f>
        <v>0</v>
      </c>
      <c r="U60" s="4">
        <f>IF(OR(D60="",Results!D5=""),"",IF(D60=Results!D5,1+IF(OR($O60=3,$P60=3,$Q60=3),1,0),0))</f>
        <v>1</v>
      </c>
      <c r="V60" s="4">
        <f>IF(OR(E60="",Results!E5=""),"",IF(E60=Results!E5,1+IF(OR($O60=4,$P60=4,$Q60=4),1,0),0))</f>
        <v>2</v>
      </c>
      <c r="W60" s="4">
        <f>IF(OR(F60="",Results!F5=""),"",IF(F60=Results!F5,1+IF(OR($O60=5,$P60=5,$Q60=5),1,0),0))</f>
        <v>2</v>
      </c>
      <c r="X60" s="4">
        <f>IF(OR(G60="",Results!G5=""),"",IF(G60=Results!G5,1+IF(OR($O60=6,$P60=6,$Q60=6),1,0),0))</f>
        <v>1</v>
      </c>
      <c r="Y60" s="4">
        <f>IF(OR(H60="",Results!H5=""),"",IF(H60=Results!H5,1+IF(OR($O60=7,$P60=7,$Q60=7),1,0),0))</f>
        <v>0</v>
      </c>
      <c r="Z60" s="4">
        <f>IF(OR(I60="",Results!I5=""),"",IF(I60=Results!I5,1+IF(OR($O60=8,$P60=8,$Q60=8),1,0),0))</f>
        <v>2</v>
      </c>
      <c r="AA60" s="4">
        <f>IF(OR(J60="",Results!J5=""),"",IF(J60=Results!J5,1+IF(OR($O60=9,$P60=9,$Q60=9),1,0),0))</f>
        <v>1</v>
      </c>
      <c r="AB60" s="4">
        <f>IF(OR(K60="",Results!K5=""),"",IF(K60=Results!K5,1+IF(OR($O60=10,$P60=10,$Q60=10),1,0),0))</f>
        <v>0</v>
      </c>
      <c r="AC60" s="4">
        <f>IF(OR(L60="",Results!L5=""),"",IF(L60=Results!L5,1+IF(OR($O60=11,$P60=11,$Q60=11),1,0),0))</f>
        <v>0</v>
      </c>
      <c r="AD60" s="4">
        <f>IF(OR(M60="",Results!M5=""),"",IF(M60=Results!M5,1+IF(OR($O60=12,$P60=12,$Q60=12),1,0),0))</f>
        <v>1</v>
      </c>
      <c r="AE60" s="4">
        <f>IF(OR(N60="",Results!N5=""),"",IF(N60=Results!N5,1+IF(OR($O60=13,$P60=13,$Q60=13),1,0),0))</f>
        <v>1</v>
      </c>
      <c r="AF60" s="11">
        <f t="shared" si="2"/>
        <v>11</v>
      </c>
      <c r="AG60" s="4">
        <f>IF(OR($R60="",Results!O5=""),"",ABS($R60-Results!O5))</f>
        <v>6</v>
      </c>
      <c r="AH60" s="12">
        <v>45</v>
      </c>
      <c r="AI60" s="13">
        <f>IF(OR(B60="",Results!B5=""),"",IF(AND(B60=Results!B5,Results!B5&lt;&gt;Games!$C$5),1,0))</f>
        <v>0</v>
      </c>
      <c r="AJ60" s="13">
        <f>IF(OR(C60="",Results!C5=""),"",IF(AND(C60=Results!C5,Results!C5&lt;&gt;Games!$C$6),1,0))</f>
        <v>0</v>
      </c>
      <c r="AK60" s="13">
        <f>IF(OR(D60="",Results!D5=""),"",IF(AND(D60=Results!D5,Results!D5&lt;&gt;Games!$C$7),1,0))</f>
        <v>0</v>
      </c>
      <c r="AL60" s="13">
        <f>IF(OR(E60="",Results!E5=""),"",IF(AND(E60=Results!E5,Results!E5&lt;&gt;Games!$C$8),1,0))</f>
        <v>0</v>
      </c>
      <c r="AM60" s="13">
        <f>IF(OR(F60="",Results!F5=""),"",IF(AND(F60=Results!F5,Results!F5&lt;&gt;Games!$C$9),1,0))</f>
        <v>0</v>
      </c>
      <c r="AN60" s="13">
        <f>IF(OR(G60="",Results!G5=""),"",IF(AND(G60=Results!G5,Results!G5&lt;&gt;Games!$C$10),1,0))</f>
        <v>0</v>
      </c>
      <c r="AO60" s="13">
        <f>IF(OR(H60="",Results!H5=""),"",IF(AND(H60=Results!H5,Results!H5&lt;&gt;Games!$C$11),1,0))</f>
        <v>0</v>
      </c>
      <c r="AP60" s="13">
        <f>IF(OR(I60="",Results!I5=""),"",IF(AND(I60=Results!I5,Results!I5&lt;&gt;Games!$C$12),1,0))</f>
        <v>0</v>
      </c>
      <c r="AQ60" s="13">
        <f>IF(OR(J60="",Results!J5=""),"",IF(AND(J60=Results!J5,Results!J5&lt;&gt;Games!$C$13),1,0))</f>
        <v>0</v>
      </c>
      <c r="AR60" s="13">
        <f>IF(OR(K60="",Results!K5=""),"",IF(AND(K60=Results!K5,Results!K5&lt;&gt;Games!$C$14),1,0))</f>
        <v>0</v>
      </c>
      <c r="AS60" s="13">
        <f>IF(OR(L60="",Results!L5=""),"",IF(AND(L60=Results!L5,Results!L5&lt;&gt;Games!$C$15),1,0))</f>
        <v>0</v>
      </c>
      <c r="AT60" s="13">
        <f>IF(OR(M60="",Results!M5=""),"",IF(AND(M60=Results!M5,Results!M5&lt;&gt;Games!$C$16),1,0))</f>
        <v>0</v>
      </c>
      <c r="AU60" s="13">
        <f>IF(OR(N60="",Results!N5=""),"",IF(AND(N60=Results!N5,Results!N5&lt;&gt;Games!$C$17),1,0))</f>
        <v>0</v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 t="s">
        <v>183</v>
      </c>
      <c r="C61" s="5" t="s">
        <v>187</v>
      </c>
      <c r="D61" s="5" t="s">
        <v>191</v>
      </c>
      <c r="E61" s="5" t="s">
        <v>195</v>
      </c>
      <c r="F61" s="5" t="s">
        <v>199</v>
      </c>
      <c r="G61" s="5" t="s">
        <v>202</v>
      </c>
      <c r="H61" s="5" t="s">
        <v>207</v>
      </c>
      <c r="I61" s="5" t="s">
        <v>211</v>
      </c>
      <c r="J61" s="5" t="s">
        <v>213</v>
      </c>
      <c r="K61" s="5" t="s">
        <v>217</v>
      </c>
      <c r="L61" s="5" t="s">
        <v>220</v>
      </c>
      <c r="M61" s="5" t="s">
        <v>223</v>
      </c>
      <c r="N61" s="5" t="s">
        <v>226</v>
      </c>
      <c r="O61" s="5">
        <v>1</v>
      </c>
      <c r="P61" s="5">
        <v>4</v>
      </c>
      <c r="Q61" s="5">
        <v>6</v>
      </c>
      <c r="R61" s="5">
        <v>63</v>
      </c>
      <c r="S61" s="4">
        <f>IF(OR(B61="",Results!B5=""),"",IF(B61=Results!B5,1+IF(OR($O61=1,$P61=1,$Q61=1),1,0),0))</f>
        <v>0</v>
      </c>
      <c r="T61" s="4">
        <f>IF(OR(C61="",Results!C5=""),"",IF(C61=Results!C5,1+IF(OR($O61=2,$P61=2,$Q61=2),1,0),0))</f>
        <v>0</v>
      </c>
      <c r="U61" s="4">
        <f>IF(OR(D61="",Results!D5=""),"",IF(D61=Results!D5,1+IF(OR($O61=3,$P61=3,$Q61=3),1,0),0))</f>
        <v>1</v>
      </c>
      <c r="V61" s="4">
        <f>IF(OR(E61="",Results!E5=""),"",IF(E61=Results!E5,1+IF(OR($O61=4,$P61=4,$Q61=4),1,0),0))</f>
        <v>2</v>
      </c>
      <c r="W61" s="4">
        <f>IF(OR(F61="",Results!F5=""),"",IF(F61=Results!F5,1+IF(OR($O61=5,$P61=5,$Q61=5),1,0),0))</f>
        <v>1</v>
      </c>
      <c r="X61" s="4">
        <f>IF(OR(G61="",Results!G5=""),"",IF(G61=Results!G5,1+IF(OR($O61=6,$P61=6,$Q61=6),1,0),0))</f>
        <v>2</v>
      </c>
      <c r="Y61" s="4">
        <f>IF(OR(H61="",Results!H5=""),"",IF(H61=Results!H5,1+IF(OR($O61=7,$P61=7,$Q61=7),1,0),0))</f>
        <v>0</v>
      </c>
      <c r="Z61" s="4">
        <f>IF(OR(I61="",Results!I5=""),"",IF(I61=Results!I5,1+IF(OR($O61=8,$P61=8,$Q61=8),1,0),0))</f>
        <v>0</v>
      </c>
      <c r="AA61" s="4">
        <f>IF(OR(J61="",Results!J5=""),"",IF(J61=Results!J5,1+IF(OR($O61=9,$P61=9,$Q61=9),1,0),0))</f>
        <v>1</v>
      </c>
      <c r="AB61" s="4">
        <f>IF(OR(K61="",Results!K5=""),"",IF(K61=Results!K5,1+IF(OR($O61=10,$P61=10,$Q61=10),1,0),0))</f>
        <v>1</v>
      </c>
      <c r="AC61" s="4">
        <f>IF(OR(L61="",Results!L5=""),"",IF(L61=Results!L5,1+IF(OR($O61=11,$P61=11,$Q61=11),1,0),0))</f>
        <v>0</v>
      </c>
      <c r="AD61" s="4">
        <f>IF(OR(M61="",Results!M5=""),"",IF(M61=Results!M5,1+IF(OR($O61=12,$P61=12,$Q61=12),1,0),0))</f>
        <v>1</v>
      </c>
      <c r="AE61" s="4">
        <f>IF(OR(N61="",Results!N5=""),"",IF(N61=Results!N5,1+IF(OR($O61=13,$P61=13,$Q61=13),1,0),0))</f>
        <v>1</v>
      </c>
      <c r="AF61" s="11">
        <f t="shared" si="2"/>
        <v>10</v>
      </c>
      <c r="AG61" s="4">
        <f>IF(OR($R61="",Results!O5=""),"",ABS($R61-Results!O5))</f>
        <v>12</v>
      </c>
      <c r="AH61" s="12">
        <v>30</v>
      </c>
      <c r="AI61" s="13">
        <f>IF(OR(B61="",Results!B5=""),"",IF(AND(B61=Results!B5,Results!B5&lt;&gt;Games!$C$5),1,0))</f>
        <v>0</v>
      </c>
      <c r="AJ61" s="13">
        <f>IF(OR(C61="",Results!C5=""),"",IF(AND(C61=Results!C5,Results!C5&lt;&gt;Games!$C$6),1,0))</f>
        <v>0</v>
      </c>
      <c r="AK61" s="13">
        <f>IF(OR(D61="",Results!D5=""),"",IF(AND(D61=Results!D5,Results!D5&lt;&gt;Games!$C$7),1,0))</f>
        <v>0</v>
      </c>
      <c r="AL61" s="13">
        <f>IF(OR(E61="",Results!E5=""),"",IF(AND(E61=Results!E5,Results!E5&lt;&gt;Games!$C$8),1,0))</f>
        <v>0</v>
      </c>
      <c r="AM61" s="13">
        <f>IF(OR(F61="",Results!F5=""),"",IF(AND(F61=Results!F5,Results!F5&lt;&gt;Games!$C$9),1,0))</f>
        <v>0</v>
      </c>
      <c r="AN61" s="13">
        <f>IF(OR(G61="",Results!G5=""),"",IF(AND(G61=Results!G5,Results!G5&lt;&gt;Games!$C$10),1,0))</f>
        <v>0</v>
      </c>
      <c r="AO61" s="13">
        <f>IF(OR(H61="",Results!H5=""),"",IF(AND(H61=Results!H5,Results!H5&lt;&gt;Games!$C$11),1,0))</f>
        <v>0</v>
      </c>
      <c r="AP61" s="13">
        <f>IF(OR(I61="",Results!I5=""),"",IF(AND(I61=Results!I5,Results!I5&lt;&gt;Games!$C$12),1,0))</f>
        <v>0</v>
      </c>
      <c r="AQ61" s="13">
        <f>IF(OR(J61="",Results!J5=""),"",IF(AND(J61=Results!J5,Results!J5&lt;&gt;Games!$C$13),1,0))</f>
        <v>0</v>
      </c>
      <c r="AR61" s="13">
        <f>IF(OR(K61="",Results!K5=""),"",IF(AND(K61=Results!K5,Results!K5&lt;&gt;Games!$C$14),1,0))</f>
        <v>0</v>
      </c>
      <c r="AS61" s="13">
        <f>IF(OR(L61="",Results!L5=""),"",IF(AND(L61=Results!L5,Results!L5&lt;&gt;Games!$C$15),1,0))</f>
        <v>0</v>
      </c>
      <c r="AT61" s="13">
        <f>IF(OR(M61="",Results!M5=""),"",IF(AND(M61=Results!M5,Results!M5&lt;&gt;Games!$C$16),1,0))</f>
        <v>0</v>
      </c>
      <c r="AU61" s="13">
        <f>IF(OR(N61="",Results!N5=""),"",IF(AND(N61=Results!N5,Results!N5&lt;&gt;Games!$C$17),1,0))</f>
        <v>0</v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 t="s">
        <v>183</v>
      </c>
      <c r="C62" s="5" t="s">
        <v>188</v>
      </c>
      <c r="D62" s="5" t="s">
        <v>191</v>
      </c>
      <c r="E62" s="5" t="s">
        <v>195</v>
      </c>
      <c r="F62" s="5" t="s">
        <v>199</v>
      </c>
      <c r="G62" s="5" t="s">
        <v>202</v>
      </c>
      <c r="H62" s="5" t="s">
        <v>207</v>
      </c>
      <c r="I62" s="5" t="s">
        <v>210</v>
      </c>
      <c r="J62" s="5" t="s">
        <v>213</v>
      </c>
      <c r="K62" s="5" t="s">
        <v>217</v>
      </c>
      <c r="L62" s="5" t="s">
        <v>220</v>
      </c>
      <c r="M62" s="5" t="s">
        <v>223</v>
      </c>
      <c r="N62" s="5" t="s">
        <v>226</v>
      </c>
      <c r="O62" s="5">
        <v>4</v>
      </c>
      <c r="P62" s="5">
        <v>5</v>
      </c>
      <c r="Q62" s="5">
        <v>11</v>
      </c>
      <c r="R62" s="5">
        <v>54</v>
      </c>
      <c r="S62" s="4">
        <f>IF(OR(B62="",Results!B5=""),"",IF(B62=Results!B5,1+IF(OR($O62=1,$P62=1,$Q62=1),1,0),0))</f>
        <v>0</v>
      </c>
      <c r="T62" s="4">
        <f>IF(OR(C62="",Results!C5=""),"",IF(C62=Results!C5,1+IF(OR($O62=2,$P62=2,$Q62=2),1,0),0))</f>
        <v>1</v>
      </c>
      <c r="U62" s="4">
        <f>IF(OR(D62="",Results!D5=""),"",IF(D62=Results!D5,1+IF(OR($O62=3,$P62=3,$Q62=3),1,0),0))</f>
        <v>1</v>
      </c>
      <c r="V62" s="4">
        <f>IF(OR(E62="",Results!E5=""),"",IF(E62=Results!E5,1+IF(OR($O62=4,$P62=4,$Q62=4),1,0),0))</f>
        <v>2</v>
      </c>
      <c r="W62" s="4">
        <f>IF(OR(F62="",Results!F5=""),"",IF(F62=Results!F5,1+IF(OR($O62=5,$P62=5,$Q62=5),1,0),0))</f>
        <v>2</v>
      </c>
      <c r="X62" s="4">
        <f>IF(OR(G62="",Results!G5=""),"",IF(G62=Results!G5,1+IF(OR($O62=6,$P62=6,$Q62=6),1,0),0))</f>
        <v>1</v>
      </c>
      <c r="Y62" s="4">
        <f>IF(OR(H62="",Results!H5=""),"",IF(H62=Results!H5,1+IF(OR($O62=7,$P62=7,$Q62=7),1,0),0))</f>
        <v>0</v>
      </c>
      <c r="Z62" s="4">
        <f>IF(OR(I62="",Results!I5=""),"",IF(I62=Results!I5,1+IF(OR($O62=8,$P62=8,$Q62=8),1,0),0))</f>
        <v>1</v>
      </c>
      <c r="AA62" s="4">
        <f>IF(OR(J62="",Results!J5=""),"",IF(J62=Results!J5,1+IF(OR($O62=9,$P62=9,$Q62=9),1,0),0))</f>
        <v>1</v>
      </c>
      <c r="AB62" s="4">
        <f>IF(OR(K62="",Results!K5=""),"",IF(K62=Results!K5,1+IF(OR($O62=10,$P62=10,$Q62=10),1,0),0))</f>
        <v>1</v>
      </c>
      <c r="AC62" s="4">
        <f>IF(OR(L62="",Results!L5=""),"",IF(L62=Results!L5,1+IF(OR($O62=11,$P62=11,$Q62=11),1,0),0))</f>
        <v>0</v>
      </c>
      <c r="AD62" s="4">
        <f>IF(OR(M62="",Results!M5=""),"",IF(M62=Results!M5,1+IF(OR($O62=12,$P62=12,$Q62=12),1,0),0))</f>
        <v>1</v>
      </c>
      <c r="AE62" s="4">
        <f>IF(OR(N62="",Results!N5=""),"",IF(N62=Results!N5,1+IF(OR($O62=13,$P62=13,$Q62=13),1,0),0))</f>
        <v>1</v>
      </c>
      <c r="AF62" s="11">
        <f t="shared" si="2"/>
        <v>12</v>
      </c>
      <c r="AG62" s="4">
        <f>IF(OR($R62="",Results!O5=""),"",ABS($R62-Results!O5))</f>
        <v>3</v>
      </c>
      <c r="AH62" s="12">
        <v>31</v>
      </c>
      <c r="AI62" s="13">
        <f>IF(OR(B62="",Results!B5=""),"",IF(AND(B62=Results!B5,Results!B5&lt;&gt;Games!$C$5),1,0))</f>
        <v>0</v>
      </c>
      <c r="AJ62" s="13">
        <f>IF(OR(C62="",Results!C5=""),"",IF(AND(C62=Results!C5,Results!C5&lt;&gt;Games!$C$6),1,0))</f>
        <v>1</v>
      </c>
      <c r="AK62" s="13">
        <f>IF(OR(D62="",Results!D5=""),"",IF(AND(D62=Results!D5,Results!D5&lt;&gt;Games!$C$7),1,0))</f>
        <v>0</v>
      </c>
      <c r="AL62" s="13">
        <f>IF(OR(E62="",Results!E5=""),"",IF(AND(E62=Results!E5,Results!E5&lt;&gt;Games!$C$8),1,0))</f>
        <v>0</v>
      </c>
      <c r="AM62" s="13">
        <f>IF(OR(F62="",Results!F5=""),"",IF(AND(F62=Results!F5,Results!F5&lt;&gt;Games!$C$9),1,0))</f>
        <v>0</v>
      </c>
      <c r="AN62" s="13">
        <f>IF(OR(G62="",Results!G5=""),"",IF(AND(G62=Results!G5,Results!G5&lt;&gt;Games!$C$10),1,0))</f>
        <v>0</v>
      </c>
      <c r="AO62" s="13">
        <f>IF(OR(H62="",Results!H5=""),"",IF(AND(H62=Results!H5,Results!H5&lt;&gt;Games!$C$11),1,0))</f>
        <v>0</v>
      </c>
      <c r="AP62" s="13">
        <f>IF(OR(I62="",Results!I5=""),"",IF(AND(I62=Results!I5,Results!I5&lt;&gt;Games!$C$12),1,0))</f>
        <v>0</v>
      </c>
      <c r="AQ62" s="13">
        <f>IF(OR(J62="",Results!J5=""),"",IF(AND(J62=Results!J5,Results!J5&lt;&gt;Games!$C$13),1,0))</f>
        <v>0</v>
      </c>
      <c r="AR62" s="13">
        <f>IF(OR(K62="",Results!K5=""),"",IF(AND(K62=Results!K5,Results!K5&lt;&gt;Games!$C$14),1,0))</f>
        <v>0</v>
      </c>
      <c r="AS62" s="13">
        <f>IF(OR(L62="",Results!L5=""),"",IF(AND(L62=Results!L5,Results!L5&lt;&gt;Games!$C$15),1,0))</f>
        <v>0</v>
      </c>
      <c r="AT62" s="13">
        <f>IF(OR(M62="",Results!M5=""),"",IF(AND(M62=Results!M5,Results!M5&lt;&gt;Games!$C$16),1,0))</f>
        <v>0</v>
      </c>
      <c r="AU62" s="13">
        <f>IF(OR(N62="",Results!N5=""),"",IF(AND(N62=Results!N5,Results!N5&lt;&gt;Games!$C$17),1,0))</f>
        <v>0</v>
      </c>
      <c r="AV62" s="14">
        <f t="shared" si="3"/>
        <v>1</v>
      </c>
    </row>
    <row r="63" spans="1:48" ht="15" customHeight="1" x14ac:dyDescent="0.25">
      <c r="A63" s="4" t="str">
        <f>INDEX(Players!$D$6:$D$69,MATCH(32,Players!$A$6:$A$69,0))</f>
        <v>Tye E.</v>
      </c>
      <c r="B63" s="5" t="s">
        <v>183</v>
      </c>
      <c r="C63" s="5" t="s">
        <v>187</v>
      </c>
      <c r="D63" s="5" t="s">
        <v>191</v>
      </c>
      <c r="E63" s="5" t="s">
        <v>195</v>
      </c>
      <c r="F63" s="5" t="s">
        <v>199</v>
      </c>
      <c r="G63" s="5" t="s">
        <v>202</v>
      </c>
      <c r="H63" s="5" t="s">
        <v>207</v>
      </c>
      <c r="I63" s="5" t="s">
        <v>210</v>
      </c>
      <c r="J63" s="5" t="s">
        <v>213</v>
      </c>
      <c r="K63" s="5" t="s">
        <v>218</v>
      </c>
      <c r="L63" s="5" t="s">
        <v>220</v>
      </c>
      <c r="M63" s="5" t="s">
        <v>224</v>
      </c>
      <c r="N63" s="5" t="s">
        <v>226</v>
      </c>
      <c r="O63" s="5">
        <v>6</v>
      </c>
      <c r="P63" s="5">
        <v>8</v>
      </c>
      <c r="Q63" s="5">
        <v>13</v>
      </c>
      <c r="R63" s="5">
        <v>48</v>
      </c>
      <c r="S63" s="4">
        <f>IF(OR(B63="",Results!B5=""),"",IF(B63=Results!B5,1+IF(OR($O63=1,$P63=1,$Q63=1),1,0),0))</f>
        <v>0</v>
      </c>
      <c r="T63" s="4">
        <f>IF(OR(C63="",Results!C5=""),"",IF(C63=Results!C5,1+IF(OR($O63=2,$P63=2,$Q63=2),1,0),0))</f>
        <v>0</v>
      </c>
      <c r="U63" s="4">
        <f>IF(OR(D63="",Results!D5=""),"",IF(D63=Results!D5,1+IF(OR($O63=3,$P63=3,$Q63=3),1,0),0))</f>
        <v>1</v>
      </c>
      <c r="V63" s="4">
        <f>IF(OR(E63="",Results!E5=""),"",IF(E63=Results!E5,1+IF(OR($O63=4,$P63=4,$Q63=4),1,0),0))</f>
        <v>1</v>
      </c>
      <c r="W63" s="4">
        <f>IF(OR(F63="",Results!F5=""),"",IF(F63=Results!F5,1+IF(OR($O63=5,$P63=5,$Q63=5),1,0),0))</f>
        <v>1</v>
      </c>
      <c r="X63" s="4">
        <f>IF(OR(G63="",Results!G5=""),"",IF(G63=Results!G5,1+IF(OR($O63=6,$P63=6,$Q63=6),1,0),0))</f>
        <v>2</v>
      </c>
      <c r="Y63" s="4">
        <f>IF(OR(H63="",Results!H5=""),"",IF(H63=Results!H5,1+IF(OR($O63=7,$P63=7,$Q63=7),1,0),0))</f>
        <v>0</v>
      </c>
      <c r="Z63" s="4">
        <f>IF(OR(I63="",Results!I5=""),"",IF(I63=Results!I5,1+IF(OR($O63=8,$P63=8,$Q63=8),1,0),0))</f>
        <v>2</v>
      </c>
      <c r="AA63" s="4">
        <f>IF(OR(J63="",Results!J5=""),"",IF(J63=Results!J5,1+IF(OR($O63=9,$P63=9,$Q63=9),1,0),0))</f>
        <v>1</v>
      </c>
      <c r="AB63" s="4">
        <f>IF(OR(K63="",Results!K5=""),"",IF(K63=Results!K5,1+IF(OR($O63=10,$P63=10,$Q63=10),1,0),0))</f>
        <v>0</v>
      </c>
      <c r="AC63" s="4">
        <f>IF(OR(L63="",Results!L5=""),"",IF(L63=Results!L5,1+IF(OR($O63=11,$P63=11,$Q63=11),1,0),0))</f>
        <v>0</v>
      </c>
      <c r="AD63" s="4">
        <f>IF(OR(M63="",Results!M5=""),"",IF(M63=Results!M5,1+IF(OR($O63=12,$P63=12,$Q63=12),1,0),0))</f>
        <v>0</v>
      </c>
      <c r="AE63" s="4">
        <f>IF(OR(N63="",Results!N5=""),"",IF(N63=Results!N5,1+IF(OR($O63=13,$P63=13,$Q63=13),1,0),0))</f>
        <v>2</v>
      </c>
      <c r="AF63" s="11">
        <f t="shared" si="2"/>
        <v>10</v>
      </c>
      <c r="AG63" s="4">
        <f>IF(OR($R63="",Results!O5=""),"",ABS($R63-Results!O5))</f>
        <v>3</v>
      </c>
      <c r="AH63" s="12">
        <v>32</v>
      </c>
      <c r="AI63" s="13">
        <f>IF(OR(B63="",Results!B5=""),"",IF(AND(B63=Results!B5,Results!B5&lt;&gt;Games!$C$5),1,0))</f>
        <v>0</v>
      </c>
      <c r="AJ63" s="13">
        <f>IF(OR(C63="",Results!C5=""),"",IF(AND(C63=Results!C5,Results!C5&lt;&gt;Games!$C$6),1,0))</f>
        <v>0</v>
      </c>
      <c r="AK63" s="13">
        <f>IF(OR(D63="",Results!D5=""),"",IF(AND(D63=Results!D5,Results!D5&lt;&gt;Games!$C$7),1,0))</f>
        <v>0</v>
      </c>
      <c r="AL63" s="13">
        <f>IF(OR(E63="",Results!E5=""),"",IF(AND(E63=Results!E5,Results!E5&lt;&gt;Games!$C$8),1,0))</f>
        <v>0</v>
      </c>
      <c r="AM63" s="13">
        <f>IF(OR(F63="",Results!F5=""),"",IF(AND(F63=Results!F5,Results!F5&lt;&gt;Games!$C$9),1,0))</f>
        <v>0</v>
      </c>
      <c r="AN63" s="13">
        <f>IF(OR(G63="",Results!G5=""),"",IF(AND(G63=Results!G5,Results!G5&lt;&gt;Games!$C$10),1,0))</f>
        <v>0</v>
      </c>
      <c r="AO63" s="13">
        <f>IF(OR(H63="",Results!H5=""),"",IF(AND(H63=Results!H5,Results!H5&lt;&gt;Games!$C$11),1,0))</f>
        <v>0</v>
      </c>
      <c r="AP63" s="13">
        <f>IF(OR(I63="",Results!I5=""),"",IF(AND(I63=Results!I5,Results!I5&lt;&gt;Games!$C$12),1,0))</f>
        <v>0</v>
      </c>
      <c r="AQ63" s="13">
        <f>IF(OR(J63="",Results!J5=""),"",IF(AND(J63=Results!J5,Results!J5&lt;&gt;Games!$C$13),1,0))</f>
        <v>0</v>
      </c>
      <c r="AR63" s="13">
        <f>IF(OR(K63="",Results!K5=""),"",IF(AND(K63=Results!K5,Results!K5&lt;&gt;Games!$C$14),1,0))</f>
        <v>0</v>
      </c>
      <c r="AS63" s="13">
        <f>IF(OR(L63="",Results!L5=""),"",IF(AND(L63=Results!L5,Results!L5&lt;&gt;Games!$C$15),1,0))</f>
        <v>0</v>
      </c>
      <c r="AT63" s="13">
        <f>IF(OR(M63="",Results!M5=""),"",IF(AND(M63=Results!M5,Results!M5&lt;&gt;Games!$C$16),1,0))</f>
        <v>0</v>
      </c>
      <c r="AU63" s="13">
        <f>IF(OR(N63="",Results!N5=""),"",IF(AND(N63=Results!N5,Results!N5&lt;&gt;Games!$C$17),1,0))</f>
        <v>0</v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 t="s">
        <v>183</v>
      </c>
      <c r="C64" s="5" t="s">
        <v>188</v>
      </c>
      <c r="D64" s="5" t="s">
        <v>191</v>
      </c>
      <c r="E64" s="5" t="s">
        <v>195</v>
      </c>
      <c r="F64" s="5" t="s">
        <v>199</v>
      </c>
      <c r="G64" s="5" t="s">
        <v>202</v>
      </c>
      <c r="H64" s="5" t="s">
        <v>207</v>
      </c>
      <c r="I64" s="5" t="s">
        <v>210</v>
      </c>
      <c r="J64" s="5" t="s">
        <v>214</v>
      </c>
      <c r="K64" s="5" t="s">
        <v>217</v>
      </c>
      <c r="L64" s="5" t="s">
        <v>220</v>
      </c>
      <c r="M64" s="5" t="s">
        <v>223</v>
      </c>
      <c r="N64" s="5" t="s">
        <v>226</v>
      </c>
      <c r="O64" s="5">
        <v>1</v>
      </c>
      <c r="P64" s="5">
        <v>4</v>
      </c>
      <c r="Q64" s="5">
        <v>8</v>
      </c>
      <c r="R64" s="5">
        <v>58</v>
      </c>
      <c r="S64" s="4">
        <f>IF(OR(B64="",Results!B5=""),"",IF(B64=Results!B5,1+IF(OR($O64=1,$P64=1,$Q64=1),1,0),0))</f>
        <v>0</v>
      </c>
      <c r="T64" s="4">
        <f>IF(OR(C64="",Results!C5=""),"",IF(C64=Results!C5,1+IF(OR($O64=2,$P64=2,$Q64=2),1,0),0))</f>
        <v>1</v>
      </c>
      <c r="U64" s="4">
        <f>IF(OR(D64="",Results!D5=""),"",IF(D64=Results!D5,1+IF(OR($O64=3,$P64=3,$Q64=3),1,0),0))</f>
        <v>1</v>
      </c>
      <c r="V64" s="4">
        <f>IF(OR(E64="",Results!E5=""),"",IF(E64=Results!E5,1+IF(OR($O64=4,$P64=4,$Q64=4),1,0),0))</f>
        <v>2</v>
      </c>
      <c r="W64" s="4">
        <f>IF(OR(F64="",Results!F5=""),"",IF(F64=Results!F5,1+IF(OR($O64=5,$P64=5,$Q64=5),1,0),0))</f>
        <v>1</v>
      </c>
      <c r="X64" s="4">
        <f>IF(OR(G64="",Results!G5=""),"",IF(G64=Results!G5,1+IF(OR($O64=6,$P64=6,$Q64=6),1,0),0))</f>
        <v>1</v>
      </c>
      <c r="Y64" s="4">
        <f>IF(OR(H64="",Results!H5=""),"",IF(H64=Results!H5,1+IF(OR($O64=7,$P64=7,$Q64=7),1,0),0))</f>
        <v>0</v>
      </c>
      <c r="Z64" s="4">
        <f>IF(OR(I64="",Results!I5=""),"",IF(I64=Results!I5,1+IF(OR($O64=8,$P64=8,$Q64=8),1,0),0))</f>
        <v>2</v>
      </c>
      <c r="AA64" s="4">
        <f>IF(OR(J64="",Results!J5=""),"",IF(J64=Results!J5,1+IF(OR($O64=9,$P64=9,$Q64=9),1,0),0))</f>
        <v>0</v>
      </c>
      <c r="AB64" s="4">
        <f>IF(OR(K64="",Results!K5=""),"",IF(K64=Results!K5,1+IF(OR($O64=10,$P64=10,$Q64=10),1,0),0))</f>
        <v>1</v>
      </c>
      <c r="AC64" s="4">
        <f>IF(OR(L64="",Results!L5=""),"",IF(L64=Results!L5,1+IF(OR($O64=11,$P64=11,$Q64=11),1,0),0))</f>
        <v>0</v>
      </c>
      <c r="AD64" s="4">
        <f>IF(OR(M64="",Results!M5=""),"",IF(M64=Results!M5,1+IF(OR($O64=12,$P64=12,$Q64=12),1,0),0))</f>
        <v>1</v>
      </c>
      <c r="AE64" s="4">
        <f>IF(OR(N64="",Results!N5=""),"",IF(N64=Results!N5,1+IF(OR($O64=13,$P64=13,$Q64=13),1,0),0))</f>
        <v>1</v>
      </c>
      <c r="AF64" s="11">
        <f t="shared" si="2"/>
        <v>11</v>
      </c>
      <c r="AG64" s="4">
        <f>IF(OR($R64="",Results!O5=""),"",ABS($R64-Results!O5))</f>
        <v>7</v>
      </c>
      <c r="AH64" s="12">
        <v>46</v>
      </c>
      <c r="AI64" s="13">
        <f>IF(OR(B64="",Results!B5=""),"",IF(AND(B64=Results!B5,Results!B5&lt;&gt;Games!$C$5),1,0))</f>
        <v>0</v>
      </c>
      <c r="AJ64" s="13">
        <f>IF(OR(C64="",Results!C5=""),"",IF(AND(C64=Results!C5,Results!C5&lt;&gt;Games!$C$6),1,0))</f>
        <v>1</v>
      </c>
      <c r="AK64" s="13">
        <f>IF(OR(D64="",Results!D5=""),"",IF(AND(D64=Results!D5,Results!D5&lt;&gt;Games!$C$7),1,0))</f>
        <v>0</v>
      </c>
      <c r="AL64" s="13">
        <f>IF(OR(E64="",Results!E5=""),"",IF(AND(E64=Results!E5,Results!E5&lt;&gt;Games!$C$8),1,0))</f>
        <v>0</v>
      </c>
      <c r="AM64" s="13">
        <f>IF(OR(F64="",Results!F5=""),"",IF(AND(F64=Results!F5,Results!F5&lt;&gt;Games!$C$9),1,0))</f>
        <v>0</v>
      </c>
      <c r="AN64" s="13">
        <f>IF(OR(G64="",Results!G5=""),"",IF(AND(G64=Results!G5,Results!G5&lt;&gt;Games!$C$10),1,0))</f>
        <v>0</v>
      </c>
      <c r="AO64" s="13">
        <f>IF(OR(H64="",Results!H5=""),"",IF(AND(H64=Results!H5,Results!H5&lt;&gt;Games!$C$11),1,0))</f>
        <v>0</v>
      </c>
      <c r="AP64" s="13">
        <f>IF(OR(I64="",Results!I5=""),"",IF(AND(I64=Results!I5,Results!I5&lt;&gt;Games!$C$12),1,0))</f>
        <v>0</v>
      </c>
      <c r="AQ64" s="13">
        <f>IF(OR(J64="",Results!J5=""),"",IF(AND(J64=Results!J5,Results!J5&lt;&gt;Games!$C$13),1,0))</f>
        <v>0</v>
      </c>
      <c r="AR64" s="13">
        <f>IF(OR(K64="",Results!K5=""),"",IF(AND(K64=Results!K5,Results!K5&lt;&gt;Games!$C$14),1,0))</f>
        <v>0</v>
      </c>
      <c r="AS64" s="13">
        <f>IF(OR(L64="",Results!L5=""),"",IF(AND(L64=Results!L5,Results!L5&lt;&gt;Games!$C$15),1,0))</f>
        <v>0</v>
      </c>
      <c r="AT64" s="13">
        <f>IF(OR(M64="",Results!M5=""),"",IF(AND(M64=Results!M5,Results!M5&lt;&gt;Games!$C$16),1,0))</f>
        <v>0</v>
      </c>
      <c r="AU64" s="13">
        <f>IF(OR(N64="",Results!N5=""),"",IF(AND(N64=Results!N5,Results!N5&lt;&gt;Games!$C$17),1,0))</f>
        <v>0</v>
      </c>
      <c r="AV64" s="14">
        <f t="shared" si="3"/>
        <v>1</v>
      </c>
    </row>
    <row r="65" spans="1:48" ht="15" customHeight="1" x14ac:dyDescent="0.25">
      <c r="A65" s="4" t="str">
        <f>INDEX(Players!$D$6:$D$69,MATCH(33,Players!$A$6:$A$69,0))</f>
        <v>Vicki P.</v>
      </c>
      <c r="B65" s="5" t="s">
        <v>183</v>
      </c>
      <c r="C65" s="5" t="s">
        <v>187</v>
      </c>
      <c r="D65" s="5" t="s">
        <v>191</v>
      </c>
      <c r="E65" s="5" t="s">
        <v>195</v>
      </c>
      <c r="F65" s="5" t="s">
        <v>199</v>
      </c>
      <c r="G65" s="5" t="s">
        <v>202</v>
      </c>
      <c r="H65" s="5" t="s">
        <v>206</v>
      </c>
      <c r="I65" s="5" t="s">
        <v>210</v>
      </c>
      <c r="J65" s="5" t="s">
        <v>213</v>
      </c>
      <c r="K65" s="5" t="s">
        <v>217</v>
      </c>
      <c r="L65" s="5" t="s">
        <v>221</v>
      </c>
      <c r="M65" s="5" t="s">
        <v>223</v>
      </c>
      <c r="N65" s="5" t="s">
        <v>226</v>
      </c>
      <c r="O65" s="5">
        <v>5</v>
      </c>
      <c r="P65" s="5">
        <v>6</v>
      </c>
      <c r="Q65" s="5">
        <v>8</v>
      </c>
      <c r="R65" s="5">
        <v>58</v>
      </c>
      <c r="S65" s="4">
        <f>IF(OR(B65="",Results!B5=""),"",IF(B65=Results!B5,1+IF(OR($O65=1,$P65=1,$Q65=1),1,0),0))</f>
        <v>0</v>
      </c>
      <c r="T65" s="4">
        <f>IF(OR(C65="",Results!C5=""),"",IF(C65=Results!C5,1+IF(OR($O65=2,$P65=2,$Q65=2),1,0),0))</f>
        <v>0</v>
      </c>
      <c r="U65" s="4">
        <f>IF(OR(D65="",Results!D5=""),"",IF(D65=Results!D5,1+IF(OR($O65=3,$P65=3,$Q65=3),1,0),0))</f>
        <v>1</v>
      </c>
      <c r="V65" s="4">
        <f>IF(OR(E65="",Results!E5=""),"",IF(E65=Results!E5,1+IF(OR($O65=4,$P65=4,$Q65=4),1,0),0))</f>
        <v>1</v>
      </c>
      <c r="W65" s="4">
        <f>IF(OR(F65="",Results!F5=""),"",IF(F65=Results!F5,1+IF(OR($O65=5,$P65=5,$Q65=5),1,0),0))</f>
        <v>2</v>
      </c>
      <c r="X65" s="4">
        <f>IF(OR(G65="",Results!G5=""),"",IF(G65=Results!G5,1+IF(OR($O65=6,$P65=6,$Q65=6),1,0),0))</f>
        <v>2</v>
      </c>
      <c r="Y65" s="4">
        <f>IF(OR(H65="",Results!H5=""),"",IF(H65=Results!H5,1+IF(OR($O65=7,$P65=7,$Q65=7),1,0),0))</f>
        <v>1</v>
      </c>
      <c r="Z65" s="4">
        <f>IF(OR(I65="",Results!I5=""),"",IF(I65=Results!I5,1+IF(OR($O65=8,$P65=8,$Q65=8),1,0),0))</f>
        <v>2</v>
      </c>
      <c r="AA65" s="4">
        <f>IF(OR(J65="",Results!J5=""),"",IF(J65=Results!J5,1+IF(OR($O65=9,$P65=9,$Q65=9),1,0),0))</f>
        <v>1</v>
      </c>
      <c r="AB65" s="4">
        <f>IF(OR(K65="",Results!K5=""),"",IF(K65=Results!K5,1+IF(OR($O65=10,$P65=10,$Q65=10),1,0),0))</f>
        <v>1</v>
      </c>
      <c r="AC65" s="4">
        <f>IF(OR(L65="",Results!L5=""),"",IF(L65=Results!L5,1+IF(OR($O65=11,$P65=11,$Q65=11),1,0),0))</f>
        <v>1</v>
      </c>
      <c r="AD65" s="4">
        <f>IF(OR(M65="",Results!M5=""),"",IF(M65=Results!M5,1+IF(OR($O65=12,$P65=12,$Q65=12),1,0),0))</f>
        <v>1</v>
      </c>
      <c r="AE65" s="4">
        <f>IF(OR(N65="",Results!N5=""),"",IF(N65=Results!N5,1+IF(OR($O65=13,$P65=13,$Q65=13),1,0),0))</f>
        <v>1</v>
      </c>
      <c r="AF65" s="11">
        <f t="shared" si="2"/>
        <v>14</v>
      </c>
      <c r="AG65" s="4">
        <f>IF(OR($R65="",Results!O5=""),"",ABS($R65-Results!O5))</f>
        <v>7</v>
      </c>
      <c r="AH65" s="12">
        <v>33</v>
      </c>
      <c r="AI65" s="13">
        <f>IF(OR(B65="",Results!B5=""),"",IF(AND(B65=Results!B5,Results!B5&lt;&gt;Games!$C$5),1,0))</f>
        <v>0</v>
      </c>
      <c r="AJ65" s="13">
        <f>IF(OR(C65="",Results!C5=""),"",IF(AND(C65=Results!C5,Results!C5&lt;&gt;Games!$C$6),1,0))</f>
        <v>0</v>
      </c>
      <c r="AK65" s="13">
        <f>IF(OR(D65="",Results!D5=""),"",IF(AND(D65=Results!D5,Results!D5&lt;&gt;Games!$C$7),1,0))</f>
        <v>0</v>
      </c>
      <c r="AL65" s="13">
        <f>IF(OR(E65="",Results!E5=""),"",IF(AND(E65=Results!E5,Results!E5&lt;&gt;Games!$C$8),1,0))</f>
        <v>0</v>
      </c>
      <c r="AM65" s="13">
        <f>IF(OR(F65="",Results!F5=""),"",IF(AND(F65=Results!F5,Results!F5&lt;&gt;Games!$C$9),1,0))</f>
        <v>0</v>
      </c>
      <c r="AN65" s="13">
        <f>IF(OR(G65="",Results!G5=""),"",IF(AND(G65=Results!G5,Results!G5&lt;&gt;Games!$C$10),1,0))</f>
        <v>0</v>
      </c>
      <c r="AO65" s="13">
        <f>IF(OR(H65="",Results!H5=""),"",IF(AND(H65=Results!H5,Results!H5&lt;&gt;Games!$C$11),1,0))</f>
        <v>0</v>
      </c>
      <c r="AP65" s="13">
        <f>IF(OR(I65="",Results!I5=""),"",IF(AND(I65=Results!I5,Results!I5&lt;&gt;Games!$C$12),1,0))</f>
        <v>0</v>
      </c>
      <c r="AQ65" s="13">
        <f>IF(OR(J65="",Results!J5=""),"",IF(AND(J65=Results!J5,Results!J5&lt;&gt;Games!$C$13),1,0))</f>
        <v>0</v>
      </c>
      <c r="AR65" s="13">
        <f>IF(OR(K65="",Results!K5=""),"",IF(AND(K65=Results!K5,Results!K5&lt;&gt;Games!$C$14),1,0))</f>
        <v>0</v>
      </c>
      <c r="AS65" s="13">
        <f>IF(OR(L65="",Results!L5=""),"",IF(AND(L65=Results!L5,Results!L5&lt;&gt;Games!$C$15),1,0))</f>
        <v>1</v>
      </c>
      <c r="AT65" s="13">
        <f>IF(OR(M65="",Results!M5=""),"",IF(AND(M65=Results!M5,Results!M5&lt;&gt;Games!$C$16),1,0))</f>
        <v>0</v>
      </c>
      <c r="AU65" s="13">
        <f>IF(OR(N65="",Results!N5=""),"",IF(AND(N65=Results!N5,Results!N5&lt;&gt;Games!$C$17),1,0))</f>
        <v>0</v>
      </c>
      <c r="AV65" s="14">
        <f t="shared" si="3"/>
        <v>1</v>
      </c>
    </row>
  </sheetData>
  <mergeCells count="1">
    <mergeCell ref="A2:H2"/>
  </mergeCells>
  <dataValidations count="1">
    <dataValidation type="whole" allowBlank="1" sqref="O6:Q65" xr:uid="{00000000-0002-0000-0200-00000D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200-000000000000}">
          <x14:formula1>
            <xm:f>Games!$C$5:$D$5</xm:f>
          </x14:formula1>
          <x14:formula2>
            <xm:f>0</xm:f>
          </x14:formula2>
          <xm:sqref>B6:B65</xm:sqref>
        </x14:dataValidation>
        <x14:dataValidation type="list" allowBlank="1" xr:uid="{00000000-0002-0000-0200-000001000000}">
          <x14:formula1>
            <xm:f>Games!$C$6:$D$6</xm:f>
          </x14:formula1>
          <x14:formula2>
            <xm:f>0</xm:f>
          </x14:formula2>
          <xm:sqref>C6:C65</xm:sqref>
        </x14:dataValidation>
        <x14:dataValidation type="list" allowBlank="1" xr:uid="{00000000-0002-0000-0200-000002000000}">
          <x14:formula1>
            <xm:f>Games!$C$7:$D$7</xm:f>
          </x14:formula1>
          <x14:formula2>
            <xm:f>0</xm:f>
          </x14:formula2>
          <xm:sqref>D6:D65</xm:sqref>
        </x14:dataValidation>
        <x14:dataValidation type="list" allowBlank="1" xr:uid="{00000000-0002-0000-0200-000003000000}">
          <x14:formula1>
            <xm:f>Games!$C$8:$D$8</xm:f>
          </x14:formula1>
          <x14:formula2>
            <xm:f>0</xm:f>
          </x14:formula2>
          <xm:sqref>E6:E65</xm:sqref>
        </x14:dataValidation>
        <x14:dataValidation type="list" allowBlank="1" xr:uid="{00000000-0002-0000-0200-000004000000}">
          <x14:formula1>
            <xm:f>Games!$C$9:$D$9</xm:f>
          </x14:formula1>
          <x14:formula2>
            <xm:f>0</xm:f>
          </x14:formula2>
          <xm:sqref>F6:F65</xm:sqref>
        </x14:dataValidation>
        <x14:dataValidation type="list" allowBlank="1" xr:uid="{00000000-0002-0000-0200-000005000000}">
          <x14:formula1>
            <xm:f>Games!$C$10:$D$10</xm:f>
          </x14:formula1>
          <x14:formula2>
            <xm:f>0</xm:f>
          </x14:formula2>
          <xm:sqref>G6:G65</xm:sqref>
        </x14:dataValidation>
        <x14:dataValidation type="list" allowBlank="1" xr:uid="{00000000-0002-0000-0200-000006000000}">
          <x14:formula1>
            <xm:f>Games!$C$11:$D$11</xm:f>
          </x14:formula1>
          <x14:formula2>
            <xm:f>0</xm:f>
          </x14:formula2>
          <xm:sqref>H6:H65</xm:sqref>
        </x14:dataValidation>
        <x14:dataValidation type="list" allowBlank="1" xr:uid="{00000000-0002-0000-0200-000007000000}">
          <x14:formula1>
            <xm:f>Games!$C$12:$D$12</xm:f>
          </x14:formula1>
          <x14:formula2>
            <xm:f>0</xm:f>
          </x14:formula2>
          <xm:sqref>I6:I65</xm:sqref>
        </x14:dataValidation>
        <x14:dataValidation type="list" allowBlank="1" xr:uid="{00000000-0002-0000-0200-000008000000}">
          <x14:formula1>
            <xm:f>Games!$C$13:$D$13</xm:f>
          </x14:formula1>
          <x14:formula2>
            <xm:f>0</xm:f>
          </x14:formula2>
          <xm:sqref>J6:J65</xm:sqref>
        </x14:dataValidation>
        <x14:dataValidation type="list" allowBlank="1" xr:uid="{00000000-0002-0000-0200-000009000000}">
          <x14:formula1>
            <xm:f>Games!$C$14:$D$14</xm:f>
          </x14:formula1>
          <x14:formula2>
            <xm:f>0</xm:f>
          </x14:formula2>
          <xm:sqref>K6:K65</xm:sqref>
        </x14:dataValidation>
        <x14:dataValidation type="list" allowBlank="1" xr:uid="{00000000-0002-0000-0200-00000A000000}">
          <x14:formula1>
            <xm:f>Games!$C$15:$D$15</xm:f>
          </x14:formula1>
          <x14:formula2>
            <xm:f>0</xm:f>
          </x14:formula2>
          <xm:sqref>L6:L65</xm:sqref>
        </x14:dataValidation>
        <x14:dataValidation type="list" allowBlank="1" xr:uid="{00000000-0002-0000-0200-00000B000000}">
          <x14:formula1>
            <xm:f>Games!$C$16:$D$16</xm:f>
          </x14:formula1>
          <x14:formula2>
            <xm:f>0</xm:f>
          </x14:formula2>
          <xm:sqref>M6:M65</xm:sqref>
        </x14:dataValidation>
        <x14:dataValidation type="list" allowBlank="1" xr:uid="{00000000-0002-0000-0200-00000C000000}">
          <x14:formula1>
            <xm:f>Games!$C$17:$D$17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315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1&amp;CHAR(10)&amp;Games!C18&amp;" vs "&amp;Games!D18</f>
        <v>1
Boston College vs Rutgers</v>
      </c>
      <c r="C4" s="10" t="str">
        <f>2&amp;CHAR(10)&amp;Games!C19&amp;" vs "&amp;Games!D19</f>
        <v>2
Missouri vs Kansas</v>
      </c>
      <c r="D4" s="10" t="str">
        <f>3&amp;CHAR(10)&amp;Games!C20&amp;" vs "&amp;Games!D20</f>
        <v>3
Oklahoma vs Michigan</v>
      </c>
      <c r="E4" s="10" t="str">
        <f>4&amp;CHAR(10)&amp;Games!C21&amp;" vs "&amp;Games!D21</f>
        <v>4
Wake Forest vs Purdue</v>
      </c>
      <c r="F4" s="10" t="str">
        <f>5&amp;CHAR(10)&amp;Games!C22&amp;" vs "&amp;Games!D22</f>
        <v>5
Army vs South Florida</v>
      </c>
      <c r="G4" s="10" t="str">
        <f>6&amp;CHAR(10)&amp;Games!C23&amp;" vs "&amp;Games!D23</f>
        <v>6
Mississippi State vs Minnesota</v>
      </c>
      <c r="H4" s="10" t="str">
        <f>7&amp;CHAR(10)&amp;Games!C24&amp;" vs "&amp;Games!D24</f>
        <v>7
Syracuse vs California</v>
      </c>
      <c r="I4" s="10" t="str">
        <f>8&amp;CHAR(10)&amp;Games!C25&amp;" vs "&amp;Games!D25</f>
        <v>8
Illinois vs Duke</v>
      </c>
      <c r="J4" s="10" t="str">
        <f>9&amp;CHAR(10)&amp;Games!C26&amp;" vs "&amp;Games!D26</f>
        <v>9
Pitt vs UCF</v>
      </c>
      <c r="K4" s="10" t="str">
        <f>10&amp;CHAR(10)&amp;Games!C27&amp;" vs "&amp;Games!D27</f>
        <v>10
BYU vs Arizona</v>
      </c>
      <c r="L4" s="10" t="str">
        <f>11&amp;CHAR(10)&amp;Games!C28&amp;" vs "&amp;Games!D28</f>
        <v>11
Navy vs Florida Atlantic</v>
      </c>
      <c r="M4" s="10" t="str">
        <f>12&amp;CHAR(10)&amp;Games!C29&amp;" vs "&amp;Games!D29</f>
        <v>12
Texas vs Ohio State</v>
      </c>
      <c r="N4" s="10" t="str">
        <f>13&amp;CHAR(10)&amp;Games!C30&amp;" vs "&amp;Games!D30</f>
        <v>13
North Dakota State vs Air Force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 t="s">
        <v>196</v>
      </c>
      <c r="C6" s="5" t="s">
        <v>230</v>
      </c>
      <c r="D6" s="5" t="s">
        <v>232</v>
      </c>
      <c r="E6" s="5" t="s">
        <v>234</v>
      </c>
      <c r="F6" s="5" t="s">
        <v>237</v>
      </c>
      <c r="G6" s="5" t="s">
        <v>239</v>
      </c>
      <c r="H6" s="5" t="s">
        <v>242</v>
      </c>
      <c r="I6" s="5" t="s">
        <v>244</v>
      </c>
      <c r="J6" s="5" t="s">
        <v>245</v>
      </c>
      <c r="K6" s="5" t="s">
        <v>247</v>
      </c>
      <c r="L6" s="5" t="s">
        <v>249</v>
      </c>
      <c r="M6" s="5" t="s">
        <v>251</v>
      </c>
      <c r="N6" s="5" t="s">
        <v>253</v>
      </c>
      <c r="O6" s="5">
        <v>7</v>
      </c>
      <c r="P6" s="5">
        <v>10</v>
      </c>
      <c r="Q6" s="5">
        <v>11</v>
      </c>
      <c r="R6" s="5">
        <v>55</v>
      </c>
      <c r="S6" s="4">
        <f>IF(OR(B6="",Results!B6=""),"",IF(B6=Results!B6,1+IF(OR($O6=1,$P6=1,$Q6=1),1,0),0))</f>
        <v>1</v>
      </c>
      <c r="T6" s="4">
        <f>IF(OR(C6="",Results!C6=""),"",IF(C6=Results!C6,1+IF(OR($O6=2,$P6=2,$Q6=2),1,0),0))</f>
        <v>1</v>
      </c>
      <c r="U6" s="4">
        <f>IF(OR(D6="",Results!D6=""),"",IF(D6=Results!D6,1+IF(OR($O6=3,$P6=3,$Q6=3),1,0),0))</f>
        <v>0</v>
      </c>
      <c r="V6" s="4">
        <f>IF(OR(E6="",Results!E6=""),"",IF(E6=Results!E6,1+IF(OR($O6=4,$P6=4,$Q6=4),1,0),0))</f>
        <v>1</v>
      </c>
      <c r="W6" s="4">
        <f>IF(OR(F6="",Results!F6=""),"",IF(F6=Results!F6,1+IF(OR($O6=5,$P6=5,$Q6=5),1,0),0))</f>
        <v>0</v>
      </c>
      <c r="X6" s="4">
        <f>IF(OR(G6="",Results!G6=""),"",IF(G6=Results!G6,1+IF(OR($O6=6,$P6=6,$Q6=6),1,0),0))</f>
        <v>1</v>
      </c>
      <c r="Y6" s="4">
        <f>IF(OR(H6="",Results!H6=""),"",IF(H6=Results!H6,1+IF(OR($O6=7,$P6=7,$Q6=7),1,0),0))</f>
        <v>0</v>
      </c>
      <c r="Z6" s="4">
        <f>IF(OR(I6="",Results!I6=""),"",IF(I6=Results!I6,1+IF(OR($O6=8,$P6=8,$Q6=8),1,0),0))</f>
        <v>0</v>
      </c>
      <c r="AA6" s="4">
        <f>IF(OR(J6="",Results!J6=""),"",IF(J6=Results!J6,1+IF(OR($O6=9,$P6=9,$Q6=9),1,0),0))</f>
        <v>1</v>
      </c>
      <c r="AB6" s="4">
        <f>IF(OR(K6="",Results!K6=""),"",IF(K6=Results!K6,1+IF(OR($O6=10,$P6=10,$Q6=10),1,0),0))</f>
        <v>2</v>
      </c>
      <c r="AC6" s="4">
        <f>IF(OR(L6="",Results!L6=""),"",IF(L6=Results!L6,1+IF(OR($O6=11,$P6=11,$Q6=11),1,0),0))</f>
        <v>0</v>
      </c>
      <c r="AD6" s="4">
        <f>IF(OR(M6="",Results!M6=""),"",IF(M6=Results!M6,1+IF(OR($O6=12,$P6=12,$Q6=12),1,0),0))</f>
        <v>1</v>
      </c>
      <c r="AE6" s="4">
        <f>IF(OR(N6="",Results!N6=""),"",IF(N6=Results!N6,1+IF(OR($O6=13,$P6=13,$Q6=13),1,0),0))</f>
        <v>1</v>
      </c>
      <c r="AF6" s="11">
        <f t="shared" ref="AF6:AF37" si="0">SUM(S6:AE6)</f>
        <v>9</v>
      </c>
      <c r="AG6" s="4" t="str">
        <f>IF(OR($R6="",Results!O6=""),"",ABS($R6-Results!O6))</f>
        <v/>
      </c>
      <c r="AH6" s="12">
        <v>2</v>
      </c>
      <c r="AI6" s="13">
        <f>IF(OR(B6="",Results!B6=""),"",IF(AND(B6=Results!B6,Results!B6&lt;&gt;Games!$C$18),1,0))</f>
        <v>0</v>
      </c>
      <c r="AJ6" s="13">
        <f>IF(OR(C6="",Results!C6=""),"",IF(AND(C6=Results!C6,Results!C6&lt;&gt;Games!$C$19),1,0))</f>
        <v>0</v>
      </c>
      <c r="AK6" s="13">
        <f>IF(OR(D6="",Results!D6=""),"",IF(AND(D6=Results!D6,Results!D6&lt;&gt;Games!$C$20),1,0))</f>
        <v>0</v>
      </c>
      <c r="AL6" s="13">
        <f>IF(OR(E6="",Results!E6=""),"",IF(AND(E6=Results!E6,Results!E6&lt;&gt;Games!$C$21),1,0))</f>
        <v>0</v>
      </c>
      <c r="AM6" s="13">
        <f>IF(OR(F6="",Results!F6=""),"",IF(AND(F6=Results!F6,Results!F6&lt;&gt;Games!$C$22),1,0))</f>
        <v>0</v>
      </c>
      <c r="AN6" s="13">
        <f>IF(OR(G6="",Results!G6=""),"",IF(AND(G6=Results!G6,Results!G6&lt;&gt;Games!$C$23),1,0))</f>
        <v>0</v>
      </c>
      <c r="AO6" s="13">
        <f>IF(OR(H6="",Results!H6=""),"",IF(AND(H6=Results!H6,Results!H6&lt;&gt;Games!$C$24),1,0))</f>
        <v>0</v>
      </c>
      <c r="AP6" s="13">
        <f>IF(OR(I6="",Results!I6=""),"",IF(AND(I6=Results!I6,Results!I6&lt;&gt;Games!$C$25),1,0))</f>
        <v>0</v>
      </c>
      <c r="AQ6" s="13">
        <f>IF(OR(J6="",Results!J6=""),"",IF(AND(J6=Results!J6,Results!J6&lt;&gt;Games!$C$26),1,0))</f>
        <v>0</v>
      </c>
      <c r="AR6" s="13">
        <f>IF(OR(K6="",Results!K6=""),"",IF(AND(K6=Results!K6,Results!K6&lt;&gt;Games!$C$27),1,0))</f>
        <v>0</v>
      </c>
      <c r="AS6" s="13">
        <f>IF(OR(L6="",Results!L6=""),"",IF(AND(L6=Results!L6,Results!L6&lt;&gt;Games!$C$28),1,0))</f>
        <v>0</v>
      </c>
      <c r="AT6" s="13">
        <f>IF(OR(M6="",Results!M6=""),"",IF(AND(M6=Results!M6,Results!M6&lt;&gt;Games!$C$29),1,0))</f>
        <v>0</v>
      </c>
      <c r="AU6" s="13">
        <f>IF(OR(N6="",Results!N6=""),"",IF(AND(N6=Results!N6,Results!N6&lt;&gt;Games!$C$30),1,0))</f>
        <v>0</v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 t="s">
        <v>196</v>
      </c>
      <c r="C7" s="5" t="s">
        <v>230</v>
      </c>
      <c r="D7" s="5" t="s">
        <v>232</v>
      </c>
      <c r="E7" s="5" t="s">
        <v>235</v>
      </c>
      <c r="F7" s="5" t="s">
        <v>237</v>
      </c>
      <c r="G7" s="5" t="s">
        <v>240</v>
      </c>
      <c r="H7" s="5" t="s">
        <v>242</v>
      </c>
      <c r="I7" s="5" t="s">
        <v>244</v>
      </c>
      <c r="J7" s="5" t="s">
        <v>245</v>
      </c>
      <c r="K7" s="5" t="s">
        <v>247</v>
      </c>
      <c r="L7" s="5" t="s">
        <v>249</v>
      </c>
      <c r="M7" s="5" t="s">
        <v>252</v>
      </c>
      <c r="N7" s="5" t="s">
        <v>253</v>
      </c>
      <c r="O7" s="5">
        <v>3</v>
      </c>
      <c r="P7" s="5">
        <v>9</v>
      </c>
      <c r="Q7" s="5">
        <v>10</v>
      </c>
      <c r="R7" s="5">
        <v>56</v>
      </c>
      <c r="S7" s="4">
        <f>IF(OR(B7="",Results!B6=""),"",IF(B7=Results!B6,1+IF(OR($O7=1,$P7=1,$Q7=1),1,0),0))</f>
        <v>1</v>
      </c>
      <c r="T7" s="4">
        <f>IF(OR(C7="",Results!C6=""),"",IF(C7=Results!C6,1+IF(OR($O7=2,$P7=2,$Q7=2),1,0),0))</f>
        <v>1</v>
      </c>
      <c r="U7" s="4">
        <f>IF(OR(D7="",Results!D6=""),"",IF(D7=Results!D6,1+IF(OR($O7=3,$P7=3,$Q7=3),1,0),0))</f>
        <v>0</v>
      </c>
      <c r="V7" s="4">
        <f>IF(OR(E7="",Results!E6=""),"",IF(E7=Results!E6,1+IF(OR($O7=4,$P7=4,$Q7=4),1,0),0))</f>
        <v>0</v>
      </c>
      <c r="W7" s="4">
        <f>IF(OR(F7="",Results!F6=""),"",IF(F7=Results!F6,1+IF(OR($O7=5,$P7=5,$Q7=5),1,0),0))</f>
        <v>0</v>
      </c>
      <c r="X7" s="4">
        <f>IF(OR(G7="",Results!G6=""),"",IF(G7=Results!G6,1+IF(OR($O7=6,$P7=6,$Q7=6),1,0),0))</f>
        <v>0</v>
      </c>
      <c r="Y7" s="4">
        <f>IF(OR(H7="",Results!H6=""),"",IF(H7=Results!H6,1+IF(OR($O7=7,$P7=7,$Q7=7),1,0),0))</f>
        <v>0</v>
      </c>
      <c r="Z7" s="4">
        <f>IF(OR(I7="",Results!I6=""),"",IF(I7=Results!I6,1+IF(OR($O7=8,$P7=8,$Q7=8),1,0),0))</f>
        <v>0</v>
      </c>
      <c r="AA7" s="4">
        <f>IF(OR(J7="",Results!J6=""),"",IF(J7=Results!J6,1+IF(OR($O7=9,$P7=9,$Q7=9),1,0),0))</f>
        <v>2</v>
      </c>
      <c r="AB7" s="4">
        <f>IF(OR(K7="",Results!K6=""),"",IF(K7=Results!K6,1+IF(OR($O7=10,$P7=10,$Q7=10),1,0),0))</f>
        <v>2</v>
      </c>
      <c r="AC7" s="4">
        <f>IF(OR(L7="",Results!L6=""),"",IF(L7=Results!L6,1+IF(OR($O7=11,$P7=11,$Q7=11),1,0),0))</f>
        <v>0</v>
      </c>
      <c r="AD7" s="4">
        <f>IF(OR(M7="",Results!M6=""),"",IF(M7=Results!M6,1+IF(OR($O7=12,$P7=12,$Q7=12),1,0),0))</f>
        <v>0</v>
      </c>
      <c r="AE7" s="4">
        <f>IF(OR(N7="",Results!N6=""),"",IF(N7=Results!N6,1+IF(OR($O7=13,$P7=13,$Q7=13),1,0),0))</f>
        <v>1</v>
      </c>
      <c r="AF7" s="11">
        <f t="shared" si="0"/>
        <v>7</v>
      </c>
      <c r="AG7" s="4" t="str">
        <f>IF(OR($R7="",Results!O6=""),"",ABS($R7-Results!O6))</f>
        <v/>
      </c>
      <c r="AH7" s="12">
        <v>53</v>
      </c>
      <c r="AI7" s="13">
        <f>IF(OR(B7="",Results!B6=""),"",IF(AND(B7=Results!B6,Results!B6&lt;&gt;Games!$C$18),1,0))</f>
        <v>0</v>
      </c>
      <c r="AJ7" s="13">
        <f>IF(OR(C7="",Results!C6=""),"",IF(AND(C7=Results!C6,Results!C6&lt;&gt;Games!$C$19),1,0))</f>
        <v>0</v>
      </c>
      <c r="AK7" s="13">
        <f>IF(OR(D7="",Results!D6=""),"",IF(AND(D7=Results!D6,Results!D6&lt;&gt;Games!$C$20),1,0))</f>
        <v>0</v>
      </c>
      <c r="AL7" s="13">
        <f>IF(OR(E7="",Results!E6=""),"",IF(AND(E7=Results!E6,Results!E6&lt;&gt;Games!$C$21),1,0))</f>
        <v>0</v>
      </c>
      <c r="AM7" s="13">
        <f>IF(OR(F7="",Results!F6=""),"",IF(AND(F7=Results!F6,Results!F6&lt;&gt;Games!$C$22),1,0))</f>
        <v>0</v>
      </c>
      <c r="AN7" s="13">
        <f>IF(OR(G7="",Results!G6=""),"",IF(AND(G7=Results!G6,Results!G6&lt;&gt;Games!$C$23),1,0))</f>
        <v>0</v>
      </c>
      <c r="AO7" s="13">
        <f>IF(OR(H7="",Results!H6=""),"",IF(AND(H7=Results!H6,Results!H6&lt;&gt;Games!$C$24),1,0))</f>
        <v>0</v>
      </c>
      <c r="AP7" s="13">
        <f>IF(OR(I7="",Results!I6=""),"",IF(AND(I7=Results!I6,Results!I6&lt;&gt;Games!$C$25),1,0))</f>
        <v>0</v>
      </c>
      <c r="AQ7" s="13">
        <f>IF(OR(J7="",Results!J6=""),"",IF(AND(J7=Results!J6,Results!J6&lt;&gt;Games!$C$26),1,0))</f>
        <v>0</v>
      </c>
      <c r="AR7" s="13">
        <f>IF(OR(K7="",Results!K6=""),"",IF(AND(K7=Results!K6,Results!K6&lt;&gt;Games!$C$27),1,0))</f>
        <v>0</v>
      </c>
      <c r="AS7" s="13">
        <f>IF(OR(L7="",Results!L6=""),"",IF(AND(L7=Results!L6,Results!L6&lt;&gt;Games!$C$28),1,0))</f>
        <v>0</v>
      </c>
      <c r="AT7" s="13">
        <f>IF(OR(M7="",Results!M6=""),"",IF(AND(M7=Results!M6,Results!M6&lt;&gt;Games!$C$29),1,0))</f>
        <v>0</v>
      </c>
      <c r="AU7" s="13">
        <f>IF(OR(N7="",Results!N6=""),"",IF(AND(N7=Results!N6,Results!N6&lt;&gt;Games!$C$30),1,0))</f>
        <v>0</v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 t="s">
        <v>196</v>
      </c>
      <c r="C8" s="5" t="s">
        <v>230</v>
      </c>
      <c r="D8" s="5" t="s">
        <v>232</v>
      </c>
      <c r="E8" s="5" t="s">
        <v>234</v>
      </c>
      <c r="F8" s="5" t="s">
        <v>237</v>
      </c>
      <c r="G8" s="5" t="s">
        <v>239</v>
      </c>
      <c r="H8" s="5" t="s">
        <v>242</v>
      </c>
      <c r="I8" s="5" t="s">
        <v>244</v>
      </c>
      <c r="J8" s="5" t="s">
        <v>245</v>
      </c>
      <c r="K8" s="5" t="s">
        <v>247</v>
      </c>
      <c r="L8" s="5" t="s">
        <v>249</v>
      </c>
      <c r="M8" s="5" t="s">
        <v>251</v>
      </c>
      <c r="N8" s="5" t="s">
        <v>253</v>
      </c>
      <c r="O8" s="5">
        <v>7</v>
      </c>
      <c r="P8" s="5">
        <v>9</v>
      </c>
      <c r="Q8" s="5">
        <v>11</v>
      </c>
      <c r="R8" s="5">
        <v>59</v>
      </c>
      <c r="S8" s="4">
        <f>IF(OR(B8="",Results!B6=""),"",IF(B8=Results!B6,1+IF(OR($O8=1,$P8=1,$Q8=1),1,0),0))</f>
        <v>1</v>
      </c>
      <c r="T8" s="4">
        <f>IF(OR(C8="",Results!C6=""),"",IF(C8=Results!C6,1+IF(OR($O8=2,$P8=2,$Q8=2),1,0),0))</f>
        <v>1</v>
      </c>
      <c r="U8" s="4">
        <f>IF(OR(D8="",Results!D6=""),"",IF(D8=Results!D6,1+IF(OR($O8=3,$P8=3,$Q8=3),1,0),0))</f>
        <v>0</v>
      </c>
      <c r="V8" s="4">
        <f>IF(OR(E8="",Results!E6=""),"",IF(E8=Results!E6,1+IF(OR($O8=4,$P8=4,$Q8=4),1,0),0))</f>
        <v>1</v>
      </c>
      <c r="W8" s="4">
        <f>IF(OR(F8="",Results!F6=""),"",IF(F8=Results!F6,1+IF(OR($O8=5,$P8=5,$Q8=5),1,0),0))</f>
        <v>0</v>
      </c>
      <c r="X8" s="4">
        <f>IF(OR(G8="",Results!G6=""),"",IF(G8=Results!G6,1+IF(OR($O8=6,$P8=6,$Q8=6),1,0),0))</f>
        <v>1</v>
      </c>
      <c r="Y8" s="4">
        <f>IF(OR(H8="",Results!H6=""),"",IF(H8=Results!H6,1+IF(OR($O8=7,$P8=7,$Q8=7),1,0),0))</f>
        <v>0</v>
      </c>
      <c r="Z8" s="4">
        <f>IF(OR(I8="",Results!I6=""),"",IF(I8=Results!I6,1+IF(OR($O8=8,$P8=8,$Q8=8),1,0),0))</f>
        <v>0</v>
      </c>
      <c r="AA8" s="4">
        <f>IF(OR(J8="",Results!J6=""),"",IF(J8=Results!J6,1+IF(OR($O8=9,$P8=9,$Q8=9),1,0),0))</f>
        <v>2</v>
      </c>
      <c r="AB8" s="4">
        <f>IF(OR(K8="",Results!K6=""),"",IF(K8=Results!K6,1+IF(OR($O8=10,$P8=10,$Q8=10),1,0),0))</f>
        <v>1</v>
      </c>
      <c r="AC8" s="4">
        <f>IF(OR(L8="",Results!L6=""),"",IF(L8=Results!L6,1+IF(OR($O8=11,$P8=11,$Q8=11),1,0),0))</f>
        <v>0</v>
      </c>
      <c r="AD8" s="4">
        <f>IF(OR(M8="",Results!M6=""),"",IF(M8=Results!M6,1+IF(OR($O8=12,$P8=12,$Q8=12),1,0),0))</f>
        <v>1</v>
      </c>
      <c r="AE8" s="4">
        <f>IF(OR(N8="",Results!N6=""),"",IF(N8=Results!N6,1+IF(OR($O8=13,$P8=13,$Q8=13),1,0),0))</f>
        <v>1</v>
      </c>
      <c r="AF8" s="11">
        <f t="shared" si="0"/>
        <v>9</v>
      </c>
      <c r="AG8" s="4" t="str">
        <f>IF(OR($R8="",Results!O6=""),"",ABS($R8-Results!O6))</f>
        <v/>
      </c>
      <c r="AH8" s="12">
        <v>61</v>
      </c>
      <c r="AI8" s="13">
        <f>IF(OR(B8="",Results!B6=""),"",IF(AND(B8=Results!B6,Results!B6&lt;&gt;Games!$C$18),1,0))</f>
        <v>0</v>
      </c>
      <c r="AJ8" s="13">
        <f>IF(OR(C8="",Results!C6=""),"",IF(AND(C8=Results!C6,Results!C6&lt;&gt;Games!$C$19),1,0))</f>
        <v>0</v>
      </c>
      <c r="AK8" s="13">
        <f>IF(OR(D8="",Results!D6=""),"",IF(AND(D8=Results!D6,Results!D6&lt;&gt;Games!$C$20),1,0))</f>
        <v>0</v>
      </c>
      <c r="AL8" s="13">
        <f>IF(OR(E8="",Results!E6=""),"",IF(AND(E8=Results!E6,Results!E6&lt;&gt;Games!$C$21),1,0))</f>
        <v>0</v>
      </c>
      <c r="AM8" s="13">
        <f>IF(OR(F8="",Results!F6=""),"",IF(AND(F8=Results!F6,Results!F6&lt;&gt;Games!$C$22),1,0))</f>
        <v>0</v>
      </c>
      <c r="AN8" s="13">
        <f>IF(OR(G8="",Results!G6=""),"",IF(AND(G8=Results!G6,Results!G6&lt;&gt;Games!$C$23),1,0))</f>
        <v>0</v>
      </c>
      <c r="AO8" s="13">
        <f>IF(OR(H8="",Results!H6=""),"",IF(AND(H8=Results!H6,Results!H6&lt;&gt;Games!$C$24),1,0))</f>
        <v>0</v>
      </c>
      <c r="AP8" s="13">
        <f>IF(OR(I8="",Results!I6=""),"",IF(AND(I8=Results!I6,Results!I6&lt;&gt;Games!$C$25),1,0))</f>
        <v>0</v>
      </c>
      <c r="AQ8" s="13">
        <f>IF(OR(J8="",Results!J6=""),"",IF(AND(J8=Results!J6,Results!J6&lt;&gt;Games!$C$26),1,0))</f>
        <v>0</v>
      </c>
      <c r="AR8" s="13">
        <f>IF(OR(K8="",Results!K6=""),"",IF(AND(K8=Results!K6,Results!K6&lt;&gt;Games!$C$27),1,0))</f>
        <v>0</v>
      </c>
      <c r="AS8" s="13">
        <f>IF(OR(L8="",Results!L6=""),"",IF(AND(L8=Results!L6,Results!L6&lt;&gt;Games!$C$28),1,0))</f>
        <v>0</v>
      </c>
      <c r="AT8" s="13">
        <f>IF(OR(M8="",Results!M6=""),"",IF(AND(M8=Results!M6,Results!M6&lt;&gt;Games!$C$29),1,0))</f>
        <v>0</v>
      </c>
      <c r="AU8" s="13">
        <f>IF(OR(N8="",Results!N6=""),"",IF(AND(N8=Results!N6,Results!N6&lt;&gt;Games!$C$30),1,0))</f>
        <v>0</v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 t="s">
        <v>196</v>
      </c>
      <c r="C9" s="5" t="s">
        <v>230</v>
      </c>
      <c r="D9" s="5" t="s">
        <v>232</v>
      </c>
      <c r="E9" s="5" t="s">
        <v>234</v>
      </c>
      <c r="F9" s="5" t="s">
        <v>237</v>
      </c>
      <c r="G9" s="5" t="s">
        <v>240</v>
      </c>
      <c r="H9" s="5" t="s">
        <v>242</v>
      </c>
      <c r="I9" s="5" t="s">
        <v>244</v>
      </c>
      <c r="J9" s="5" t="s">
        <v>245</v>
      </c>
      <c r="K9" s="5" t="s">
        <v>247</v>
      </c>
      <c r="L9" s="5" t="s">
        <v>249</v>
      </c>
      <c r="M9" s="5" t="s">
        <v>251</v>
      </c>
      <c r="N9" s="5" t="s">
        <v>253</v>
      </c>
      <c r="O9" s="5">
        <v>5</v>
      </c>
      <c r="P9" s="5">
        <v>9</v>
      </c>
      <c r="Q9" s="5">
        <v>10</v>
      </c>
      <c r="R9" s="5">
        <v>45</v>
      </c>
      <c r="S9" s="4">
        <f>IF(OR(B9="",Results!B6=""),"",IF(B9=Results!B6,1+IF(OR($O9=1,$P9=1,$Q9=1),1,0),0))</f>
        <v>1</v>
      </c>
      <c r="T9" s="4">
        <f>IF(OR(C9="",Results!C6=""),"",IF(C9=Results!C6,1+IF(OR($O9=2,$P9=2,$Q9=2),1,0),0))</f>
        <v>1</v>
      </c>
      <c r="U9" s="4">
        <f>IF(OR(D9="",Results!D6=""),"",IF(D9=Results!D6,1+IF(OR($O9=3,$P9=3,$Q9=3),1,0),0))</f>
        <v>0</v>
      </c>
      <c r="V9" s="4">
        <f>IF(OR(E9="",Results!E6=""),"",IF(E9=Results!E6,1+IF(OR($O9=4,$P9=4,$Q9=4),1,0),0))</f>
        <v>1</v>
      </c>
      <c r="W9" s="4">
        <f>IF(OR(F9="",Results!F6=""),"",IF(F9=Results!F6,1+IF(OR($O9=5,$P9=5,$Q9=5),1,0),0))</f>
        <v>0</v>
      </c>
      <c r="X9" s="4">
        <f>IF(OR(G9="",Results!G6=""),"",IF(G9=Results!G6,1+IF(OR($O9=6,$P9=6,$Q9=6),1,0),0))</f>
        <v>0</v>
      </c>
      <c r="Y9" s="4">
        <f>IF(OR(H9="",Results!H6=""),"",IF(H9=Results!H6,1+IF(OR($O9=7,$P9=7,$Q9=7),1,0),0))</f>
        <v>0</v>
      </c>
      <c r="Z9" s="4">
        <f>IF(OR(I9="",Results!I6=""),"",IF(I9=Results!I6,1+IF(OR($O9=8,$P9=8,$Q9=8),1,0),0))</f>
        <v>0</v>
      </c>
      <c r="AA9" s="4">
        <f>IF(OR(J9="",Results!J6=""),"",IF(J9=Results!J6,1+IF(OR($O9=9,$P9=9,$Q9=9),1,0),0))</f>
        <v>2</v>
      </c>
      <c r="AB9" s="4">
        <f>IF(OR(K9="",Results!K6=""),"",IF(K9=Results!K6,1+IF(OR($O9=10,$P9=10,$Q9=10),1,0),0))</f>
        <v>2</v>
      </c>
      <c r="AC9" s="4">
        <f>IF(OR(L9="",Results!L6=""),"",IF(L9=Results!L6,1+IF(OR($O9=11,$P9=11,$Q9=11),1,0),0))</f>
        <v>0</v>
      </c>
      <c r="AD9" s="4">
        <f>IF(OR(M9="",Results!M6=""),"",IF(M9=Results!M6,1+IF(OR($O9=12,$P9=12,$Q9=12),1,0),0))</f>
        <v>1</v>
      </c>
      <c r="AE9" s="4">
        <f>IF(OR(N9="",Results!N6=""),"",IF(N9=Results!N6,1+IF(OR($O9=13,$P9=13,$Q9=13),1,0),0))</f>
        <v>1</v>
      </c>
      <c r="AF9" s="11">
        <f t="shared" si="0"/>
        <v>9</v>
      </c>
      <c r="AG9" s="4" t="str">
        <f>IF(OR($R9="",Results!O6=""),"",ABS($R9-Results!O6))</f>
        <v/>
      </c>
      <c r="AH9" s="12">
        <v>41</v>
      </c>
      <c r="AI9" s="13">
        <f>IF(OR(B9="",Results!B6=""),"",IF(AND(B9=Results!B6,Results!B6&lt;&gt;Games!$C$18),1,0))</f>
        <v>0</v>
      </c>
      <c r="AJ9" s="13">
        <f>IF(OR(C9="",Results!C6=""),"",IF(AND(C9=Results!C6,Results!C6&lt;&gt;Games!$C$19),1,0))</f>
        <v>0</v>
      </c>
      <c r="AK9" s="13">
        <f>IF(OR(D9="",Results!D6=""),"",IF(AND(D9=Results!D6,Results!D6&lt;&gt;Games!$C$20),1,0))</f>
        <v>0</v>
      </c>
      <c r="AL9" s="13">
        <f>IF(OR(E9="",Results!E6=""),"",IF(AND(E9=Results!E6,Results!E6&lt;&gt;Games!$C$21),1,0))</f>
        <v>0</v>
      </c>
      <c r="AM9" s="13">
        <f>IF(OR(F9="",Results!F6=""),"",IF(AND(F9=Results!F6,Results!F6&lt;&gt;Games!$C$22),1,0))</f>
        <v>0</v>
      </c>
      <c r="AN9" s="13">
        <f>IF(OR(G9="",Results!G6=""),"",IF(AND(G9=Results!G6,Results!G6&lt;&gt;Games!$C$23),1,0))</f>
        <v>0</v>
      </c>
      <c r="AO9" s="13">
        <f>IF(OR(H9="",Results!H6=""),"",IF(AND(H9=Results!H6,Results!H6&lt;&gt;Games!$C$24),1,0))</f>
        <v>0</v>
      </c>
      <c r="AP9" s="13">
        <f>IF(OR(I9="",Results!I6=""),"",IF(AND(I9=Results!I6,Results!I6&lt;&gt;Games!$C$25),1,0))</f>
        <v>0</v>
      </c>
      <c r="AQ9" s="13">
        <f>IF(OR(J9="",Results!J6=""),"",IF(AND(J9=Results!J6,Results!J6&lt;&gt;Games!$C$26),1,0))</f>
        <v>0</v>
      </c>
      <c r="AR9" s="13">
        <f>IF(OR(K9="",Results!K6=""),"",IF(AND(K9=Results!K6,Results!K6&lt;&gt;Games!$C$27),1,0))</f>
        <v>0</v>
      </c>
      <c r="AS9" s="13">
        <f>IF(OR(L9="",Results!L6=""),"",IF(AND(L9=Results!L6,Results!L6&lt;&gt;Games!$C$28),1,0))</f>
        <v>0</v>
      </c>
      <c r="AT9" s="13">
        <f>IF(OR(M9="",Results!M6=""),"",IF(AND(M9=Results!M6,Results!M6&lt;&gt;Games!$C$29),1,0))</f>
        <v>0</v>
      </c>
      <c r="AU9" s="13">
        <f>IF(OR(N9="",Results!N6=""),"",IF(AND(N9=Results!N6,Results!N6&lt;&gt;Games!$C$30),1,0))</f>
        <v>0</v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 t="s">
        <v>196</v>
      </c>
      <c r="C10" s="5" t="s">
        <v>231</v>
      </c>
      <c r="D10" s="5" t="s">
        <v>233</v>
      </c>
      <c r="E10" s="5" t="s">
        <v>234</v>
      </c>
      <c r="F10" s="5" t="s">
        <v>238</v>
      </c>
      <c r="G10" s="5" t="s">
        <v>240</v>
      </c>
      <c r="H10" s="5" t="s">
        <v>242</v>
      </c>
      <c r="I10" s="5" t="s">
        <v>199</v>
      </c>
      <c r="J10" s="5" t="s">
        <v>245</v>
      </c>
      <c r="K10" s="5" t="s">
        <v>247</v>
      </c>
      <c r="L10" s="5" t="s">
        <v>249</v>
      </c>
      <c r="M10" s="5" t="s">
        <v>252</v>
      </c>
      <c r="N10" s="5" t="s">
        <v>253</v>
      </c>
      <c r="O10" s="5">
        <v>4</v>
      </c>
      <c r="P10" s="5">
        <v>9</v>
      </c>
      <c r="Q10" s="5">
        <v>12</v>
      </c>
      <c r="R10" s="5">
        <v>42</v>
      </c>
      <c r="S10" s="4">
        <f>IF(OR(B10="",Results!B6=""),"",IF(B10=Results!B6,1+IF(OR($O10=1,$P10=1,$Q10=1),1,0),0))</f>
        <v>1</v>
      </c>
      <c r="T10" s="4">
        <f>IF(OR(C10="",Results!C6=""),"",IF(C10=Results!C6,1+IF(OR($O10=2,$P10=2,$Q10=2),1,0),0))</f>
        <v>0</v>
      </c>
      <c r="U10" s="4">
        <f>IF(OR(D10="",Results!D6=""),"",IF(D10=Results!D6,1+IF(OR($O10=3,$P10=3,$Q10=3),1,0),0))</f>
        <v>1</v>
      </c>
      <c r="V10" s="4">
        <f>IF(OR(E10="",Results!E6=""),"",IF(E10=Results!E6,1+IF(OR($O10=4,$P10=4,$Q10=4),1,0),0))</f>
        <v>2</v>
      </c>
      <c r="W10" s="4">
        <f>IF(OR(F10="",Results!F6=""),"",IF(F10=Results!F6,1+IF(OR($O10=5,$P10=5,$Q10=5),1,0),0))</f>
        <v>1</v>
      </c>
      <c r="X10" s="4">
        <f>IF(OR(G10="",Results!G6=""),"",IF(G10=Results!G6,1+IF(OR($O10=6,$P10=6,$Q10=6),1,0),0))</f>
        <v>0</v>
      </c>
      <c r="Y10" s="4">
        <f>IF(OR(H10="",Results!H6=""),"",IF(H10=Results!H6,1+IF(OR($O10=7,$P10=7,$Q10=7),1,0),0))</f>
        <v>0</v>
      </c>
      <c r="Z10" s="4">
        <f>IF(OR(I10="",Results!I6=""),"",IF(I10=Results!I6,1+IF(OR($O10=8,$P10=8,$Q10=8),1,0),0))</f>
        <v>1</v>
      </c>
      <c r="AA10" s="4">
        <f>IF(OR(J10="",Results!J6=""),"",IF(J10=Results!J6,1+IF(OR($O10=9,$P10=9,$Q10=9),1,0),0))</f>
        <v>2</v>
      </c>
      <c r="AB10" s="4">
        <f>IF(OR(K10="",Results!K6=""),"",IF(K10=Results!K6,1+IF(OR($O10=10,$P10=10,$Q10=10),1,0),0))</f>
        <v>1</v>
      </c>
      <c r="AC10" s="4">
        <f>IF(OR(L10="",Results!L6=""),"",IF(L10=Results!L6,1+IF(OR($O10=11,$P10=11,$Q10=11),1,0),0))</f>
        <v>0</v>
      </c>
      <c r="AD10" s="4">
        <f>IF(OR(M10="",Results!M6=""),"",IF(M10=Results!M6,1+IF(OR($O10=12,$P10=12,$Q10=12),1,0),0))</f>
        <v>0</v>
      </c>
      <c r="AE10" s="4">
        <f>IF(OR(N10="",Results!N6=""),"",IF(N10=Results!N6,1+IF(OR($O10=13,$P10=13,$Q10=13),1,0),0))</f>
        <v>1</v>
      </c>
      <c r="AF10" s="11">
        <f t="shared" si="0"/>
        <v>10</v>
      </c>
      <c r="AG10" s="4" t="str">
        <f>IF(OR($R10="",Results!O6=""),"",ABS($R10-Results!O6))</f>
        <v/>
      </c>
      <c r="AH10" s="12">
        <v>3</v>
      </c>
      <c r="AI10" s="13">
        <f>IF(OR(B10="",Results!B6=""),"",IF(AND(B10=Results!B6,Results!B6&lt;&gt;Games!$C$18),1,0))</f>
        <v>0</v>
      </c>
      <c r="AJ10" s="13">
        <f>IF(OR(C10="",Results!C6=""),"",IF(AND(C10=Results!C6,Results!C6&lt;&gt;Games!$C$19),1,0))</f>
        <v>0</v>
      </c>
      <c r="AK10" s="13">
        <f>IF(OR(D10="",Results!D6=""),"",IF(AND(D10=Results!D6,Results!D6&lt;&gt;Games!$C$20),1,0))</f>
        <v>1</v>
      </c>
      <c r="AL10" s="13">
        <f>IF(OR(E10="",Results!E6=""),"",IF(AND(E10=Results!E6,Results!E6&lt;&gt;Games!$C$21),1,0))</f>
        <v>0</v>
      </c>
      <c r="AM10" s="13">
        <f>IF(OR(F10="",Results!F6=""),"",IF(AND(F10=Results!F6,Results!F6&lt;&gt;Games!$C$22),1,0))</f>
        <v>1</v>
      </c>
      <c r="AN10" s="13">
        <f>IF(OR(G10="",Results!G6=""),"",IF(AND(G10=Results!G6,Results!G6&lt;&gt;Games!$C$23),1,0))</f>
        <v>0</v>
      </c>
      <c r="AO10" s="13">
        <f>IF(OR(H10="",Results!H6=""),"",IF(AND(H10=Results!H6,Results!H6&lt;&gt;Games!$C$24),1,0))</f>
        <v>0</v>
      </c>
      <c r="AP10" s="13">
        <f>IF(OR(I10="",Results!I6=""),"",IF(AND(I10=Results!I6,Results!I6&lt;&gt;Games!$C$25),1,0))</f>
        <v>1</v>
      </c>
      <c r="AQ10" s="13">
        <f>IF(OR(J10="",Results!J6=""),"",IF(AND(J10=Results!J6,Results!J6&lt;&gt;Games!$C$26),1,0))</f>
        <v>0</v>
      </c>
      <c r="AR10" s="13">
        <f>IF(OR(K10="",Results!K6=""),"",IF(AND(K10=Results!K6,Results!K6&lt;&gt;Games!$C$27),1,0))</f>
        <v>0</v>
      </c>
      <c r="AS10" s="13">
        <f>IF(OR(L10="",Results!L6=""),"",IF(AND(L10=Results!L6,Results!L6&lt;&gt;Games!$C$28),1,0))</f>
        <v>0</v>
      </c>
      <c r="AT10" s="13">
        <f>IF(OR(M10="",Results!M6=""),"",IF(AND(M10=Results!M6,Results!M6&lt;&gt;Games!$C$29),1,0))</f>
        <v>0</v>
      </c>
      <c r="AU10" s="13">
        <f>IF(OR(N10="",Results!N6=""),"",IF(AND(N10=Results!N6,Results!N6&lt;&gt;Games!$C$30),1,0))</f>
        <v>0</v>
      </c>
      <c r="AV10" s="14">
        <f t="shared" si="1"/>
        <v>3</v>
      </c>
    </row>
    <row r="11" spans="1:48" ht="15" customHeight="1" x14ac:dyDescent="0.25">
      <c r="A11" s="4" t="str">
        <f>INDEX(Players!$D$6:$D$69,MATCH(58,Players!$A$6:$A$69,0))</f>
        <v>Chris P.</v>
      </c>
      <c r="B11" s="5" t="s">
        <v>196</v>
      </c>
      <c r="C11" s="5" t="s">
        <v>230</v>
      </c>
      <c r="D11" s="5" t="s">
        <v>232</v>
      </c>
      <c r="E11" s="5" t="s">
        <v>234</v>
      </c>
      <c r="F11" s="5" t="s">
        <v>237</v>
      </c>
      <c r="G11" s="5" t="s">
        <v>240</v>
      </c>
      <c r="H11" s="5" t="s">
        <v>242</v>
      </c>
      <c r="I11" s="5" t="s">
        <v>244</v>
      </c>
      <c r="J11" s="5" t="s">
        <v>245</v>
      </c>
      <c r="K11" s="5" t="s">
        <v>247</v>
      </c>
      <c r="L11" s="5" t="s">
        <v>250</v>
      </c>
      <c r="M11" s="5" t="s">
        <v>252</v>
      </c>
      <c r="N11" s="5" t="s">
        <v>253</v>
      </c>
      <c r="O11" s="5">
        <v>2</v>
      </c>
      <c r="P11" s="5">
        <v>9</v>
      </c>
      <c r="Q11" s="5">
        <v>10</v>
      </c>
      <c r="R11" s="5">
        <v>57</v>
      </c>
      <c r="S11" s="4">
        <f>IF(OR(B11="",Results!B6=""),"",IF(B11=Results!B6,1+IF(OR($O11=1,$P11=1,$Q11=1),1,0),0))</f>
        <v>1</v>
      </c>
      <c r="T11" s="4">
        <f>IF(OR(C11="",Results!C6=""),"",IF(C11=Results!C6,1+IF(OR($O11=2,$P11=2,$Q11=2),1,0),0))</f>
        <v>2</v>
      </c>
      <c r="U11" s="4">
        <f>IF(OR(D11="",Results!D6=""),"",IF(D11=Results!D6,1+IF(OR($O11=3,$P11=3,$Q11=3),1,0),0))</f>
        <v>0</v>
      </c>
      <c r="V11" s="4">
        <f>IF(OR(E11="",Results!E6=""),"",IF(E11=Results!E6,1+IF(OR($O11=4,$P11=4,$Q11=4),1,0),0))</f>
        <v>1</v>
      </c>
      <c r="W11" s="4">
        <f>IF(OR(F11="",Results!F6=""),"",IF(F11=Results!F6,1+IF(OR($O11=5,$P11=5,$Q11=5),1,0),0))</f>
        <v>0</v>
      </c>
      <c r="X11" s="4">
        <f>IF(OR(G11="",Results!G6=""),"",IF(G11=Results!G6,1+IF(OR($O11=6,$P11=6,$Q11=6),1,0),0))</f>
        <v>0</v>
      </c>
      <c r="Y11" s="4">
        <f>IF(OR(H11="",Results!H6=""),"",IF(H11=Results!H6,1+IF(OR($O11=7,$P11=7,$Q11=7),1,0),0))</f>
        <v>0</v>
      </c>
      <c r="Z11" s="4">
        <f>IF(OR(I11="",Results!I6=""),"",IF(I11=Results!I6,1+IF(OR($O11=8,$P11=8,$Q11=8),1,0),0))</f>
        <v>0</v>
      </c>
      <c r="AA11" s="4">
        <f>IF(OR(J11="",Results!J6=""),"",IF(J11=Results!J6,1+IF(OR($O11=9,$P11=9,$Q11=9),1,0),0))</f>
        <v>2</v>
      </c>
      <c r="AB11" s="4">
        <f>IF(OR(K11="",Results!K6=""),"",IF(K11=Results!K6,1+IF(OR($O11=10,$P11=10,$Q11=10),1,0),0))</f>
        <v>2</v>
      </c>
      <c r="AC11" s="4">
        <f>IF(OR(L11="",Results!L6=""),"",IF(L11=Results!L6,1+IF(OR($O11=11,$P11=11,$Q11=11),1,0),0))</f>
        <v>1</v>
      </c>
      <c r="AD11" s="4">
        <f>IF(OR(M11="",Results!M6=""),"",IF(M11=Results!M6,1+IF(OR($O11=12,$P11=12,$Q11=12),1,0),0))</f>
        <v>0</v>
      </c>
      <c r="AE11" s="4">
        <f>IF(OR(N11="",Results!N6=""),"",IF(N11=Results!N6,1+IF(OR($O11=13,$P11=13,$Q11=13),1,0),0))</f>
        <v>1</v>
      </c>
      <c r="AF11" s="11">
        <f t="shared" si="0"/>
        <v>10</v>
      </c>
      <c r="AG11" s="4" t="str">
        <f>IF(OR($R11="",Results!O6=""),"",ABS($R11-Results!O6))</f>
        <v/>
      </c>
      <c r="AH11" s="12">
        <v>58</v>
      </c>
      <c r="AI11" s="13">
        <f>IF(OR(B11="",Results!B6=""),"",IF(AND(B11=Results!B6,Results!B6&lt;&gt;Games!$C$18),1,0))</f>
        <v>0</v>
      </c>
      <c r="AJ11" s="13">
        <f>IF(OR(C11="",Results!C6=""),"",IF(AND(C11=Results!C6,Results!C6&lt;&gt;Games!$C$19),1,0))</f>
        <v>0</v>
      </c>
      <c r="AK11" s="13">
        <f>IF(OR(D11="",Results!D6=""),"",IF(AND(D11=Results!D6,Results!D6&lt;&gt;Games!$C$20),1,0))</f>
        <v>0</v>
      </c>
      <c r="AL11" s="13">
        <f>IF(OR(E11="",Results!E6=""),"",IF(AND(E11=Results!E6,Results!E6&lt;&gt;Games!$C$21),1,0))</f>
        <v>0</v>
      </c>
      <c r="AM11" s="13">
        <f>IF(OR(F11="",Results!F6=""),"",IF(AND(F11=Results!F6,Results!F6&lt;&gt;Games!$C$22),1,0))</f>
        <v>0</v>
      </c>
      <c r="AN11" s="13">
        <f>IF(OR(G11="",Results!G6=""),"",IF(AND(G11=Results!G6,Results!G6&lt;&gt;Games!$C$23),1,0))</f>
        <v>0</v>
      </c>
      <c r="AO11" s="13">
        <f>IF(OR(H11="",Results!H6=""),"",IF(AND(H11=Results!H6,Results!H6&lt;&gt;Games!$C$24),1,0))</f>
        <v>0</v>
      </c>
      <c r="AP11" s="13">
        <f>IF(OR(I11="",Results!I6=""),"",IF(AND(I11=Results!I6,Results!I6&lt;&gt;Games!$C$25),1,0))</f>
        <v>0</v>
      </c>
      <c r="AQ11" s="13">
        <f>IF(OR(J11="",Results!J6=""),"",IF(AND(J11=Results!J6,Results!J6&lt;&gt;Games!$C$26),1,0))</f>
        <v>0</v>
      </c>
      <c r="AR11" s="13">
        <f>IF(OR(K11="",Results!K6=""),"",IF(AND(K11=Results!K6,Results!K6&lt;&gt;Games!$C$27),1,0))</f>
        <v>0</v>
      </c>
      <c r="AS11" s="13">
        <f>IF(OR(L11="",Results!L6=""),"",IF(AND(L11=Results!L6,Results!L6&lt;&gt;Games!$C$28),1,0))</f>
        <v>1</v>
      </c>
      <c r="AT11" s="13">
        <f>IF(OR(M11="",Results!M6=""),"",IF(AND(M11=Results!M6,Results!M6&lt;&gt;Games!$C$29),1,0))</f>
        <v>0</v>
      </c>
      <c r="AU11" s="13">
        <f>IF(OR(N11="",Results!N6=""),"",IF(AND(N11=Results!N6,Results!N6&lt;&gt;Games!$C$30),1,0))</f>
        <v>0</v>
      </c>
      <c r="AV11" s="14">
        <f t="shared" si="1"/>
        <v>1</v>
      </c>
    </row>
    <row r="12" spans="1:48" ht="15" customHeight="1" x14ac:dyDescent="0.25">
      <c r="A12" s="4" t="str">
        <f>INDEX(Players!$D$6:$D$69,MATCH(4,Players!$A$6:$A$69,0))</f>
        <v>Corey H.</v>
      </c>
      <c r="B12" s="5" t="s">
        <v>196</v>
      </c>
      <c r="C12" s="5" t="s">
        <v>230</v>
      </c>
      <c r="D12" s="5" t="s">
        <v>233</v>
      </c>
      <c r="E12" s="5" t="s">
        <v>234</v>
      </c>
      <c r="F12" s="5" t="s">
        <v>237</v>
      </c>
      <c r="G12" s="5" t="s">
        <v>239</v>
      </c>
      <c r="H12" s="5" t="s">
        <v>242</v>
      </c>
      <c r="I12" s="5" t="s">
        <v>244</v>
      </c>
      <c r="J12" s="5" t="s">
        <v>245</v>
      </c>
      <c r="K12" s="5" t="s">
        <v>247</v>
      </c>
      <c r="L12" s="5" t="s">
        <v>249</v>
      </c>
      <c r="M12" s="5" t="s">
        <v>251</v>
      </c>
      <c r="N12" s="5" t="s">
        <v>253</v>
      </c>
      <c r="O12" s="5">
        <v>4</v>
      </c>
      <c r="P12" s="5">
        <v>8</v>
      </c>
      <c r="Q12" s="5">
        <v>10</v>
      </c>
      <c r="R12" s="5">
        <v>61</v>
      </c>
      <c r="S12" s="4">
        <f>IF(OR(B12="",Results!B6=""),"",IF(B12=Results!B6,1+IF(OR($O12=1,$P12=1,$Q12=1),1,0),0))</f>
        <v>1</v>
      </c>
      <c r="T12" s="4">
        <f>IF(OR(C12="",Results!C6=""),"",IF(C12=Results!C6,1+IF(OR($O12=2,$P12=2,$Q12=2),1,0),0))</f>
        <v>1</v>
      </c>
      <c r="U12" s="4">
        <f>IF(OR(D12="",Results!D6=""),"",IF(D12=Results!D6,1+IF(OR($O12=3,$P12=3,$Q12=3),1,0),0))</f>
        <v>1</v>
      </c>
      <c r="V12" s="4">
        <f>IF(OR(E12="",Results!E6=""),"",IF(E12=Results!E6,1+IF(OR($O12=4,$P12=4,$Q12=4),1,0),0))</f>
        <v>2</v>
      </c>
      <c r="W12" s="4">
        <f>IF(OR(F12="",Results!F6=""),"",IF(F12=Results!F6,1+IF(OR($O12=5,$P12=5,$Q12=5),1,0),0))</f>
        <v>0</v>
      </c>
      <c r="X12" s="4">
        <f>IF(OR(G12="",Results!G6=""),"",IF(G12=Results!G6,1+IF(OR($O12=6,$P12=6,$Q12=6),1,0),0))</f>
        <v>1</v>
      </c>
      <c r="Y12" s="4">
        <f>IF(OR(H12="",Results!H6=""),"",IF(H12=Results!H6,1+IF(OR($O12=7,$P12=7,$Q12=7),1,0),0))</f>
        <v>0</v>
      </c>
      <c r="Z12" s="4">
        <f>IF(OR(I12="",Results!I6=""),"",IF(I12=Results!I6,1+IF(OR($O12=8,$P12=8,$Q12=8),1,0),0))</f>
        <v>0</v>
      </c>
      <c r="AA12" s="4">
        <f>IF(OR(J12="",Results!J6=""),"",IF(J12=Results!J6,1+IF(OR($O12=9,$P12=9,$Q12=9),1,0),0))</f>
        <v>1</v>
      </c>
      <c r="AB12" s="4">
        <f>IF(OR(K12="",Results!K6=""),"",IF(K12=Results!K6,1+IF(OR($O12=10,$P12=10,$Q12=10),1,0),0))</f>
        <v>2</v>
      </c>
      <c r="AC12" s="4">
        <f>IF(OR(L12="",Results!L6=""),"",IF(L12=Results!L6,1+IF(OR($O12=11,$P12=11,$Q12=11),1,0),0))</f>
        <v>0</v>
      </c>
      <c r="AD12" s="4">
        <f>IF(OR(M12="",Results!M6=""),"",IF(M12=Results!M6,1+IF(OR($O12=12,$P12=12,$Q12=12),1,0),0))</f>
        <v>1</v>
      </c>
      <c r="AE12" s="4">
        <f>IF(OR(N12="",Results!N6=""),"",IF(N12=Results!N6,1+IF(OR($O12=13,$P12=13,$Q12=13),1,0),0))</f>
        <v>1</v>
      </c>
      <c r="AF12" s="11">
        <f t="shared" si="0"/>
        <v>11</v>
      </c>
      <c r="AG12" s="4" t="str">
        <f>IF(OR($R12="",Results!O6=""),"",ABS($R12-Results!O6))</f>
        <v/>
      </c>
      <c r="AH12" s="12">
        <v>4</v>
      </c>
      <c r="AI12" s="13">
        <f>IF(OR(B12="",Results!B6=""),"",IF(AND(B12=Results!B6,Results!B6&lt;&gt;Games!$C$18),1,0))</f>
        <v>0</v>
      </c>
      <c r="AJ12" s="13">
        <f>IF(OR(C12="",Results!C6=""),"",IF(AND(C12=Results!C6,Results!C6&lt;&gt;Games!$C$19),1,0))</f>
        <v>0</v>
      </c>
      <c r="AK12" s="13">
        <f>IF(OR(D12="",Results!D6=""),"",IF(AND(D12=Results!D6,Results!D6&lt;&gt;Games!$C$20),1,0))</f>
        <v>1</v>
      </c>
      <c r="AL12" s="13">
        <f>IF(OR(E12="",Results!E6=""),"",IF(AND(E12=Results!E6,Results!E6&lt;&gt;Games!$C$21),1,0))</f>
        <v>0</v>
      </c>
      <c r="AM12" s="13">
        <f>IF(OR(F12="",Results!F6=""),"",IF(AND(F12=Results!F6,Results!F6&lt;&gt;Games!$C$22),1,0))</f>
        <v>0</v>
      </c>
      <c r="AN12" s="13">
        <f>IF(OR(G12="",Results!G6=""),"",IF(AND(G12=Results!G6,Results!G6&lt;&gt;Games!$C$23),1,0))</f>
        <v>0</v>
      </c>
      <c r="AO12" s="13">
        <f>IF(OR(H12="",Results!H6=""),"",IF(AND(H12=Results!H6,Results!H6&lt;&gt;Games!$C$24),1,0))</f>
        <v>0</v>
      </c>
      <c r="AP12" s="13">
        <f>IF(OR(I12="",Results!I6=""),"",IF(AND(I12=Results!I6,Results!I6&lt;&gt;Games!$C$25),1,0))</f>
        <v>0</v>
      </c>
      <c r="AQ12" s="13">
        <f>IF(OR(J12="",Results!J6=""),"",IF(AND(J12=Results!J6,Results!J6&lt;&gt;Games!$C$26),1,0))</f>
        <v>0</v>
      </c>
      <c r="AR12" s="13">
        <f>IF(OR(K12="",Results!K6=""),"",IF(AND(K12=Results!K6,Results!K6&lt;&gt;Games!$C$27),1,0))</f>
        <v>0</v>
      </c>
      <c r="AS12" s="13">
        <f>IF(OR(L12="",Results!L6=""),"",IF(AND(L12=Results!L6,Results!L6&lt;&gt;Games!$C$28),1,0))</f>
        <v>0</v>
      </c>
      <c r="AT12" s="13">
        <f>IF(OR(M12="",Results!M6=""),"",IF(AND(M12=Results!M6,Results!M6&lt;&gt;Games!$C$29),1,0))</f>
        <v>0</v>
      </c>
      <c r="AU12" s="13">
        <f>IF(OR(N12="",Results!N6=""),"",IF(AND(N12=Results!N6,Results!N6&lt;&gt;Games!$C$30),1,0))</f>
        <v>0</v>
      </c>
      <c r="AV12" s="14">
        <f t="shared" si="1"/>
        <v>1</v>
      </c>
    </row>
    <row r="13" spans="1:48" ht="15" customHeight="1" x14ac:dyDescent="0.25">
      <c r="A13" s="4" t="str">
        <f>INDEX(Players!$D$6:$D$69,MATCH(57,Players!$A$6:$A$69,0))</f>
        <v>Cori P.</v>
      </c>
      <c r="B13" s="5" t="s">
        <v>228</v>
      </c>
      <c r="C13" s="5" t="s">
        <v>230</v>
      </c>
      <c r="D13" s="5" t="s">
        <v>232</v>
      </c>
      <c r="E13" s="5" t="s">
        <v>235</v>
      </c>
      <c r="F13" s="5" t="s">
        <v>237</v>
      </c>
      <c r="G13" s="5" t="s">
        <v>239</v>
      </c>
      <c r="H13" s="5" t="s">
        <v>242</v>
      </c>
      <c r="I13" s="5" t="s">
        <v>244</v>
      </c>
      <c r="J13" s="5" t="s">
        <v>245</v>
      </c>
      <c r="K13" s="5" t="s">
        <v>247</v>
      </c>
      <c r="L13" s="5" t="s">
        <v>249</v>
      </c>
      <c r="M13" s="5" t="s">
        <v>251</v>
      </c>
      <c r="N13" s="5" t="s">
        <v>253</v>
      </c>
      <c r="O13" s="5">
        <v>6</v>
      </c>
      <c r="P13" s="5">
        <v>7</v>
      </c>
      <c r="Q13" s="5">
        <v>11</v>
      </c>
      <c r="R13" s="5"/>
      <c r="S13" s="4">
        <f>IF(OR(B13="",Results!B6=""),"",IF(B13=Results!B6,1+IF(OR($O13=1,$P13=1,$Q13=1),1,0),0))</f>
        <v>0</v>
      </c>
      <c r="T13" s="4">
        <f>IF(OR(C13="",Results!C6=""),"",IF(C13=Results!C6,1+IF(OR($O13=2,$P13=2,$Q13=2),1,0),0))</f>
        <v>1</v>
      </c>
      <c r="U13" s="4">
        <f>IF(OR(D13="",Results!D6=""),"",IF(D13=Results!D6,1+IF(OR($O13=3,$P13=3,$Q13=3),1,0),0))</f>
        <v>0</v>
      </c>
      <c r="V13" s="4">
        <f>IF(OR(E13="",Results!E6=""),"",IF(E13=Results!E6,1+IF(OR($O13=4,$P13=4,$Q13=4),1,0),0))</f>
        <v>0</v>
      </c>
      <c r="W13" s="4">
        <f>IF(OR(F13="",Results!F6=""),"",IF(F13=Results!F6,1+IF(OR($O13=5,$P13=5,$Q13=5),1,0),0))</f>
        <v>0</v>
      </c>
      <c r="X13" s="4">
        <f>IF(OR(G13="",Results!G6=""),"",IF(G13=Results!G6,1+IF(OR($O13=6,$P13=6,$Q13=6),1,0),0))</f>
        <v>2</v>
      </c>
      <c r="Y13" s="4">
        <f>IF(OR(H13="",Results!H6=""),"",IF(H13=Results!H6,1+IF(OR($O13=7,$P13=7,$Q13=7),1,0),0))</f>
        <v>0</v>
      </c>
      <c r="Z13" s="4">
        <f>IF(OR(I13="",Results!I6=""),"",IF(I13=Results!I6,1+IF(OR($O13=8,$P13=8,$Q13=8),1,0),0))</f>
        <v>0</v>
      </c>
      <c r="AA13" s="4">
        <f>IF(OR(J13="",Results!J6=""),"",IF(J13=Results!J6,1+IF(OR($O13=9,$P13=9,$Q13=9),1,0),0))</f>
        <v>1</v>
      </c>
      <c r="AB13" s="4">
        <f>IF(OR(K13="",Results!K6=""),"",IF(K13=Results!K6,1+IF(OR($O13=10,$P13=10,$Q13=10),1,0),0))</f>
        <v>1</v>
      </c>
      <c r="AC13" s="4">
        <f>IF(OR(L13="",Results!L6=""),"",IF(L13=Results!L6,1+IF(OR($O13=11,$P13=11,$Q13=11),1,0),0))</f>
        <v>0</v>
      </c>
      <c r="AD13" s="4">
        <f>IF(OR(M13="",Results!M6=""),"",IF(M13=Results!M6,1+IF(OR($O13=12,$P13=12,$Q13=12),1,0),0))</f>
        <v>1</v>
      </c>
      <c r="AE13" s="4">
        <f>IF(OR(N13="",Results!N6=""),"",IF(N13=Results!N6,1+IF(OR($O13=13,$P13=13,$Q13=13),1,0),0))</f>
        <v>1</v>
      </c>
      <c r="AF13" s="11">
        <f t="shared" si="0"/>
        <v>7</v>
      </c>
      <c r="AG13" s="4" t="str">
        <f>IF(OR($R13="",Results!O6=""),"",ABS($R13-Results!O6))</f>
        <v/>
      </c>
      <c r="AH13" s="12">
        <v>57</v>
      </c>
      <c r="AI13" s="13">
        <f>IF(OR(B13="",Results!B6=""),"",IF(AND(B13=Results!B6,Results!B6&lt;&gt;Games!$C$18),1,0))</f>
        <v>0</v>
      </c>
      <c r="AJ13" s="13">
        <f>IF(OR(C13="",Results!C6=""),"",IF(AND(C13=Results!C6,Results!C6&lt;&gt;Games!$C$19),1,0))</f>
        <v>0</v>
      </c>
      <c r="AK13" s="13">
        <f>IF(OR(D13="",Results!D6=""),"",IF(AND(D13=Results!D6,Results!D6&lt;&gt;Games!$C$20),1,0))</f>
        <v>0</v>
      </c>
      <c r="AL13" s="13">
        <f>IF(OR(E13="",Results!E6=""),"",IF(AND(E13=Results!E6,Results!E6&lt;&gt;Games!$C$21),1,0))</f>
        <v>0</v>
      </c>
      <c r="AM13" s="13">
        <f>IF(OR(F13="",Results!F6=""),"",IF(AND(F13=Results!F6,Results!F6&lt;&gt;Games!$C$22),1,0))</f>
        <v>0</v>
      </c>
      <c r="AN13" s="13">
        <f>IF(OR(G13="",Results!G6=""),"",IF(AND(G13=Results!G6,Results!G6&lt;&gt;Games!$C$23),1,0))</f>
        <v>0</v>
      </c>
      <c r="AO13" s="13">
        <f>IF(OR(H13="",Results!H6=""),"",IF(AND(H13=Results!H6,Results!H6&lt;&gt;Games!$C$24),1,0))</f>
        <v>0</v>
      </c>
      <c r="AP13" s="13">
        <f>IF(OR(I13="",Results!I6=""),"",IF(AND(I13=Results!I6,Results!I6&lt;&gt;Games!$C$25),1,0))</f>
        <v>0</v>
      </c>
      <c r="AQ13" s="13">
        <f>IF(OR(J13="",Results!J6=""),"",IF(AND(J13=Results!J6,Results!J6&lt;&gt;Games!$C$26),1,0))</f>
        <v>0</v>
      </c>
      <c r="AR13" s="13">
        <f>IF(OR(K13="",Results!K6=""),"",IF(AND(K13=Results!K6,Results!K6&lt;&gt;Games!$C$27),1,0))</f>
        <v>0</v>
      </c>
      <c r="AS13" s="13">
        <f>IF(OR(L13="",Results!L6=""),"",IF(AND(L13=Results!L6,Results!L6&lt;&gt;Games!$C$28),1,0))</f>
        <v>0</v>
      </c>
      <c r="AT13" s="13">
        <f>IF(OR(M13="",Results!M6=""),"",IF(AND(M13=Results!M6,Results!M6&lt;&gt;Games!$C$29),1,0))</f>
        <v>0</v>
      </c>
      <c r="AU13" s="13">
        <f>IF(OR(N13="",Results!N6=""),"",IF(AND(N13=Results!N6,Results!N6&lt;&gt;Games!$C$30),1,0))</f>
        <v>0</v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 t="s">
        <v>196</v>
      </c>
      <c r="C14" s="5" t="s">
        <v>230</v>
      </c>
      <c r="D14" s="5" t="s">
        <v>232</v>
      </c>
      <c r="E14" s="5" t="s">
        <v>234</v>
      </c>
      <c r="F14" s="5" t="s">
        <v>237</v>
      </c>
      <c r="G14" s="5" t="s">
        <v>239</v>
      </c>
      <c r="H14" s="5" t="s">
        <v>242</v>
      </c>
      <c r="I14" s="5" t="s">
        <v>244</v>
      </c>
      <c r="J14" s="5" t="s">
        <v>245</v>
      </c>
      <c r="K14" s="5" t="s">
        <v>247</v>
      </c>
      <c r="L14" s="5" t="s">
        <v>249</v>
      </c>
      <c r="M14" s="5" t="s">
        <v>252</v>
      </c>
      <c r="N14" s="5" t="s">
        <v>253</v>
      </c>
      <c r="O14" s="5">
        <v>2</v>
      </c>
      <c r="P14" s="5">
        <v>8</v>
      </c>
      <c r="Q14" s="5">
        <v>10</v>
      </c>
      <c r="R14" s="5">
        <v>66</v>
      </c>
      <c r="S14" s="4">
        <f>IF(OR(B14="",Results!B6=""),"",IF(B14=Results!B6,1+IF(OR($O14=1,$P14=1,$Q14=1),1,0),0))</f>
        <v>1</v>
      </c>
      <c r="T14" s="4">
        <f>IF(OR(C14="",Results!C6=""),"",IF(C14=Results!C6,1+IF(OR($O14=2,$P14=2,$Q14=2),1,0),0))</f>
        <v>2</v>
      </c>
      <c r="U14" s="4">
        <f>IF(OR(D14="",Results!D6=""),"",IF(D14=Results!D6,1+IF(OR($O14=3,$P14=3,$Q14=3),1,0),0))</f>
        <v>0</v>
      </c>
      <c r="V14" s="4">
        <f>IF(OR(E14="",Results!E6=""),"",IF(E14=Results!E6,1+IF(OR($O14=4,$P14=4,$Q14=4),1,0),0))</f>
        <v>1</v>
      </c>
      <c r="W14" s="4">
        <f>IF(OR(F14="",Results!F6=""),"",IF(F14=Results!F6,1+IF(OR($O14=5,$P14=5,$Q14=5),1,0),0))</f>
        <v>0</v>
      </c>
      <c r="X14" s="4">
        <f>IF(OR(G14="",Results!G6=""),"",IF(G14=Results!G6,1+IF(OR($O14=6,$P14=6,$Q14=6),1,0),0))</f>
        <v>1</v>
      </c>
      <c r="Y14" s="4">
        <f>IF(OR(H14="",Results!H6=""),"",IF(H14=Results!H6,1+IF(OR($O14=7,$P14=7,$Q14=7),1,0),0))</f>
        <v>0</v>
      </c>
      <c r="Z14" s="4">
        <f>IF(OR(I14="",Results!I6=""),"",IF(I14=Results!I6,1+IF(OR($O14=8,$P14=8,$Q14=8),1,0),0))</f>
        <v>0</v>
      </c>
      <c r="AA14" s="4">
        <f>IF(OR(J14="",Results!J6=""),"",IF(J14=Results!J6,1+IF(OR($O14=9,$P14=9,$Q14=9),1,0),0))</f>
        <v>1</v>
      </c>
      <c r="AB14" s="4">
        <f>IF(OR(K14="",Results!K6=""),"",IF(K14=Results!K6,1+IF(OR($O14=10,$P14=10,$Q14=10),1,0),0))</f>
        <v>2</v>
      </c>
      <c r="AC14" s="4">
        <f>IF(OR(L14="",Results!L6=""),"",IF(L14=Results!L6,1+IF(OR($O14=11,$P14=11,$Q14=11),1,0),0))</f>
        <v>0</v>
      </c>
      <c r="AD14" s="4">
        <f>IF(OR(M14="",Results!M6=""),"",IF(M14=Results!M6,1+IF(OR($O14=12,$P14=12,$Q14=12),1,0),0))</f>
        <v>0</v>
      </c>
      <c r="AE14" s="4">
        <f>IF(OR(N14="",Results!N6=""),"",IF(N14=Results!N6,1+IF(OR($O14=13,$P14=13,$Q14=13),1,0),0))</f>
        <v>1</v>
      </c>
      <c r="AF14" s="11">
        <f t="shared" si="0"/>
        <v>9</v>
      </c>
      <c r="AG14" s="4" t="str">
        <f>IF(OR($R14="",Results!O6=""),"",ABS($R14-Results!O6))</f>
        <v/>
      </c>
      <c r="AH14" s="12">
        <v>6</v>
      </c>
      <c r="AI14" s="13">
        <f>IF(OR(B14="",Results!B6=""),"",IF(AND(B14=Results!B6,Results!B6&lt;&gt;Games!$C$18),1,0))</f>
        <v>0</v>
      </c>
      <c r="AJ14" s="13">
        <f>IF(OR(C14="",Results!C6=""),"",IF(AND(C14=Results!C6,Results!C6&lt;&gt;Games!$C$19),1,0))</f>
        <v>0</v>
      </c>
      <c r="AK14" s="13">
        <f>IF(OR(D14="",Results!D6=""),"",IF(AND(D14=Results!D6,Results!D6&lt;&gt;Games!$C$20),1,0))</f>
        <v>0</v>
      </c>
      <c r="AL14" s="13">
        <f>IF(OR(E14="",Results!E6=""),"",IF(AND(E14=Results!E6,Results!E6&lt;&gt;Games!$C$21),1,0))</f>
        <v>0</v>
      </c>
      <c r="AM14" s="13">
        <f>IF(OR(F14="",Results!F6=""),"",IF(AND(F14=Results!F6,Results!F6&lt;&gt;Games!$C$22),1,0))</f>
        <v>0</v>
      </c>
      <c r="AN14" s="13">
        <f>IF(OR(G14="",Results!G6=""),"",IF(AND(G14=Results!G6,Results!G6&lt;&gt;Games!$C$23),1,0))</f>
        <v>0</v>
      </c>
      <c r="AO14" s="13">
        <f>IF(OR(H14="",Results!H6=""),"",IF(AND(H14=Results!H6,Results!H6&lt;&gt;Games!$C$24),1,0))</f>
        <v>0</v>
      </c>
      <c r="AP14" s="13">
        <f>IF(OR(I14="",Results!I6=""),"",IF(AND(I14=Results!I6,Results!I6&lt;&gt;Games!$C$25),1,0))</f>
        <v>0</v>
      </c>
      <c r="AQ14" s="13">
        <f>IF(OR(J14="",Results!J6=""),"",IF(AND(J14=Results!J6,Results!J6&lt;&gt;Games!$C$26),1,0))</f>
        <v>0</v>
      </c>
      <c r="AR14" s="13">
        <f>IF(OR(K14="",Results!K6=""),"",IF(AND(K14=Results!K6,Results!K6&lt;&gt;Games!$C$27),1,0))</f>
        <v>0</v>
      </c>
      <c r="AS14" s="13">
        <f>IF(OR(L14="",Results!L6=""),"",IF(AND(L14=Results!L6,Results!L6&lt;&gt;Games!$C$28),1,0))</f>
        <v>0</v>
      </c>
      <c r="AT14" s="13">
        <f>IF(OR(M14="",Results!M6=""),"",IF(AND(M14=Results!M6,Results!M6&lt;&gt;Games!$C$29),1,0))</f>
        <v>0</v>
      </c>
      <c r="AU14" s="13">
        <f>IF(OR(N14="",Results!N6=""),"",IF(AND(N14=Results!N6,Results!N6&lt;&gt;Games!$C$30),1,0))</f>
        <v>0</v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 t="s">
        <v>196</v>
      </c>
      <c r="C15" s="5" t="s">
        <v>230</v>
      </c>
      <c r="D15" s="5" t="s">
        <v>232</v>
      </c>
      <c r="E15" s="5" t="s">
        <v>234</v>
      </c>
      <c r="F15" s="5" t="s">
        <v>237</v>
      </c>
      <c r="G15" s="5" t="s">
        <v>239</v>
      </c>
      <c r="H15" s="5" t="s">
        <v>242</v>
      </c>
      <c r="I15" s="5" t="s">
        <v>244</v>
      </c>
      <c r="J15" s="5" t="s">
        <v>245</v>
      </c>
      <c r="K15" s="5" t="s">
        <v>247</v>
      </c>
      <c r="L15" s="5" t="s">
        <v>249</v>
      </c>
      <c r="M15" s="5" t="s">
        <v>252</v>
      </c>
      <c r="N15" s="5" t="s">
        <v>253</v>
      </c>
      <c r="O15" s="5">
        <v>3</v>
      </c>
      <c r="P15" s="5">
        <v>9</v>
      </c>
      <c r="Q15" s="5">
        <v>10</v>
      </c>
      <c r="R15" s="5">
        <v>54</v>
      </c>
      <c r="S15" s="4">
        <f>IF(OR(B15="",Results!B6=""),"",IF(B15=Results!B6,1+IF(OR($O15=1,$P15=1,$Q15=1),1,0),0))</f>
        <v>1</v>
      </c>
      <c r="T15" s="4">
        <f>IF(OR(C15="",Results!C6=""),"",IF(C15=Results!C6,1+IF(OR($O15=2,$P15=2,$Q15=2),1,0),0))</f>
        <v>1</v>
      </c>
      <c r="U15" s="4">
        <f>IF(OR(D15="",Results!D6=""),"",IF(D15=Results!D6,1+IF(OR($O15=3,$P15=3,$Q15=3),1,0),0))</f>
        <v>0</v>
      </c>
      <c r="V15" s="4">
        <f>IF(OR(E15="",Results!E6=""),"",IF(E15=Results!E6,1+IF(OR($O15=4,$P15=4,$Q15=4),1,0),0))</f>
        <v>1</v>
      </c>
      <c r="W15" s="4">
        <f>IF(OR(F15="",Results!F6=""),"",IF(F15=Results!F6,1+IF(OR($O15=5,$P15=5,$Q15=5),1,0),0))</f>
        <v>0</v>
      </c>
      <c r="X15" s="4">
        <f>IF(OR(G15="",Results!G6=""),"",IF(G15=Results!G6,1+IF(OR($O15=6,$P15=6,$Q15=6),1,0),0))</f>
        <v>1</v>
      </c>
      <c r="Y15" s="4">
        <f>IF(OR(H15="",Results!H6=""),"",IF(H15=Results!H6,1+IF(OR($O15=7,$P15=7,$Q15=7),1,0),0))</f>
        <v>0</v>
      </c>
      <c r="Z15" s="4">
        <f>IF(OR(I15="",Results!I6=""),"",IF(I15=Results!I6,1+IF(OR($O15=8,$P15=8,$Q15=8),1,0),0))</f>
        <v>0</v>
      </c>
      <c r="AA15" s="4">
        <f>IF(OR(J15="",Results!J6=""),"",IF(J15=Results!J6,1+IF(OR($O15=9,$P15=9,$Q15=9),1,0),0))</f>
        <v>2</v>
      </c>
      <c r="AB15" s="4">
        <f>IF(OR(K15="",Results!K6=""),"",IF(K15=Results!K6,1+IF(OR($O15=10,$P15=10,$Q15=10),1,0),0))</f>
        <v>2</v>
      </c>
      <c r="AC15" s="4">
        <f>IF(OR(L15="",Results!L6=""),"",IF(L15=Results!L6,1+IF(OR($O15=11,$P15=11,$Q15=11),1,0),0))</f>
        <v>0</v>
      </c>
      <c r="AD15" s="4">
        <f>IF(OR(M15="",Results!M6=""),"",IF(M15=Results!M6,1+IF(OR($O15=12,$P15=12,$Q15=12),1,0),0))</f>
        <v>0</v>
      </c>
      <c r="AE15" s="4">
        <f>IF(OR(N15="",Results!N6=""),"",IF(N15=Results!N6,1+IF(OR($O15=13,$P15=13,$Q15=13),1,0),0))</f>
        <v>1</v>
      </c>
      <c r="AF15" s="11">
        <f t="shared" si="0"/>
        <v>9</v>
      </c>
      <c r="AG15" s="4" t="str">
        <f>IF(OR($R15="",Results!O6=""),"",ABS($R15-Results!O6))</f>
        <v/>
      </c>
      <c r="AH15" s="12">
        <v>5</v>
      </c>
      <c r="AI15" s="13">
        <f>IF(OR(B15="",Results!B6=""),"",IF(AND(B15=Results!B6,Results!B6&lt;&gt;Games!$C$18),1,0))</f>
        <v>0</v>
      </c>
      <c r="AJ15" s="13">
        <f>IF(OR(C15="",Results!C6=""),"",IF(AND(C15=Results!C6,Results!C6&lt;&gt;Games!$C$19),1,0))</f>
        <v>0</v>
      </c>
      <c r="AK15" s="13">
        <f>IF(OR(D15="",Results!D6=""),"",IF(AND(D15=Results!D6,Results!D6&lt;&gt;Games!$C$20),1,0))</f>
        <v>0</v>
      </c>
      <c r="AL15" s="13">
        <f>IF(OR(E15="",Results!E6=""),"",IF(AND(E15=Results!E6,Results!E6&lt;&gt;Games!$C$21),1,0))</f>
        <v>0</v>
      </c>
      <c r="AM15" s="13">
        <f>IF(OR(F15="",Results!F6=""),"",IF(AND(F15=Results!F6,Results!F6&lt;&gt;Games!$C$22),1,0))</f>
        <v>0</v>
      </c>
      <c r="AN15" s="13">
        <f>IF(OR(G15="",Results!G6=""),"",IF(AND(G15=Results!G6,Results!G6&lt;&gt;Games!$C$23),1,0))</f>
        <v>0</v>
      </c>
      <c r="AO15" s="13">
        <f>IF(OR(H15="",Results!H6=""),"",IF(AND(H15=Results!H6,Results!H6&lt;&gt;Games!$C$24),1,0))</f>
        <v>0</v>
      </c>
      <c r="AP15" s="13">
        <f>IF(OR(I15="",Results!I6=""),"",IF(AND(I15=Results!I6,Results!I6&lt;&gt;Games!$C$25),1,0))</f>
        <v>0</v>
      </c>
      <c r="AQ15" s="13">
        <f>IF(OR(J15="",Results!J6=""),"",IF(AND(J15=Results!J6,Results!J6&lt;&gt;Games!$C$26),1,0))</f>
        <v>0</v>
      </c>
      <c r="AR15" s="13">
        <f>IF(OR(K15="",Results!K6=""),"",IF(AND(K15=Results!K6,Results!K6&lt;&gt;Games!$C$27),1,0))</f>
        <v>0</v>
      </c>
      <c r="AS15" s="13">
        <f>IF(OR(L15="",Results!L6=""),"",IF(AND(L15=Results!L6,Results!L6&lt;&gt;Games!$C$28),1,0))</f>
        <v>0</v>
      </c>
      <c r="AT15" s="13">
        <f>IF(OR(M15="",Results!M6=""),"",IF(AND(M15=Results!M6,Results!M6&lt;&gt;Games!$C$29),1,0))</f>
        <v>0</v>
      </c>
      <c r="AU15" s="13">
        <f>IF(OR(N15="",Results!N6=""),"",IF(AND(N15=Results!N6,Results!N6&lt;&gt;Games!$C$30),1,0))</f>
        <v>0</v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 t="s">
        <v>196</v>
      </c>
      <c r="C16" s="5" t="s">
        <v>230</v>
      </c>
      <c r="D16" s="5" t="s">
        <v>232</v>
      </c>
      <c r="E16" s="5" t="s">
        <v>234</v>
      </c>
      <c r="F16" s="5" t="s">
        <v>237</v>
      </c>
      <c r="G16" s="5" t="s">
        <v>239</v>
      </c>
      <c r="H16" s="5" t="s">
        <v>218</v>
      </c>
      <c r="I16" s="5" t="s">
        <v>199</v>
      </c>
      <c r="J16" s="5" t="s">
        <v>245</v>
      </c>
      <c r="K16" s="5" t="s">
        <v>247</v>
      </c>
      <c r="L16" s="5" t="s">
        <v>249</v>
      </c>
      <c r="M16" s="5" t="s">
        <v>252</v>
      </c>
      <c r="N16" s="5" t="s">
        <v>253</v>
      </c>
      <c r="O16" s="5">
        <v>1</v>
      </c>
      <c r="P16" s="5">
        <v>2</v>
      </c>
      <c r="Q16" s="5">
        <v>10</v>
      </c>
      <c r="R16" s="5">
        <v>44</v>
      </c>
      <c r="S16" s="4">
        <f>IF(OR(B16="",Results!B6=""),"",IF(B16=Results!B6,1+IF(OR($O16=1,$P16=1,$Q16=1),1,0),0))</f>
        <v>2</v>
      </c>
      <c r="T16" s="4">
        <f>IF(OR(C16="",Results!C6=""),"",IF(C16=Results!C6,1+IF(OR($O16=2,$P16=2,$Q16=2),1,0),0))</f>
        <v>2</v>
      </c>
      <c r="U16" s="4">
        <f>IF(OR(D16="",Results!D6=""),"",IF(D16=Results!D6,1+IF(OR($O16=3,$P16=3,$Q16=3),1,0),0))</f>
        <v>0</v>
      </c>
      <c r="V16" s="4">
        <f>IF(OR(E16="",Results!E6=""),"",IF(E16=Results!E6,1+IF(OR($O16=4,$P16=4,$Q16=4),1,0),0))</f>
        <v>1</v>
      </c>
      <c r="W16" s="4">
        <f>IF(OR(F16="",Results!F6=""),"",IF(F16=Results!F6,1+IF(OR($O16=5,$P16=5,$Q16=5),1,0),0))</f>
        <v>0</v>
      </c>
      <c r="X16" s="4">
        <f>IF(OR(G16="",Results!G6=""),"",IF(G16=Results!G6,1+IF(OR($O16=6,$P16=6,$Q16=6),1,0),0))</f>
        <v>1</v>
      </c>
      <c r="Y16" s="4">
        <f>IF(OR(H16="",Results!H6=""),"",IF(H16=Results!H6,1+IF(OR($O16=7,$P16=7,$Q16=7),1,0),0))</f>
        <v>1</v>
      </c>
      <c r="Z16" s="4">
        <f>IF(OR(I16="",Results!I6=""),"",IF(I16=Results!I6,1+IF(OR($O16=8,$P16=8,$Q16=8),1,0),0))</f>
        <v>1</v>
      </c>
      <c r="AA16" s="4">
        <f>IF(OR(J16="",Results!J6=""),"",IF(J16=Results!J6,1+IF(OR($O16=9,$P16=9,$Q16=9),1,0),0))</f>
        <v>1</v>
      </c>
      <c r="AB16" s="4">
        <f>IF(OR(K16="",Results!K6=""),"",IF(K16=Results!K6,1+IF(OR($O16=10,$P16=10,$Q16=10),1,0),0))</f>
        <v>2</v>
      </c>
      <c r="AC16" s="4">
        <f>IF(OR(L16="",Results!L6=""),"",IF(L16=Results!L6,1+IF(OR($O16=11,$P16=11,$Q16=11),1,0),0))</f>
        <v>0</v>
      </c>
      <c r="AD16" s="4">
        <f>IF(OR(M16="",Results!M6=""),"",IF(M16=Results!M6,1+IF(OR($O16=12,$P16=12,$Q16=12),1,0),0))</f>
        <v>0</v>
      </c>
      <c r="AE16" s="4">
        <f>IF(OR(N16="",Results!N6=""),"",IF(N16=Results!N6,1+IF(OR($O16=13,$P16=13,$Q16=13),1,0),0))</f>
        <v>1</v>
      </c>
      <c r="AF16" s="11">
        <f t="shared" si="0"/>
        <v>12</v>
      </c>
      <c r="AG16" s="4" t="str">
        <f>IF(OR($R16="",Results!O6=""),"",ABS($R16-Results!O6))</f>
        <v/>
      </c>
      <c r="AH16" s="12">
        <v>8</v>
      </c>
      <c r="AI16" s="13">
        <f>IF(OR(B16="",Results!B6=""),"",IF(AND(B16=Results!B6,Results!B6&lt;&gt;Games!$C$18),1,0))</f>
        <v>0</v>
      </c>
      <c r="AJ16" s="13">
        <f>IF(OR(C16="",Results!C6=""),"",IF(AND(C16=Results!C6,Results!C6&lt;&gt;Games!$C$19),1,0))</f>
        <v>0</v>
      </c>
      <c r="AK16" s="13">
        <f>IF(OR(D16="",Results!D6=""),"",IF(AND(D16=Results!D6,Results!D6&lt;&gt;Games!$C$20),1,0))</f>
        <v>0</v>
      </c>
      <c r="AL16" s="13">
        <f>IF(OR(E16="",Results!E6=""),"",IF(AND(E16=Results!E6,Results!E6&lt;&gt;Games!$C$21),1,0))</f>
        <v>0</v>
      </c>
      <c r="AM16" s="13">
        <f>IF(OR(F16="",Results!F6=""),"",IF(AND(F16=Results!F6,Results!F6&lt;&gt;Games!$C$22),1,0))</f>
        <v>0</v>
      </c>
      <c r="AN16" s="13">
        <f>IF(OR(G16="",Results!G6=""),"",IF(AND(G16=Results!G6,Results!G6&lt;&gt;Games!$C$23),1,0))</f>
        <v>0</v>
      </c>
      <c r="AO16" s="13">
        <f>IF(OR(H16="",Results!H6=""),"",IF(AND(H16=Results!H6,Results!H6&lt;&gt;Games!$C$24),1,0))</f>
        <v>1</v>
      </c>
      <c r="AP16" s="13">
        <f>IF(OR(I16="",Results!I6=""),"",IF(AND(I16=Results!I6,Results!I6&lt;&gt;Games!$C$25),1,0))</f>
        <v>1</v>
      </c>
      <c r="AQ16" s="13">
        <f>IF(OR(J16="",Results!J6=""),"",IF(AND(J16=Results!J6,Results!J6&lt;&gt;Games!$C$26),1,0))</f>
        <v>0</v>
      </c>
      <c r="AR16" s="13">
        <f>IF(OR(K16="",Results!K6=""),"",IF(AND(K16=Results!K6,Results!K6&lt;&gt;Games!$C$27),1,0))</f>
        <v>0</v>
      </c>
      <c r="AS16" s="13">
        <f>IF(OR(L16="",Results!L6=""),"",IF(AND(L16=Results!L6,Results!L6&lt;&gt;Games!$C$28),1,0))</f>
        <v>0</v>
      </c>
      <c r="AT16" s="13">
        <f>IF(OR(M16="",Results!M6=""),"",IF(AND(M16=Results!M6,Results!M6&lt;&gt;Games!$C$29),1,0))</f>
        <v>0</v>
      </c>
      <c r="AU16" s="13">
        <f>IF(OR(N16="",Results!N6=""),"",IF(AND(N16=Results!N6,Results!N6&lt;&gt;Games!$C$30),1,0))</f>
        <v>0</v>
      </c>
      <c r="AV16" s="14">
        <f t="shared" si="1"/>
        <v>2</v>
      </c>
    </row>
    <row r="17" spans="1:48" ht="15" customHeight="1" x14ac:dyDescent="0.25">
      <c r="A17" s="4" t="str">
        <f>INDEX(Players!$D$6:$D$69,MATCH(7,Players!$A$6:$A$69,0))</f>
        <v>David Y.</v>
      </c>
      <c r="B17" s="5" t="s">
        <v>196</v>
      </c>
      <c r="C17" s="5" t="s">
        <v>231</v>
      </c>
      <c r="D17" s="5" t="s">
        <v>232</v>
      </c>
      <c r="E17" s="5" t="s">
        <v>234</v>
      </c>
      <c r="F17" s="5" t="s">
        <v>238</v>
      </c>
      <c r="G17" s="5" t="s">
        <v>240</v>
      </c>
      <c r="H17" s="5" t="s">
        <v>242</v>
      </c>
      <c r="I17" s="5" t="s">
        <v>244</v>
      </c>
      <c r="J17" s="5" t="s">
        <v>245</v>
      </c>
      <c r="K17" s="5" t="s">
        <v>247</v>
      </c>
      <c r="L17" s="5" t="s">
        <v>249</v>
      </c>
      <c r="M17" s="5" t="s">
        <v>251</v>
      </c>
      <c r="N17" s="5" t="s">
        <v>253</v>
      </c>
      <c r="O17" s="5">
        <v>3</v>
      </c>
      <c r="P17" s="5">
        <v>8</v>
      </c>
      <c r="Q17" s="5">
        <v>9</v>
      </c>
      <c r="R17" s="5">
        <v>58</v>
      </c>
      <c r="S17" s="4">
        <f>IF(OR(B17="",Results!B6=""),"",IF(B17=Results!B6,1+IF(OR($O17=1,$P17=1,$Q17=1),1,0),0))</f>
        <v>1</v>
      </c>
      <c r="T17" s="4">
        <f>IF(OR(C17="",Results!C6=""),"",IF(C17=Results!C6,1+IF(OR($O17=2,$P17=2,$Q17=2),1,0),0))</f>
        <v>0</v>
      </c>
      <c r="U17" s="4">
        <f>IF(OR(D17="",Results!D6=""),"",IF(D17=Results!D6,1+IF(OR($O17=3,$P17=3,$Q17=3),1,0),0))</f>
        <v>0</v>
      </c>
      <c r="V17" s="4">
        <f>IF(OR(E17="",Results!E6=""),"",IF(E17=Results!E6,1+IF(OR($O17=4,$P17=4,$Q17=4),1,0),0))</f>
        <v>1</v>
      </c>
      <c r="W17" s="4">
        <f>IF(OR(F17="",Results!F6=""),"",IF(F17=Results!F6,1+IF(OR($O17=5,$P17=5,$Q17=5),1,0),0))</f>
        <v>1</v>
      </c>
      <c r="X17" s="4">
        <f>IF(OR(G17="",Results!G6=""),"",IF(G17=Results!G6,1+IF(OR($O17=6,$P17=6,$Q17=6),1,0),0))</f>
        <v>0</v>
      </c>
      <c r="Y17" s="4">
        <f>IF(OR(H17="",Results!H6=""),"",IF(H17=Results!H6,1+IF(OR($O17=7,$P17=7,$Q17=7),1,0),0))</f>
        <v>0</v>
      </c>
      <c r="Z17" s="4">
        <f>IF(OR(I17="",Results!I6=""),"",IF(I17=Results!I6,1+IF(OR($O17=8,$P17=8,$Q17=8),1,0),0))</f>
        <v>0</v>
      </c>
      <c r="AA17" s="4">
        <f>IF(OR(J17="",Results!J6=""),"",IF(J17=Results!J6,1+IF(OR($O17=9,$P17=9,$Q17=9),1,0),0))</f>
        <v>2</v>
      </c>
      <c r="AB17" s="4">
        <f>IF(OR(K17="",Results!K6=""),"",IF(K17=Results!K6,1+IF(OR($O17=10,$P17=10,$Q17=10),1,0),0))</f>
        <v>1</v>
      </c>
      <c r="AC17" s="4">
        <f>IF(OR(L17="",Results!L6=""),"",IF(L17=Results!L6,1+IF(OR($O17=11,$P17=11,$Q17=11),1,0),0))</f>
        <v>0</v>
      </c>
      <c r="AD17" s="4">
        <f>IF(OR(M17="",Results!M6=""),"",IF(M17=Results!M6,1+IF(OR($O17=12,$P17=12,$Q17=12),1,0),0))</f>
        <v>1</v>
      </c>
      <c r="AE17" s="4">
        <f>IF(OR(N17="",Results!N6=""),"",IF(N17=Results!N6,1+IF(OR($O17=13,$P17=13,$Q17=13),1,0),0))</f>
        <v>1</v>
      </c>
      <c r="AF17" s="11">
        <f t="shared" si="0"/>
        <v>8</v>
      </c>
      <c r="AG17" s="4" t="str">
        <f>IF(OR($R17="",Results!O6=""),"",ABS($R17-Results!O6))</f>
        <v/>
      </c>
      <c r="AH17" s="12">
        <v>7</v>
      </c>
      <c r="AI17" s="13">
        <f>IF(OR(B17="",Results!B6=""),"",IF(AND(B17=Results!B6,Results!B6&lt;&gt;Games!$C$18),1,0))</f>
        <v>0</v>
      </c>
      <c r="AJ17" s="13">
        <f>IF(OR(C17="",Results!C6=""),"",IF(AND(C17=Results!C6,Results!C6&lt;&gt;Games!$C$19),1,0))</f>
        <v>0</v>
      </c>
      <c r="AK17" s="13">
        <f>IF(OR(D17="",Results!D6=""),"",IF(AND(D17=Results!D6,Results!D6&lt;&gt;Games!$C$20),1,0))</f>
        <v>0</v>
      </c>
      <c r="AL17" s="13">
        <f>IF(OR(E17="",Results!E6=""),"",IF(AND(E17=Results!E6,Results!E6&lt;&gt;Games!$C$21),1,0))</f>
        <v>0</v>
      </c>
      <c r="AM17" s="13">
        <f>IF(OR(F17="",Results!F6=""),"",IF(AND(F17=Results!F6,Results!F6&lt;&gt;Games!$C$22),1,0))</f>
        <v>1</v>
      </c>
      <c r="AN17" s="13">
        <f>IF(OR(G17="",Results!G6=""),"",IF(AND(G17=Results!G6,Results!G6&lt;&gt;Games!$C$23),1,0))</f>
        <v>0</v>
      </c>
      <c r="AO17" s="13">
        <f>IF(OR(H17="",Results!H6=""),"",IF(AND(H17=Results!H6,Results!H6&lt;&gt;Games!$C$24),1,0))</f>
        <v>0</v>
      </c>
      <c r="AP17" s="13">
        <f>IF(OR(I17="",Results!I6=""),"",IF(AND(I17=Results!I6,Results!I6&lt;&gt;Games!$C$25),1,0))</f>
        <v>0</v>
      </c>
      <c r="AQ17" s="13">
        <f>IF(OR(J17="",Results!J6=""),"",IF(AND(J17=Results!J6,Results!J6&lt;&gt;Games!$C$26),1,0))</f>
        <v>0</v>
      </c>
      <c r="AR17" s="13">
        <f>IF(OR(K17="",Results!K6=""),"",IF(AND(K17=Results!K6,Results!K6&lt;&gt;Games!$C$27),1,0))</f>
        <v>0</v>
      </c>
      <c r="AS17" s="13">
        <f>IF(OR(L17="",Results!L6=""),"",IF(AND(L17=Results!L6,Results!L6&lt;&gt;Games!$C$28),1,0))</f>
        <v>0</v>
      </c>
      <c r="AT17" s="13">
        <f>IF(OR(M17="",Results!M6=""),"",IF(AND(M17=Results!M6,Results!M6&lt;&gt;Games!$C$29),1,0))</f>
        <v>0</v>
      </c>
      <c r="AU17" s="13">
        <f>IF(OR(N17="",Results!N6=""),"",IF(AND(N17=Results!N6,Results!N6&lt;&gt;Games!$C$30),1,0))</f>
        <v>0</v>
      </c>
      <c r="AV17" s="14">
        <f t="shared" si="1"/>
        <v>1</v>
      </c>
    </row>
    <row r="18" spans="1:48" ht="15" customHeight="1" x14ac:dyDescent="0.25">
      <c r="A18" s="4" t="str">
        <f>INDEX(Players!$D$6:$D$69,MATCH(37,Players!$A$6:$A$69,0))</f>
        <v>Dino C.</v>
      </c>
      <c r="B18" s="5" t="s">
        <v>196</v>
      </c>
      <c r="C18" s="5" t="s">
        <v>231</v>
      </c>
      <c r="D18" s="5" t="s">
        <v>232</v>
      </c>
      <c r="E18" s="5" t="s">
        <v>234</v>
      </c>
      <c r="F18" s="5" t="s">
        <v>237</v>
      </c>
      <c r="G18" s="5" t="s">
        <v>240</v>
      </c>
      <c r="H18" s="5" t="s">
        <v>218</v>
      </c>
      <c r="I18" s="5" t="s">
        <v>199</v>
      </c>
      <c r="J18" s="5" t="s">
        <v>245</v>
      </c>
      <c r="K18" s="5" t="s">
        <v>247</v>
      </c>
      <c r="L18" s="5" t="s">
        <v>249</v>
      </c>
      <c r="M18" s="5" t="s">
        <v>251</v>
      </c>
      <c r="N18" s="5" t="s">
        <v>253</v>
      </c>
      <c r="O18" s="5">
        <v>1</v>
      </c>
      <c r="P18" s="5">
        <v>9</v>
      </c>
      <c r="Q18" s="5">
        <v>12</v>
      </c>
      <c r="R18" s="5">
        <v>42</v>
      </c>
      <c r="S18" s="4">
        <f>IF(OR(B18="",Results!B6=""),"",IF(B18=Results!B6,1+IF(OR($O18=1,$P18=1,$Q18=1),1,0),0))</f>
        <v>2</v>
      </c>
      <c r="T18" s="4">
        <f>IF(OR(C18="",Results!C6=""),"",IF(C18=Results!C6,1+IF(OR($O18=2,$P18=2,$Q18=2),1,0),0))</f>
        <v>0</v>
      </c>
      <c r="U18" s="4">
        <f>IF(OR(D18="",Results!D6=""),"",IF(D18=Results!D6,1+IF(OR($O18=3,$P18=3,$Q18=3),1,0),0))</f>
        <v>0</v>
      </c>
      <c r="V18" s="4">
        <f>IF(OR(E18="",Results!E6=""),"",IF(E18=Results!E6,1+IF(OR($O18=4,$P18=4,$Q18=4),1,0),0))</f>
        <v>1</v>
      </c>
      <c r="W18" s="4">
        <f>IF(OR(F18="",Results!F6=""),"",IF(F18=Results!F6,1+IF(OR($O18=5,$P18=5,$Q18=5),1,0),0))</f>
        <v>0</v>
      </c>
      <c r="X18" s="4">
        <f>IF(OR(G18="",Results!G6=""),"",IF(G18=Results!G6,1+IF(OR($O18=6,$P18=6,$Q18=6),1,0),0))</f>
        <v>0</v>
      </c>
      <c r="Y18" s="4">
        <f>IF(OR(H18="",Results!H6=""),"",IF(H18=Results!H6,1+IF(OR($O18=7,$P18=7,$Q18=7),1,0),0))</f>
        <v>1</v>
      </c>
      <c r="Z18" s="4">
        <f>IF(OR(I18="",Results!I6=""),"",IF(I18=Results!I6,1+IF(OR($O18=8,$P18=8,$Q18=8),1,0),0))</f>
        <v>1</v>
      </c>
      <c r="AA18" s="4">
        <f>IF(OR(J18="",Results!J6=""),"",IF(J18=Results!J6,1+IF(OR($O18=9,$P18=9,$Q18=9),1,0),0))</f>
        <v>2</v>
      </c>
      <c r="AB18" s="4">
        <f>IF(OR(K18="",Results!K6=""),"",IF(K18=Results!K6,1+IF(OR($O18=10,$P18=10,$Q18=10),1,0),0))</f>
        <v>1</v>
      </c>
      <c r="AC18" s="4">
        <f>IF(OR(L18="",Results!L6=""),"",IF(L18=Results!L6,1+IF(OR($O18=11,$P18=11,$Q18=11),1,0),0))</f>
        <v>0</v>
      </c>
      <c r="AD18" s="4">
        <f>IF(OR(M18="",Results!M6=""),"",IF(M18=Results!M6,1+IF(OR($O18=12,$P18=12,$Q18=12),1,0),0))</f>
        <v>2</v>
      </c>
      <c r="AE18" s="4">
        <f>IF(OR(N18="",Results!N6=""),"",IF(N18=Results!N6,1+IF(OR($O18=13,$P18=13,$Q18=13),1,0),0))</f>
        <v>1</v>
      </c>
      <c r="AF18" s="11">
        <f t="shared" si="0"/>
        <v>11</v>
      </c>
      <c r="AG18" s="4" t="str">
        <f>IF(OR($R18="",Results!O6=""),"",ABS($R18-Results!O6))</f>
        <v/>
      </c>
      <c r="AH18" s="12">
        <v>37</v>
      </c>
      <c r="AI18" s="13">
        <f>IF(OR(B18="",Results!B6=""),"",IF(AND(B18=Results!B6,Results!B6&lt;&gt;Games!$C$18),1,0))</f>
        <v>0</v>
      </c>
      <c r="AJ18" s="13">
        <f>IF(OR(C18="",Results!C6=""),"",IF(AND(C18=Results!C6,Results!C6&lt;&gt;Games!$C$19),1,0))</f>
        <v>0</v>
      </c>
      <c r="AK18" s="13">
        <f>IF(OR(D18="",Results!D6=""),"",IF(AND(D18=Results!D6,Results!D6&lt;&gt;Games!$C$20),1,0))</f>
        <v>0</v>
      </c>
      <c r="AL18" s="13">
        <f>IF(OR(E18="",Results!E6=""),"",IF(AND(E18=Results!E6,Results!E6&lt;&gt;Games!$C$21),1,0))</f>
        <v>0</v>
      </c>
      <c r="AM18" s="13">
        <f>IF(OR(F18="",Results!F6=""),"",IF(AND(F18=Results!F6,Results!F6&lt;&gt;Games!$C$22),1,0))</f>
        <v>0</v>
      </c>
      <c r="AN18" s="13">
        <f>IF(OR(G18="",Results!G6=""),"",IF(AND(G18=Results!G6,Results!G6&lt;&gt;Games!$C$23),1,0))</f>
        <v>0</v>
      </c>
      <c r="AO18" s="13">
        <f>IF(OR(H18="",Results!H6=""),"",IF(AND(H18=Results!H6,Results!H6&lt;&gt;Games!$C$24),1,0))</f>
        <v>1</v>
      </c>
      <c r="AP18" s="13">
        <f>IF(OR(I18="",Results!I6=""),"",IF(AND(I18=Results!I6,Results!I6&lt;&gt;Games!$C$25),1,0))</f>
        <v>1</v>
      </c>
      <c r="AQ18" s="13">
        <f>IF(OR(J18="",Results!J6=""),"",IF(AND(J18=Results!J6,Results!J6&lt;&gt;Games!$C$26),1,0))</f>
        <v>0</v>
      </c>
      <c r="AR18" s="13">
        <f>IF(OR(K18="",Results!K6=""),"",IF(AND(K18=Results!K6,Results!K6&lt;&gt;Games!$C$27),1,0))</f>
        <v>0</v>
      </c>
      <c r="AS18" s="13">
        <f>IF(OR(L18="",Results!L6=""),"",IF(AND(L18=Results!L6,Results!L6&lt;&gt;Games!$C$28),1,0))</f>
        <v>0</v>
      </c>
      <c r="AT18" s="13">
        <f>IF(OR(M18="",Results!M6=""),"",IF(AND(M18=Results!M6,Results!M6&lt;&gt;Games!$C$29),1,0))</f>
        <v>0</v>
      </c>
      <c r="AU18" s="13">
        <f>IF(OR(N18="",Results!N6=""),"",IF(AND(N18=Results!N6,Results!N6&lt;&gt;Games!$C$30),1,0))</f>
        <v>0</v>
      </c>
      <c r="AV18" s="14">
        <f t="shared" si="1"/>
        <v>2</v>
      </c>
    </row>
    <row r="19" spans="1:48" ht="15" customHeight="1" x14ac:dyDescent="0.25">
      <c r="A19" s="4" t="str">
        <f>INDEX(Players!$D$6:$D$69,MATCH(26,Players!$A$6:$A$69,0))</f>
        <v>Dona B.</v>
      </c>
      <c r="B19" s="5" t="s">
        <v>196</v>
      </c>
      <c r="C19" s="5" t="s">
        <v>230</v>
      </c>
      <c r="D19" s="5" t="s">
        <v>232</v>
      </c>
      <c r="E19" s="5" t="s">
        <v>234</v>
      </c>
      <c r="F19" s="5" t="s">
        <v>237</v>
      </c>
      <c r="G19" s="5" t="s">
        <v>240</v>
      </c>
      <c r="H19" s="5" t="s">
        <v>242</v>
      </c>
      <c r="I19" s="5" t="s">
        <v>244</v>
      </c>
      <c r="J19" s="5" t="s">
        <v>245</v>
      </c>
      <c r="K19" s="5" t="s">
        <v>247</v>
      </c>
      <c r="L19" s="5" t="s">
        <v>249</v>
      </c>
      <c r="M19" s="5" t="s">
        <v>251</v>
      </c>
      <c r="N19" s="5" t="s">
        <v>254</v>
      </c>
      <c r="O19" s="5">
        <v>8</v>
      </c>
      <c r="P19" s="5">
        <v>10</v>
      </c>
      <c r="Q19" s="5">
        <v>11</v>
      </c>
      <c r="R19" s="5">
        <v>56</v>
      </c>
      <c r="S19" s="4">
        <f>IF(OR(B19="",Results!B6=""),"",IF(B19=Results!B6,1+IF(OR($O19=1,$P19=1,$Q19=1),1,0),0))</f>
        <v>1</v>
      </c>
      <c r="T19" s="4">
        <f>IF(OR(C19="",Results!C6=""),"",IF(C19=Results!C6,1+IF(OR($O19=2,$P19=2,$Q19=2),1,0),0))</f>
        <v>1</v>
      </c>
      <c r="U19" s="4">
        <f>IF(OR(D19="",Results!D6=""),"",IF(D19=Results!D6,1+IF(OR($O19=3,$P19=3,$Q19=3),1,0),0))</f>
        <v>0</v>
      </c>
      <c r="V19" s="4">
        <f>IF(OR(E19="",Results!E6=""),"",IF(E19=Results!E6,1+IF(OR($O19=4,$P19=4,$Q19=4),1,0),0))</f>
        <v>1</v>
      </c>
      <c r="W19" s="4">
        <f>IF(OR(F19="",Results!F6=""),"",IF(F19=Results!F6,1+IF(OR($O19=5,$P19=5,$Q19=5),1,0),0))</f>
        <v>0</v>
      </c>
      <c r="X19" s="4">
        <f>IF(OR(G19="",Results!G6=""),"",IF(G19=Results!G6,1+IF(OR($O19=6,$P19=6,$Q19=6),1,0),0))</f>
        <v>0</v>
      </c>
      <c r="Y19" s="4">
        <f>IF(OR(H19="",Results!H6=""),"",IF(H19=Results!H6,1+IF(OR($O19=7,$P19=7,$Q19=7),1,0),0))</f>
        <v>0</v>
      </c>
      <c r="Z19" s="4">
        <f>IF(OR(I19="",Results!I6=""),"",IF(I19=Results!I6,1+IF(OR($O19=8,$P19=8,$Q19=8),1,0),0))</f>
        <v>0</v>
      </c>
      <c r="AA19" s="4">
        <f>IF(OR(J19="",Results!J6=""),"",IF(J19=Results!J6,1+IF(OR($O19=9,$P19=9,$Q19=9),1,0),0))</f>
        <v>1</v>
      </c>
      <c r="AB19" s="4">
        <f>IF(OR(K19="",Results!K6=""),"",IF(K19=Results!K6,1+IF(OR($O19=10,$P19=10,$Q19=10),1,0),0))</f>
        <v>2</v>
      </c>
      <c r="AC19" s="4">
        <f>IF(OR(L19="",Results!L6=""),"",IF(L19=Results!L6,1+IF(OR($O19=11,$P19=11,$Q19=11),1,0),0))</f>
        <v>0</v>
      </c>
      <c r="AD19" s="4">
        <f>IF(OR(M19="",Results!M6=""),"",IF(M19=Results!M6,1+IF(OR($O19=12,$P19=12,$Q19=12),1,0),0))</f>
        <v>1</v>
      </c>
      <c r="AE19" s="4">
        <f>IF(OR(N19="",Results!N6=""),"",IF(N19=Results!N6,1+IF(OR($O19=13,$P19=13,$Q19=13),1,0),0))</f>
        <v>0</v>
      </c>
      <c r="AF19" s="11">
        <f t="shared" si="0"/>
        <v>7</v>
      </c>
      <c r="AG19" s="4" t="str">
        <f>IF(OR($R19="",Results!O6=""),"",ABS($R19-Results!O6))</f>
        <v/>
      </c>
      <c r="AH19" s="12">
        <v>26</v>
      </c>
      <c r="AI19" s="13">
        <f>IF(OR(B19="",Results!B6=""),"",IF(AND(B19=Results!B6,Results!B6&lt;&gt;Games!$C$18),1,0))</f>
        <v>0</v>
      </c>
      <c r="AJ19" s="13">
        <f>IF(OR(C19="",Results!C6=""),"",IF(AND(C19=Results!C6,Results!C6&lt;&gt;Games!$C$19),1,0))</f>
        <v>0</v>
      </c>
      <c r="AK19" s="13">
        <f>IF(OR(D19="",Results!D6=""),"",IF(AND(D19=Results!D6,Results!D6&lt;&gt;Games!$C$20),1,0))</f>
        <v>0</v>
      </c>
      <c r="AL19" s="13">
        <f>IF(OR(E19="",Results!E6=""),"",IF(AND(E19=Results!E6,Results!E6&lt;&gt;Games!$C$21),1,0))</f>
        <v>0</v>
      </c>
      <c r="AM19" s="13">
        <f>IF(OR(F19="",Results!F6=""),"",IF(AND(F19=Results!F6,Results!F6&lt;&gt;Games!$C$22),1,0))</f>
        <v>0</v>
      </c>
      <c r="AN19" s="13">
        <f>IF(OR(G19="",Results!G6=""),"",IF(AND(G19=Results!G6,Results!G6&lt;&gt;Games!$C$23),1,0))</f>
        <v>0</v>
      </c>
      <c r="AO19" s="13">
        <f>IF(OR(H19="",Results!H6=""),"",IF(AND(H19=Results!H6,Results!H6&lt;&gt;Games!$C$24),1,0))</f>
        <v>0</v>
      </c>
      <c r="AP19" s="13">
        <f>IF(OR(I19="",Results!I6=""),"",IF(AND(I19=Results!I6,Results!I6&lt;&gt;Games!$C$25),1,0))</f>
        <v>0</v>
      </c>
      <c r="AQ19" s="13">
        <f>IF(OR(J19="",Results!J6=""),"",IF(AND(J19=Results!J6,Results!J6&lt;&gt;Games!$C$26),1,0))</f>
        <v>0</v>
      </c>
      <c r="AR19" s="13">
        <f>IF(OR(K19="",Results!K6=""),"",IF(AND(K19=Results!K6,Results!K6&lt;&gt;Games!$C$27),1,0))</f>
        <v>0</v>
      </c>
      <c r="AS19" s="13">
        <f>IF(OR(L19="",Results!L6=""),"",IF(AND(L19=Results!L6,Results!L6&lt;&gt;Games!$C$28),1,0))</f>
        <v>0</v>
      </c>
      <c r="AT19" s="13">
        <f>IF(OR(M19="",Results!M6=""),"",IF(AND(M19=Results!M6,Results!M6&lt;&gt;Games!$C$29),1,0))</f>
        <v>0</v>
      </c>
      <c r="AU19" s="13">
        <f>IF(OR(N19="",Results!N6=""),"",IF(AND(N19=Results!N6,Results!N6&lt;&gt;Games!$C$30),1,0))</f>
        <v>0</v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 t="s">
        <v>228</v>
      </c>
      <c r="C20" s="5" t="s">
        <v>230</v>
      </c>
      <c r="D20" s="5" t="s">
        <v>232</v>
      </c>
      <c r="E20" s="5" t="s">
        <v>235</v>
      </c>
      <c r="F20" s="5" t="s">
        <v>237</v>
      </c>
      <c r="G20" s="5" t="s">
        <v>239</v>
      </c>
      <c r="H20" s="5" t="s">
        <v>242</v>
      </c>
      <c r="I20" s="5" t="s">
        <v>244</v>
      </c>
      <c r="J20" s="5" t="s">
        <v>245</v>
      </c>
      <c r="K20" s="5" t="s">
        <v>247</v>
      </c>
      <c r="L20" s="5" t="s">
        <v>250</v>
      </c>
      <c r="M20" s="5" t="s">
        <v>251</v>
      </c>
      <c r="N20" s="5" t="s">
        <v>253</v>
      </c>
      <c r="O20" s="5">
        <v>8</v>
      </c>
      <c r="P20" s="5">
        <v>10</v>
      </c>
      <c r="Q20" s="5">
        <v>13</v>
      </c>
      <c r="R20" s="5">
        <v>58</v>
      </c>
      <c r="S20" s="4">
        <f>IF(OR(B20="",Results!B6=""),"",IF(B20=Results!B6,1+IF(OR($O20=1,$P20=1,$Q20=1),1,0),0))</f>
        <v>0</v>
      </c>
      <c r="T20" s="4">
        <f>IF(OR(C20="",Results!C6=""),"",IF(C20=Results!C6,1+IF(OR($O20=2,$P20=2,$Q20=2),1,0),0))</f>
        <v>1</v>
      </c>
      <c r="U20" s="4">
        <f>IF(OR(D20="",Results!D6=""),"",IF(D20=Results!D6,1+IF(OR($O20=3,$P20=3,$Q20=3),1,0),0))</f>
        <v>0</v>
      </c>
      <c r="V20" s="4">
        <f>IF(OR(E20="",Results!E6=""),"",IF(E20=Results!E6,1+IF(OR($O20=4,$P20=4,$Q20=4),1,0),0))</f>
        <v>0</v>
      </c>
      <c r="W20" s="4">
        <f>IF(OR(F20="",Results!F6=""),"",IF(F20=Results!F6,1+IF(OR($O20=5,$P20=5,$Q20=5),1,0),0))</f>
        <v>0</v>
      </c>
      <c r="X20" s="4">
        <f>IF(OR(G20="",Results!G6=""),"",IF(G20=Results!G6,1+IF(OR($O20=6,$P20=6,$Q20=6),1,0),0))</f>
        <v>1</v>
      </c>
      <c r="Y20" s="4">
        <f>IF(OR(H20="",Results!H6=""),"",IF(H20=Results!H6,1+IF(OR($O20=7,$P20=7,$Q20=7),1,0),0))</f>
        <v>0</v>
      </c>
      <c r="Z20" s="4">
        <f>IF(OR(I20="",Results!I6=""),"",IF(I20=Results!I6,1+IF(OR($O20=8,$P20=8,$Q20=8),1,0),0))</f>
        <v>0</v>
      </c>
      <c r="AA20" s="4">
        <f>IF(OR(J20="",Results!J6=""),"",IF(J20=Results!J6,1+IF(OR($O20=9,$P20=9,$Q20=9),1,0),0))</f>
        <v>1</v>
      </c>
      <c r="AB20" s="4">
        <f>IF(OR(K20="",Results!K6=""),"",IF(K20=Results!K6,1+IF(OR($O20=10,$P20=10,$Q20=10),1,0),0))</f>
        <v>2</v>
      </c>
      <c r="AC20" s="4">
        <f>IF(OR(L20="",Results!L6=""),"",IF(L20=Results!L6,1+IF(OR($O20=11,$P20=11,$Q20=11),1,0),0))</f>
        <v>1</v>
      </c>
      <c r="AD20" s="4">
        <f>IF(OR(M20="",Results!M6=""),"",IF(M20=Results!M6,1+IF(OR($O20=12,$P20=12,$Q20=12),1,0),0))</f>
        <v>1</v>
      </c>
      <c r="AE20" s="4">
        <f>IF(OR(N20="",Results!N6=""),"",IF(N20=Results!N6,1+IF(OR($O20=13,$P20=13,$Q20=13),1,0),0))</f>
        <v>2</v>
      </c>
      <c r="AF20" s="11">
        <f t="shared" si="0"/>
        <v>9</v>
      </c>
      <c r="AG20" s="4" t="str">
        <f>IF(OR($R20="",Results!O6=""),"",ABS($R20-Results!O6))</f>
        <v/>
      </c>
      <c r="AH20" s="12">
        <v>52</v>
      </c>
      <c r="AI20" s="13">
        <f>IF(OR(B20="",Results!B6=""),"",IF(AND(B20=Results!B6,Results!B6&lt;&gt;Games!$C$18),1,0))</f>
        <v>0</v>
      </c>
      <c r="AJ20" s="13">
        <f>IF(OR(C20="",Results!C6=""),"",IF(AND(C20=Results!C6,Results!C6&lt;&gt;Games!$C$19),1,0))</f>
        <v>0</v>
      </c>
      <c r="AK20" s="13">
        <f>IF(OR(D20="",Results!D6=""),"",IF(AND(D20=Results!D6,Results!D6&lt;&gt;Games!$C$20),1,0))</f>
        <v>0</v>
      </c>
      <c r="AL20" s="13">
        <f>IF(OR(E20="",Results!E6=""),"",IF(AND(E20=Results!E6,Results!E6&lt;&gt;Games!$C$21),1,0))</f>
        <v>0</v>
      </c>
      <c r="AM20" s="13">
        <f>IF(OR(F20="",Results!F6=""),"",IF(AND(F20=Results!F6,Results!F6&lt;&gt;Games!$C$22),1,0))</f>
        <v>0</v>
      </c>
      <c r="AN20" s="13">
        <f>IF(OR(G20="",Results!G6=""),"",IF(AND(G20=Results!G6,Results!G6&lt;&gt;Games!$C$23),1,0))</f>
        <v>0</v>
      </c>
      <c r="AO20" s="13">
        <f>IF(OR(H20="",Results!H6=""),"",IF(AND(H20=Results!H6,Results!H6&lt;&gt;Games!$C$24),1,0))</f>
        <v>0</v>
      </c>
      <c r="AP20" s="13">
        <f>IF(OR(I20="",Results!I6=""),"",IF(AND(I20=Results!I6,Results!I6&lt;&gt;Games!$C$25),1,0))</f>
        <v>0</v>
      </c>
      <c r="AQ20" s="13">
        <f>IF(OR(J20="",Results!J6=""),"",IF(AND(J20=Results!J6,Results!J6&lt;&gt;Games!$C$26),1,0))</f>
        <v>0</v>
      </c>
      <c r="AR20" s="13">
        <f>IF(OR(K20="",Results!K6=""),"",IF(AND(K20=Results!K6,Results!K6&lt;&gt;Games!$C$27),1,0))</f>
        <v>0</v>
      </c>
      <c r="AS20" s="13">
        <f>IF(OR(L20="",Results!L6=""),"",IF(AND(L20=Results!L6,Results!L6&lt;&gt;Games!$C$28),1,0))</f>
        <v>1</v>
      </c>
      <c r="AT20" s="13">
        <f>IF(OR(M20="",Results!M6=""),"",IF(AND(M20=Results!M6,Results!M6&lt;&gt;Games!$C$29),1,0))</f>
        <v>0</v>
      </c>
      <c r="AU20" s="13">
        <f>IF(OR(N20="",Results!N6=""),"",IF(AND(N20=Results!N6,Results!N6&lt;&gt;Games!$C$30),1,0))</f>
        <v>0</v>
      </c>
      <c r="AV20" s="14">
        <f t="shared" si="1"/>
        <v>1</v>
      </c>
    </row>
    <row r="21" spans="1:48" ht="15" customHeight="1" x14ac:dyDescent="0.25">
      <c r="A21" s="4" t="str">
        <f>INDEX(Players!$D$6:$D$69,MATCH(9,Players!$A$6:$A$69,0))</f>
        <v>Evan H.</v>
      </c>
      <c r="B21" s="5" t="s">
        <v>196</v>
      </c>
      <c r="C21" s="5" t="s">
        <v>231</v>
      </c>
      <c r="D21" s="5" t="s">
        <v>232</v>
      </c>
      <c r="E21" s="5" t="s">
        <v>234</v>
      </c>
      <c r="F21" s="5" t="s">
        <v>238</v>
      </c>
      <c r="G21" s="5" t="s">
        <v>240</v>
      </c>
      <c r="H21" s="5" t="s">
        <v>218</v>
      </c>
      <c r="I21" s="5" t="s">
        <v>244</v>
      </c>
      <c r="J21" s="5" t="s">
        <v>245</v>
      </c>
      <c r="K21" s="5" t="s">
        <v>247</v>
      </c>
      <c r="L21" s="5" t="s">
        <v>249</v>
      </c>
      <c r="M21" s="5" t="s">
        <v>252</v>
      </c>
      <c r="N21" s="5" t="s">
        <v>253</v>
      </c>
      <c r="O21" s="5">
        <v>3</v>
      </c>
      <c r="P21" s="5">
        <v>10</v>
      </c>
      <c r="Q21" s="5">
        <v>13</v>
      </c>
      <c r="R21" s="5">
        <v>55</v>
      </c>
      <c r="S21" s="4">
        <f>IF(OR(B21="",Results!B6=""),"",IF(B21=Results!B6,1+IF(OR($O21=1,$P21=1,$Q21=1),1,0),0))</f>
        <v>1</v>
      </c>
      <c r="T21" s="4">
        <f>IF(OR(C21="",Results!C6=""),"",IF(C21=Results!C6,1+IF(OR($O21=2,$P21=2,$Q21=2),1,0),0))</f>
        <v>0</v>
      </c>
      <c r="U21" s="4">
        <f>IF(OR(D21="",Results!D6=""),"",IF(D21=Results!D6,1+IF(OR($O21=3,$P21=3,$Q21=3),1,0),0))</f>
        <v>0</v>
      </c>
      <c r="V21" s="4">
        <f>IF(OR(E21="",Results!E6=""),"",IF(E21=Results!E6,1+IF(OR($O21=4,$P21=4,$Q21=4),1,0),0))</f>
        <v>1</v>
      </c>
      <c r="W21" s="4">
        <f>IF(OR(F21="",Results!F6=""),"",IF(F21=Results!F6,1+IF(OR($O21=5,$P21=5,$Q21=5),1,0),0))</f>
        <v>1</v>
      </c>
      <c r="X21" s="4">
        <f>IF(OR(G21="",Results!G6=""),"",IF(G21=Results!G6,1+IF(OR($O21=6,$P21=6,$Q21=6),1,0),0))</f>
        <v>0</v>
      </c>
      <c r="Y21" s="4">
        <f>IF(OR(H21="",Results!H6=""),"",IF(H21=Results!H6,1+IF(OR($O21=7,$P21=7,$Q21=7),1,0),0))</f>
        <v>1</v>
      </c>
      <c r="Z21" s="4">
        <f>IF(OR(I21="",Results!I6=""),"",IF(I21=Results!I6,1+IF(OR($O21=8,$P21=8,$Q21=8),1,0),0))</f>
        <v>0</v>
      </c>
      <c r="AA21" s="4">
        <f>IF(OR(J21="",Results!J6=""),"",IF(J21=Results!J6,1+IF(OR($O21=9,$P21=9,$Q21=9),1,0),0))</f>
        <v>1</v>
      </c>
      <c r="AB21" s="4">
        <f>IF(OR(K21="",Results!K6=""),"",IF(K21=Results!K6,1+IF(OR($O21=10,$P21=10,$Q21=10),1,0),0))</f>
        <v>2</v>
      </c>
      <c r="AC21" s="4">
        <f>IF(OR(L21="",Results!L6=""),"",IF(L21=Results!L6,1+IF(OR($O21=11,$P21=11,$Q21=11),1,0),0))</f>
        <v>0</v>
      </c>
      <c r="AD21" s="4">
        <f>IF(OR(M21="",Results!M6=""),"",IF(M21=Results!M6,1+IF(OR($O21=12,$P21=12,$Q21=12),1,0),0))</f>
        <v>0</v>
      </c>
      <c r="AE21" s="4">
        <f>IF(OR(N21="",Results!N6=""),"",IF(N21=Results!N6,1+IF(OR($O21=13,$P21=13,$Q21=13),1,0),0))</f>
        <v>2</v>
      </c>
      <c r="AF21" s="11">
        <f t="shared" si="0"/>
        <v>9</v>
      </c>
      <c r="AG21" s="4" t="str">
        <f>IF(OR($R21="",Results!O6=""),"",ABS($R21-Results!O6))</f>
        <v/>
      </c>
      <c r="AH21" s="12">
        <v>9</v>
      </c>
      <c r="AI21" s="13">
        <f>IF(OR(B21="",Results!B6=""),"",IF(AND(B21=Results!B6,Results!B6&lt;&gt;Games!$C$18),1,0))</f>
        <v>0</v>
      </c>
      <c r="AJ21" s="13">
        <f>IF(OR(C21="",Results!C6=""),"",IF(AND(C21=Results!C6,Results!C6&lt;&gt;Games!$C$19),1,0))</f>
        <v>0</v>
      </c>
      <c r="AK21" s="13">
        <f>IF(OR(D21="",Results!D6=""),"",IF(AND(D21=Results!D6,Results!D6&lt;&gt;Games!$C$20),1,0))</f>
        <v>0</v>
      </c>
      <c r="AL21" s="13">
        <f>IF(OR(E21="",Results!E6=""),"",IF(AND(E21=Results!E6,Results!E6&lt;&gt;Games!$C$21),1,0))</f>
        <v>0</v>
      </c>
      <c r="AM21" s="13">
        <f>IF(OR(F21="",Results!F6=""),"",IF(AND(F21=Results!F6,Results!F6&lt;&gt;Games!$C$22),1,0))</f>
        <v>1</v>
      </c>
      <c r="AN21" s="13">
        <f>IF(OR(G21="",Results!G6=""),"",IF(AND(G21=Results!G6,Results!G6&lt;&gt;Games!$C$23),1,0))</f>
        <v>0</v>
      </c>
      <c r="AO21" s="13">
        <f>IF(OR(H21="",Results!H6=""),"",IF(AND(H21=Results!H6,Results!H6&lt;&gt;Games!$C$24),1,0))</f>
        <v>1</v>
      </c>
      <c r="AP21" s="13">
        <f>IF(OR(I21="",Results!I6=""),"",IF(AND(I21=Results!I6,Results!I6&lt;&gt;Games!$C$25),1,0))</f>
        <v>0</v>
      </c>
      <c r="AQ21" s="13">
        <f>IF(OR(J21="",Results!J6=""),"",IF(AND(J21=Results!J6,Results!J6&lt;&gt;Games!$C$26),1,0))</f>
        <v>0</v>
      </c>
      <c r="AR21" s="13">
        <f>IF(OR(K21="",Results!K6=""),"",IF(AND(K21=Results!K6,Results!K6&lt;&gt;Games!$C$27),1,0))</f>
        <v>0</v>
      </c>
      <c r="AS21" s="13">
        <f>IF(OR(L21="",Results!L6=""),"",IF(AND(L21=Results!L6,Results!L6&lt;&gt;Games!$C$28),1,0))</f>
        <v>0</v>
      </c>
      <c r="AT21" s="13">
        <f>IF(OR(M21="",Results!M6=""),"",IF(AND(M21=Results!M6,Results!M6&lt;&gt;Games!$C$29),1,0))</f>
        <v>0</v>
      </c>
      <c r="AU21" s="13">
        <f>IF(OR(N21="",Results!N6=""),"",IF(AND(N21=Results!N6,Results!N6&lt;&gt;Games!$C$30),1,0))</f>
        <v>0</v>
      </c>
      <c r="AV21" s="14">
        <f t="shared" si="1"/>
        <v>2</v>
      </c>
    </row>
    <row r="22" spans="1:48" ht="15" customHeight="1" x14ac:dyDescent="0.25">
      <c r="A22" s="4" t="str">
        <f>INDEX(Players!$D$6:$D$69,MATCH(10,Players!$A$6:$A$69,0))</f>
        <v>Gene P.</v>
      </c>
      <c r="B22" s="5" t="s">
        <v>196</v>
      </c>
      <c r="C22" s="5" t="s">
        <v>230</v>
      </c>
      <c r="D22" s="5" t="s">
        <v>232</v>
      </c>
      <c r="E22" s="5" t="s">
        <v>235</v>
      </c>
      <c r="F22" s="5" t="s">
        <v>238</v>
      </c>
      <c r="G22" s="5" t="s">
        <v>240</v>
      </c>
      <c r="H22" s="5" t="s">
        <v>242</v>
      </c>
      <c r="I22" s="5" t="s">
        <v>244</v>
      </c>
      <c r="J22" s="5" t="s">
        <v>245</v>
      </c>
      <c r="K22" s="5" t="s">
        <v>247</v>
      </c>
      <c r="L22" s="5" t="s">
        <v>249</v>
      </c>
      <c r="M22" s="5" t="s">
        <v>251</v>
      </c>
      <c r="N22" s="5" t="s">
        <v>253</v>
      </c>
      <c r="O22" s="5">
        <v>7</v>
      </c>
      <c r="P22" s="5">
        <v>9</v>
      </c>
      <c r="Q22" s="5">
        <v>10</v>
      </c>
      <c r="R22" s="5">
        <v>57</v>
      </c>
      <c r="S22" s="4">
        <f>IF(OR(B22="",Results!B6=""),"",IF(B22=Results!B6,1+IF(OR($O22=1,$P22=1,$Q22=1),1,0),0))</f>
        <v>1</v>
      </c>
      <c r="T22" s="4">
        <f>IF(OR(C22="",Results!C6=""),"",IF(C22=Results!C6,1+IF(OR($O22=2,$P22=2,$Q22=2),1,0),0))</f>
        <v>1</v>
      </c>
      <c r="U22" s="4">
        <f>IF(OR(D22="",Results!D6=""),"",IF(D22=Results!D6,1+IF(OR($O22=3,$P22=3,$Q22=3),1,0),0))</f>
        <v>0</v>
      </c>
      <c r="V22" s="4">
        <f>IF(OR(E22="",Results!E6=""),"",IF(E22=Results!E6,1+IF(OR($O22=4,$P22=4,$Q22=4),1,0),0))</f>
        <v>0</v>
      </c>
      <c r="W22" s="4">
        <f>IF(OR(F22="",Results!F6=""),"",IF(F22=Results!F6,1+IF(OR($O22=5,$P22=5,$Q22=5),1,0),0))</f>
        <v>1</v>
      </c>
      <c r="X22" s="4">
        <f>IF(OR(G22="",Results!G6=""),"",IF(G22=Results!G6,1+IF(OR($O22=6,$P22=6,$Q22=6),1,0),0))</f>
        <v>0</v>
      </c>
      <c r="Y22" s="4">
        <f>IF(OR(H22="",Results!H6=""),"",IF(H22=Results!H6,1+IF(OR($O22=7,$P22=7,$Q22=7),1,0),0))</f>
        <v>0</v>
      </c>
      <c r="Z22" s="4">
        <f>IF(OR(I22="",Results!I6=""),"",IF(I22=Results!I6,1+IF(OR($O22=8,$P22=8,$Q22=8),1,0),0))</f>
        <v>0</v>
      </c>
      <c r="AA22" s="4">
        <f>IF(OR(J22="",Results!J6=""),"",IF(J22=Results!J6,1+IF(OR($O22=9,$P22=9,$Q22=9),1,0),0))</f>
        <v>2</v>
      </c>
      <c r="AB22" s="4">
        <f>IF(OR(K22="",Results!K6=""),"",IF(K22=Results!K6,1+IF(OR($O22=10,$P22=10,$Q22=10),1,0),0))</f>
        <v>2</v>
      </c>
      <c r="AC22" s="4">
        <f>IF(OR(L22="",Results!L6=""),"",IF(L22=Results!L6,1+IF(OR($O22=11,$P22=11,$Q22=11),1,0),0))</f>
        <v>0</v>
      </c>
      <c r="AD22" s="4">
        <f>IF(OR(M22="",Results!M6=""),"",IF(M22=Results!M6,1+IF(OR($O22=12,$P22=12,$Q22=12),1,0),0))</f>
        <v>1</v>
      </c>
      <c r="AE22" s="4">
        <f>IF(OR(N22="",Results!N6=""),"",IF(N22=Results!N6,1+IF(OR($O22=13,$P22=13,$Q22=13),1,0),0))</f>
        <v>1</v>
      </c>
      <c r="AF22" s="11">
        <f t="shared" si="0"/>
        <v>9</v>
      </c>
      <c r="AG22" s="4" t="str">
        <f>IF(OR($R22="",Results!O6=""),"",ABS($R22-Results!O6))</f>
        <v/>
      </c>
      <c r="AH22" s="12">
        <v>10</v>
      </c>
      <c r="AI22" s="13">
        <f>IF(OR(B22="",Results!B6=""),"",IF(AND(B22=Results!B6,Results!B6&lt;&gt;Games!$C$18),1,0))</f>
        <v>0</v>
      </c>
      <c r="AJ22" s="13">
        <f>IF(OR(C22="",Results!C6=""),"",IF(AND(C22=Results!C6,Results!C6&lt;&gt;Games!$C$19),1,0))</f>
        <v>0</v>
      </c>
      <c r="AK22" s="13">
        <f>IF(OR(D22="",Results!D6=""),"",IF(AND(D22=Results!D6,Results!D6&lt;&gt;Games!$C$20),1,0))</f>
        <v>0</v>
      </c>
      <c r="AL22" s="13">
        <f>IF(OR(E22="",Results!E6=""),"",IF(AND(E22=Results!E6,Results!E6&lt;&gt;Games!$C$21),1,0))</f>
        <v>0</v>
      </c>
      <c r="AM22" s="13">
        <f>IF(OR(F22="",Results!F6=""),"",IF(AND(F22=Results!F6,Results!F6&lt;&gt;Games!$C$22),1,0))</f>
        <v>1</v>
      </c>
      <c r="AN22" s="13">
        <f>IF(OR(G22="",Results!G6=""),"",IF(AND(G22=Results!G6,Results!G6&lt;&gt;Games!$C$23),1,0))</f>
        <v>0</v>
      </c>
      <c r="AO22" s="13">
        <f>IF(OR(H22="",Results!H6=""),"",IF(AND(H22=Results!H6,Results!H6&lt;&gt;Games!$C$24),1,0))</f>
        <v>0</v>
      </c>
      <c r="AP22" s="13">
        <f>IF(OR(I22="",Results!I6=""),"",IF(AND(I22=Results!I6,Results!I6&lt;&gt;Games!$C$25),1,0))</f>
        <v>0</v>
      </c>
      <c r="AQ22" s="13">
        <f>IF(OR(J22="",Results!J6=""),"",IF(AND(J22=Results!J6,Results!J6&lt;&gt;Games!$C$26),1,0))</f>
        <v>0</v>
      </c>
      <c r="AR22" s="13">
        <f>IF(OR(K22="",Results!K6=""),"",IF(AND(K22=Results!K6,Results!K6&lt;&gt;Games!$C$27),1,0))</f>
        <v>0</v>
      </c>
      <c r="AS22" s="13">
        <f>IF(OR(L22="",Results!L6=""),"",IF(AND(L22=Results!L6,Results!L6&lt;&gt;Games!$C$28),1,0))</f>
        <v>0</v>
      </c>
      <c r="AT22" s="13">
        <f>IF(OR(M22="",Results!M6=""),"",IF(AND(M22=Results!M6,Results!M6&lt;&gt;Games!$C$29),1,0))</f>
        <v>0</v>
      </c>
      <c r="AU22" s="13">
        <f>IF(OR(N22="",Results!N6=""),"",IF(AND(N22=Results!N6,Results!N6&lt;&gt;Games!$C$30),1,0))</f>
        <v>0</v>
      </c>
      <c r="AV22" s="14">
        <f t="shared" si="1"/>
        <v>1</v>
      </c>
    </row>
    <row r="23" spans="1:48" ht="15" customHeight="1" x14ac:dyDescent="0.25">
      <c r="A23" s="4" t="str">
        <f>INDEX(Players!$D$6:$D$69,MATCH(55,Players!$A$6:$A$69,0))</f>
        <v>Greyson R.</v>
      </c>
      <c r="B23" s="5" t="s">
        <v>196</v>
      </c>
      <c r="C23" s="5" t="s">
        <v>230</v>
      </c>
      <c r="D23" s="5" t="s">
        <v>233</v>
      </c>
      <c r="E23" s="5" t="s">
        <v>235</v>
      </c>
      <c r="F23" s="5" t="s">
        <v>237</v>
      </c>
      <c r="G23" s="5" t="s">
        <v>239</v>
      </c>
      <c r="H23" s="5" t="s">
        <v>242</v>
      </c>
      <c r="I23" s="5" t="s">
        <v>199</v>
      </c>
      <c r="J23" s="5" t="s">
        <v>245</v>
      </c>
      <c r="K23" s="5" t="s">
        <v>247</v>
      </c>
      <c r="L23" s="5" t="s">
        <v>250</v>
      </c>
      <c r="M23" s="5" t="s">
        <v>251</v>
      </c>
      <c r="N23" s="5" t="s">
        <v>253</v>
      </c>
      <c r="O23" s="5">
        <v>7</v>
      </c>
      <c r="P23" s="5">
        <v>9</v>
      </c>
      <c r="Q23" s="5">
        <v>10</v>
      </c>
      <c r="R23" s="5">
        <v>58</v>
      </c>
      <c r="S23" s="4">
        <f>IF(OR(B23="",Results!B6=""),"",IF(B23=Results!B6,1+IF(OR($O23=1,$P23=1,$Q23=1),1,0),0))</f>
        <v>1</v>
      </c>
      <c r="T23" s="4">
        <f>IF(OR(C23="",Results!C6=""),"",IF(C23=Results!C6,1+IF(OR($O23=2,$P23=2,$Q23=2),1,0),0))</f>
        <v>1</v>
      </c>
      <c r="U23" s="4">
        <f>IF(OR(D23="",Results!D6=""),"",IF(D23=Results!D6,1+IF(OR($O23=3,$P23=3,$Q23=3),1,0),0))</f>
        <v>1</v>
      </c>
      <c r="V23" s="4">
        <f>IF(OR(E23="",Results!E6=""),"",IF(E23=Results!E6,1+IF(OR($O23=4,$P23=4,$Q23=4),1,0),0))</f>
        <v>0</v>
      </c>
      <c r="W23" s="4">
        <f>IF(OR(F23="",Results!F6=""),"",IF(F23=Results!F6,1+IF(OR($O23=5,$P23=5,$Q23=5),1,0),0))</f>
        <v>0</v>
      </c>
      <c r="X23" s="4">
        <f>IF(OR(G23="",Results!G6=""),"",IF(G23=Results!G6,1+IF(OR($O23=6,$P23=6,$Q23=6),1,0),0))</f>
        <v>1</v>
      </c>
      <c r="Y23" s="4">
        <f>IF(OR(H23="",Results!H6=""),"",IF(H23=Results!H6,1+IF(OR($O23=7,$P23=7,$Q23=7),1,0),0))</f>
        <v>0</v>
      </c>
      <c r="Z23" s="4">
        <f>IF(OR(I23="",Results!I6=""),"",IF(I23=Results!I6,1+IF(OR($O23=8,$P23=8,$Q23=8),1,0),0))</f>
        <v>1</v>
      </c>
      <c r="AA23" s="4">
        <f>IF(OR(J23="",Results!J6=""),"",IF(J23=Results!J6,1+IF(OR($O23=9,$P23=9,$Q23=9),1,0),0))</f>
        <v>2</v>
      </c>
      <c r="AB23" s="4">
        <f>IF(OR(K23="",Results!K6=""),"",IF(K23=Results!K6,1+IF(OR($O23=10,$P23=10,$Q23=10),1,0),0))</f>
        <v>2</v>
      </c>
      <c r="AC23" s="4">
        <f>IF(OR(L23="",Results!L6=""),"",IF(L23=Results!L6,1+IF(OR($O23=11,$P23=11,$Q23=11),1,0),0))</f>
        <v>1</v>
      </c>
      <c r="AD23" s="4">
        <f>IF(OR(M23="",Results!M6=""),"",IF(M23=Results!M6,1+IF(OR($O23=12,$P23=12,$Q23=12),1,0),0))</f>
        <v>1</v>
      </c>
      <c r="AE23" s="4">
        <f>IF(OR(N23="",Results!N6=""),"",IF(N23=Results!N6,1+IF(OR($O23=13,$P23=13,$Q23=13),1,0),0))</f>
        <v>1</v>
      </c>
      <c r="AF23" s="11">
        <f t="shared" si="0"/>
        <v>12</v>
      </c>
      <c r="AG23" s="4" t="str">
        <f>IF(OR($R23="",Results!O6=""),"",ABS($R23-Results!O6))</f>
        <v/>
      </c>
      <c r="AH23" s="12">
        <v>55</v>
      </c>
      <c r="AI23" s="13">
        <f>IF(OR(B23="",Results!B6=""),"",IF(AND(B23=Results!B6,Results!B6&lt;&gt;Games!$C$18),1,0))</f>
        <v>0</v>
      </c>
      <c r="AJ23" s="13">
        <f>IF(OR(C23="",Results!C6=""),"",IF(AND(C23=Results!C6,Results!C6&lt;&gt;Games!$C$19),1,0))</f>
        <v>0</v>
      </c>
      <c r="AK23" s="13">
        <f>IF(OR(D23="",Results!D6=""),"",IF(AND(D23=Results!D6,Results!D6&lt;&gt;Games!$C$20),1,0))</f>
        <v>1</v>
      </c>
      <c r="AL23" s="13">
        <f>IF(OR(E23="",Results!E6=""),"",IF(AND(E23=Results!E6,Results!E6&lt;&gt;Games!$C$21),1,0))</f>
        <v>0</v>
      </c>
      <c r="AM23" s="13">
        <f>IF(OR(F23="",Results!F6=""),"",IF(AND(F23=Results!F6,Results!F6&lt;&gt;Games!$C$22),1,0))</f>
        <v>0</v>
      </c>
      <c r="AN23" s="13">
        <f>IF(OR(G23="",Results!G6=""),"",IF(AND(G23=Results!G6,Results!G6&lt;&gt;Games!$C$23),1,0))</f>
        <v>0</v>
      </c>
      <c r="AO23" s="13">
        <f>IF(OR(H23="",Results!H6=""),"",IF(AND(H23=Results!H6,Results!H6&lt;&gt;Games!$C$24),1,0))</f>
        <v>0</v>
      </c>
      <c r="AP23" s="13">
        <f>IF(OR(I23="",Results!I6=""),"",IF(AND(I23=Results!I6,Results!I6&lt;&gt;Games!$C$25),1,0))</f>
        <v>1</v>
      </c>
      <c r="AQ23" s="13">
        <f>IF(OR(J23="",Results!J6=""),"",IF(AND(J23=Results!J6,Results!J6&lt;&gt;Games!$C$26),1,0))</f>
        <v>0</v>
      </c>
      <c r="AR23" s="13">
        <f>IF(OR(K23="",Results!K6=""),"",IF(AND(K23=Results!K6,Results!K6&lt;&gt;Games!$C$27),1,0))</f>
        <v>0</v>
      </c>
      <c r="AS23" s="13">
        <f>IF(OR(L23="",Results!L6=""),"",IF(AND(L23=Results!L6,Results!L6&lt;&gt;Games!$C$28),1,0))</f>
        <v>1</v>
      </c>
      <c r="AT23" s="13">
        <f>IF(OR(M23="",Results!M6=""),"",IF(AND(M23=Results!M6,Results!M6&lt;&gt;Games!$C$29),1,0))</f>
        <v>0</v>
      </c>
      <c r="AU23" s="13">
        <f>IF(OR(N23="",Results!N6=""),"",IF(AND(N23=Results!N6,Results!N6&lt;&gt;Games!$C$30),1,0))</f>
        <v>0</v>
      </c>
      <c r="AV23" s="14">
        <f t="shared" si="1"/>
        <v>3</v>
      </c>
    </row>
    <row r="24" spans="1:48" ht="15" customHeight="1" x14ac:dyDescent="0.25">
      <c r="A24" s="4" t="str">
        <f>INDEX(Players!$D$6:$D$69,MATCH(47,Players!$A$6:$A$69,0))</f>
        <v>James M.</v>
      </c>
      <c r="B24" s="5" t="s">
        <v>228</v>
      </c>
      <c r="C24" s="5" t="s">
        <v>230</v>
      </c>
      <c r="D24" s="5" t="s">
        <v>233</v>
      </c>
      <c r="E24" s="5" t="s">
        <v>234</v>
      </c>
      <c r="F24" s="5" t="s">
        <v>237</v>
      </c>
      <c r="G24" s="5" t="s">
        <v>240</v>
      </c>
      <c r="H24" s="5" t="s">
        <v>242</v>
      </c>
      <c r="I24" s="5" t="s">
        <v>244</v>
      </c>
      <c r="J24" s="5" t="s">
        <v>245</v>
      </c>
      <c r="K24" s="5" t="s">
        <v>247</v>
      </c>
      <c r="L24" s="5" t="s">
        <v>250</v>
      </c>
      <c r="M24" s="5" t="s">
        <v>251</v>
      </c>
      <c r="N24" s="5" t="s">
        <v>254</v>
      </c>
      <c r="O24" s="5">
        <v>7</v>
      </c>
      <c r="P24" s="5">
        <v>9</v>
      </c>
      <c r="Q24" s="5">
        <v>10</v>
      </c>
      <c r="R24" s="5">
        <v>55</v>
      </c>
      <c r="S24" s="4">
        <f>IF(OR(B24="",Results!B6=""),"",IF(B24=Results!B6,1+IF(OR($O24=1,$P24=1,$Q24=1),1,0),0))</f>
        <v>0</v>
      </c>
      <c r="T24" s="4">
        <f>IF(OR(C24="",Results!C6=""),"",IF(C24=Results!C6,1+IF(OR($O24=2,$P24=2,$Q24=2),1,0),0))</f>
        <v>1</v>
      </c>
      <c r="U24" s="4">
        <f>IF(OR(D24="",Results!D6=""),"",IF(D24=Results!D6,1+IF(OR($O24=3,$P24=3,$Q24=3),1,0),0))</f>
        <v>1</v>
      </c>
      <c r="V24" s="4">
        <f>IF(OR(E24="",Results!E6=""),"",IF(E24=Results!E6,1+IF(OR($O24=4,$P24=4,$Q24=4),1,0),0))</f>
        <v>1</v>
      </c>
      <c r="W24" s="4">
        <f>IF(OR(F24="",Results!F6=""),"",IF(F24=Results!F6,1+IF(OR($O24=5,$P24=5,$Q24=5),1,0),0))</f>
        <v>0</v>
      </c>
      <c r="X24" s="4">
        <f>IF(OR(G24="",Results!G6=""),"",IF(G24=Results!G6,1+IF(OR($O24=6,$P24=6,$Q24=6),1,0),0))</f>
        <v>0</v>
      </c>
      <c r="Y24" s="4">
        <f>IF(OR(H24="",Results!H6=""),"",IF(H24=Results!H6,1+IF(OR($O24=7,$P24=7,$Q24=7),1,0),0))</f>
        <v>0</v>
      </c>
      <c r="Z24" s="4">
        <f>IF(OR(I24="",Results!I6=""),"",IF(I24=Results!I6,1+IF(OR($O24=8,$P24=8,$Q24=8),1,0),0))</f>
        <v>0</v>
      </c>
      <c r="AA24" s="4">
        <f>IF(OR(J24="",Results!J6=""),"",IF(J24=Results!J6,1+IF(OR($O24=9,$P24=9,$Q24=9),1,0),0))</f>
        <v>2</v>
      </c>
      <c r="AB24" s="4">
        <f>IF(OR(K24="",Results!K6=""),"",IF(K24=Results!K6,1+IF(OR($O24=10,$P24=10,$Q24=10),1,0),0))</f>
        <v>2</v>
      </c>
      <c r="AC24" s="4">
        <f>IF(OR(L24="",Results!L6=""),"",IF(L24=Results!L6,1+IF(OR($O24=11,$P24=11,$Q24=11),1,0),0))</f>
        <v>1</v>
      </c>
      <c r="AD24" s="4">
        <f>IF(OR(M24="",Results!M6=""),"",IF(M24=Results!M6,1+IF(OR($O24=12,$P24=12,$Q24=12),1,0),0))</f>
        <v>1</v>
      </c>
      <c r="AE24" s="4">
        <f>IF(OR(N24="",Results!N6=""),"",IF(N24=Results!N6,1+IF(OR($O24=13,$P24=13,$Q24=13),1,0),0))</f>
        <v>0</v>
      </c>
      <c r="AF24" s="11">
        <f t="shared" si="0"/>
        <v>9</v>
      </c>
      <c r="AG24" s="4" t="str">
        <f>IF(OR($R24="",Results!O6=""),"",ABS($R24-Results!O6))</f>
        <v/>
      </c>
      <c r="AH24" s="12">
        <v>47</v>
      </c>
      <c r="AI24" s="13">
        <f>IF(OR(B24="",Results!B6=""),"",IF(AND(B24=Results!B6,Results!B6&lt;&gt;Games!$C$18),1,0))</f>
        <v>0</v>
      </c>
      <c r="AJ24" s="13">
        <f>IF(OR(C24="",Results!C6=""),"",IF(AND(C24=Results!C6,Results!C6&lt;&gt;Games!$C$19),1,0))</f>
        <v>0</v>
      </c>
      <c r="AK24" s="13">
        <f>IF(OR(D24="",Results!D6=""),"",IF(AND(D24=Results!D6,Results!D6&lt;&gt;Games!$C$20),1,0))</f>
        <v>1</v>
      </c>
      <c r="AL24" s="13">
        <f>IF(OR(E24="",Results!E6=""),"",IF(AND(E24=Results!E6,Results!E6&lt;&gt;Games!$C$21),1,0))</f>
        <v>0</v>
      </c>
      <c r="AM24" s="13">
        <f>IF(OR(F24="",Results!F6=""),"",IF(AND(F24=Results!F6,Results!F6&lt;&gt;Games!$C$22),1,0))</f>
        <v>0</v>
      </c>
      <c r="AN24" s="13">
        <f>IF(OR(G24="",Results!G6=""),"",IF(AND(G24=Results!G6,Results!G6&lt;&gt;Games!$C$23),1,0))</f>
        <v>0</v>
      </c>
      <c r="AO24" s="13">
        <f>IF(OR(H24="",Results!H6=""),"",IF(AND(H24=Results!H6,Results!H6&lt;&gt;Games!$C$24),1,0))</f>
        <v>0</v>
      </c>
      <c r="AP24" s="13">
        <f>IF(OR(I24="",Results!I6=""),"",IF(AND(I24=Results!I6,Results!I6&lt;&gt;Games!$C$25),1,0))</f>
        <v>0</v>
      </c>
      <c r="AQ24" s="13">
        <f>IF(OR(J24="",Results!J6=""),"",IF(AND(J24=Results!J6,Results!J6&lt;&gt;Games!$C$26),1,0))</f>
        <v>0</v>
      </c>
      <c r="AR24" s="13">
        <f>IF(OR(K24="",Results!K6=""),"",IF(AND(K24=Results!K6,Results!K6&lt;&gt;Games!$C$27),1,0))</f>
        <v>0</v>
      </c>
      <c r="AS24" s="13">
        <f>IF(OR(L24="",Results!L6=""),"",IF(AND(L24=Results!L6,Results!L6&lt;&gt;Games!$C$28),1,0))</f>
        <v>1</v>
      </c>
      <c r="AT24" s="13">
        <f>IF(OR(M24="",Results!M6=""),"",IF(AND(M24=Results!M6,Results!M6&lt;&gt;Games!$C$29),1,0))</f>
        <v>0</v>
      </c>
      <c r="AU24" s="13">
        <f>IF(OR(N24="",Results!N6=""),"",IF(AND(N24=Results!N6,Results!N6&lt;&gt;Games!$C$30),1,0))</f>
        <v>0</v>
      </c>
      <c r="AV24" s="14">
        <f t="shared" si="1"/>
        <v>2</v>
      </c>
    </row>
    <row r="25" spans="1:48" ht="15" customHeight="1" x14ac:dyDescent="0.25">
      <c r="A25" s="4" t="str">
        <f>INDEX(Players!$D$6:$D$69,MATCH(54,Players!$A$6:$A$69,0))</f>
        <v>Jamie Z.</v>
      </c>
      <c r="B25" s="5" t="s">
        <v>196</v>
      </c>
      <c r="C25" s="5" t="s">
        <v>230</v>
      </c>
      <c r="D25" s="5" t="s">
        <v>232</v>
      </c>
      <c r="E25" s="5" t="s">
        <v>234</v>
      </c>
      <c r="F25" s="5" t="s">
        <v>237</v>
      </c>
      <c r="G25" s="5" t="s">
        <v>240</v>
      </c>
      <c r="H25" s="5" t="s">
        <v>242</v>
      </c>
      <c r="I25" s="5" t="s">
        <v>244</v>
      </c>
      <c r="J25" s="5" t="s">
        <v>245</v>
      </c>
      <c r="K25" s="5" t="s">
        <v>247</v>
      </c>
      <c r="L25" s="5" t="s">
        <v>249</v>
      </c>
      <c r="M25" s="5" t="s">
        <v>252</v>
      </c>
      <c r="N25" s="5" t="s">
        <v>253</v>
      </c>
      <c r="O25" s="5">
        <v>7</v>
      </c>
      <c r="P25" s="5">
        <v>8</v>
      </c>
      <c r="Q25" s="5">
        <v>10</v>
      </c>
      <c r="R25" s="5">
        <v>57</v>
      </c>
      <c r="S25" s="4">
        <f>IF(OR(B25="",Results!B6=""),"",IF(B25=Results!B6,1+IF(OR($O25=1,$P25=1,$Q25=1),1,0),0))</f>
        <v>1</v>
      </c>
      <c r="T25" s="4">
        <f>IF(OR(C25="",Results!C6=""),"",IF(C25=Results!C6,1+IF(OR($O25=2,$P25=2,$Q25=2),1,0),0))</f>
        <v>1</v>
      </c>
      <c r="U25" s="4">
        <f>IF(OR(D25="",Results!D6=""),"",IF(D25=Results!D6,1+IF(OR($O25=3,$P25=3,$Q25=3),1,0),0))</f>
        <v>0</v>
      </c>
      <c r="V25" s="4">
        <f>IF(OR(E25="",Results!E6=""),"",IF(E25=Results!E6,1+IF(OR($O25=4,$P25=4,$Q25=4),1,0),0))</f>
        <v>1</v>
      </c>
      <c r="W25" s="4">
        <f>IF(OR(F25="",Results!F6=""),"",IF(F25=Results!F6,1+IF(OR($O25=5,$P25=5,$Q25=5),1,0),0))</f>
        <v>0</v>
      </c>
      <c r="X25" s="4">
        <f>IF(OR(G25="",Results!G6=""),"",IF(G25=Results!G6,1+IF(OR($O25=6,$P25=6,$Q25=6),1,0),0))</f>
        <v>0</v>
      </c>
      <c r="Y25" s="4">
        <f>IF(OR(H25="",Results!H6=""),"",IF(H25=Results!H6,1+IF(OR($O25=7,$P25=7,$Q25=7),1,0),0))</f>
        <v>0</v>
      </c>
      <c r="Z25" s="4">
        <f>IF(OR(I25="",Results!I6=""),"",IF(I25=Results!I6,1+IF(OR($O25=8,$P25=8,$Q25=8),1,0),0))</f>
        <v>0</v>
      </c>
      <c r="AA25" s="4">
        <f>IF(OR(J25="",Results!J6=""),"",IF(J25=Results!J6,1+IF(OR($O25=9,$P25=9,$Q25=9),1,0),0))</f>
        <v>1</v>
      </c>
      <c r="AB25" s="4">
        <f>IF(OR(K25="",Results!K6=""),"",IF(K25=Results!K6,1+IF(OR($O25=10,$P25=10,$Q25=10),1,0),0))</f>
        <v>2</v>
      </c>
      <c r="AC25" s="4">
        <f>IF(OR(L25="",Results!L6=""),"",IF(L25=Results!L6,1+IF(OR($O25=11,$P25=11,$Q25=11),1,0),0))</f>
        <v>0</v>
      </c>
      <c r="AD25" s="4">
        <f>IF(OR(M25="",Results!M6=""),"",IF(M25=Results!M6,1+IF(OR($O25=12,$P25=12,$Q25=12),1,0),0))</f>
        <v>0</v>
      </c>
      <c r="AE25" s="4">
        <f>IF(OR(N25="",Results!N6=""),"",IF(N25=Results!N6,1+IF(OR($O25=13,$P25=13,$Q25=13),1,0),0))</f>
        <v>1</v>
      </c>
      <c r="AF25" s="11">
        <f t="shared" si="0"/>
        <v>7</v>
      </c>
      <c r="AG25" s="4" t="str">
        <f>IF(OR($R25="",Results!O6=""),"",ABS($R25-Results!O6))</f>
        <v/>
      </c>
      <c r="AH25" s="12">
        <v>54</v>
      </c>
      <c r="AI25" s="13">
        <f>IF(OR(B25="",Results!B6=""),"",IF(AND(B25=Results!B6,Results!B6&lt;&gt;Games!$C$18),1,0))</f>
        <v>0</v>
      </c>
      <c r="AJ25" s="13">
        <f>IF(OR(C25="",Results!C6=""),"",IF(AND(C25=Results!C6,Results!C6&lt;&gt;Games!$C$19),1,0))</f>
        <v>0</v>
      </c>
      <c r="AK25" s="13">
        <f>IF(OR(D25="",Results!D6=""),"",IF(AND(D25=Results!D6,Results!D6&lt;&gt;Games!$C$20),1,0))</f>
        <v>0</v>
      </c>
      <c r="AL25" s="13">
        <f>IF(OR(E25="",Results!E6=""),"",IF(AND(E25=Results!E6,Results!E6&lt;&gt;Games!$C$21),1,0))</f>
        <v>0</v>
      </c>
      <c r="AM25" s="13">
        <f>IF(OR(F25="",Results!F6=""),"",IF(AND(F25=Results!F6,Results!F6&lt;&gt;Games!$C$22),1,0))</f>
        <v>0</v>
      </c>
      <c r="AN25" s="13">
        <f>IF(OR(G25="",Results!G6=""),"",IF(AND(G25=Results!G6,Results!G6&lt;&gt;Games!$C$23),1,0))</f>
        <v>0</v>
      </c>
      <c r="AO25" s="13">
        <f>IF(OR(H25="",Results!H6=""),"",IF(AND(H25=Results!H6,Results!H6&lt;&gt;Games!$C$24),1,0))</f>
        <v>0</v>
      </c>
      <c r="AP25" s="13">
        <f>IF(OR(I25="",Results!I6=""),"",IF(AND(I25=Results!I6,Results!I6&lt;&gt;Games!$C$25),1,0))</f>
        <v>0</v>
      </c>
      <c r="AQ25" s="13">
        <f>IF(OR(J25="",Results!J6=""),"",IF(AND(J25=Results!J6,Results!J6&lt;&gt;Games!$C$26),1,0))</f>
        <v>0</v>
      </c>
      <c r="AR25" s="13">
        <f>IF(OR(K25="",Results!K6=""),"",IF(AND(K25=Results!K6,Results!K6&lt;&gt;Games!$C$27),1,0))</f>
        <v>0</v>
      </c>
      <c r="AS25" s="13">
        <f>IF(OR(L25="",Results!L6=""),"",IF(AND(L25=Results!L6,Results!L6&lt;&gt;Games!$C$28),1,0))</f>
        <v>0</v>
      </c>
      <c r="AT25" s="13">
        <f>IF(OR(M25="",Results!M6=""),"",IF(AND(M25=Results!M6,Results!M6&lt;&gt;Games!$C$29),1,0))</f>
        <v>0</v>
      </c>
      <c r="AU25" s="13">
        <f>IF(OR(N25="",Results!N6=""),"",IF(AND(N25=Results!N6,Results!N6&lt;&gt;Games!$C$30),1,0))</f>
        <v>0</v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 t="s">
        <v>196</v>
      </c>
      <c r="C26" s="5" t="s">
        <v>230</v>
      </c>
      <c r="D26" s="5" t="s">
        <v>232</v>
      </c>
      <c r="E26" s="5" t="s">
        <v>235</v>
      </c>
      <c r="F26" s="5" t="s">
        <v>237</v>
      </c>
      <c r="G26" s="5" t="s">
        <v>239</v>
      </c>
      <c r="H26" s="5" t="s">
        <v>242</v>
      </c>
      <c r="I26" s="5" t="s">
        <v>244</v>
      </c>
      <c r="J26" s="5" t="s">
        <v>245</v>
      </c>
      <c r="K26" s="5" t="s">
        <v>247</v>
      </c>
      <c r="L26" s="5" t="s">
        <v>250</v>
      </c>
      <c r="M26" s="5" t="s">
        <v>251</v>
      </c>
      <c r="N26" s="5" t="s">
        <v>253</v>
      </c>
      <c r="O26" s="5">
        <v>5</v>
      </c>
      <c r="P26" s="5">
        <v>9</v>
      </c>
      <c r="Q26" s="5">
        <v>10</v>
      </c>
      <c r="R26" s="5">
        <v>50</v>
      </c>
      <c r="S26" s="4">
        <f>IF(OR(B26="",Results!B6=""),"",IF(B26=Results!B6,1+IF(OR($O26=1,$P26=1,$Q26=1),1,0),0))</f>
        <v>1</v>
      </c>
      <c r="T26" s="4">
        <f>IF(OR(C26="",Results!C6=""),"",IF(C26=Results!C6,1+IF(OR($O26=2,$P26=2,$Q26=2),1,0),0))</f>
        <v>1</v>
      </c>
      <c r="U26" s="4">
        <f>IF(OR(D26="",Results!D6=""),"",IF(D26=Results!D6,1+IF(OR($O26=3,$P26=3,$Q26=3),1,0),0))</f>
        <v>0</v>
      </c>
      <c r="V26" s="4">
        <f>IF(OR(E26="",Results!E6=""),"",IF(E26=Results!E6,1+IF(OR($O26=4,$P26=4,$Q26=4),1,0),0))</f>
        <v>0</v>
      </c>
      <c r="W26" s="4">
        <f>IF(OR(F26="",Results!F6=""),"",IF(F26=Results!F6,1+IF(OR($O26=5,$P26=5,$Q26=5),1,0),0))</f>
        <v>0</v>
      </c>
      <c r="X26" s="4">
        <f>IF(OR(G26="",Results!G6=""),"",IF(G26=Results!G6,1+IF(OR($O26=6,$P26=6,$Q26=6),1,0),0))</f>
        <v>1</v>
      </c>
      <c r="Y26" s="4">
        <f>IF(OR(H26="",Results!H6=""),"",IF(H26=Results!H6,1+IF(OR($O26=7,$P26=7,$Q26=7),1,0),0))</f>
        <v>0</v>
      </c>
      <c r="Z26" s="4">
        <f>IF(OR(I26="",Results!I6=""),"",IF(I26=Results!I6,1+IF(OR($O26=8,$P26=8,$Q26=8),1,0),0))</f>
        <v>0</v>
      </c>
      <c r="AA26" s="4">
        <f>IF(OR(J26="",Results!J6=""),"",IF(J26=Results!J6,1+IF(OR($O26=9,$P26=9,$Q26=9),1,0),0))</f>
        <v>2</v>
      </c>
      <c r="AB26" s="4">
        <f>IF(OR(K26="",Results!K6=""),"",IF(K26=Results!K6,1+IF(OR($O26=10,$P26=10,$Q26=10),1,0),0))</f>
        <v>2</v>
      </c>
      <c r="AC26" s="4">
        <f>IF(OR(L26="",Results!L6=""),"",IF(L26=Results!L6,1+IF(OR($O26=11,$P26=11,$Q26=11),1,0),0))</f>
        <v>1</v>
      </c>
      <c r="AD26" s="4">
        <f>IF(OR(M26="",Results!M6=""),"",IF(M26=Results!M6,1+IF(OR($O26=12,$P26=12,$Q26=12),1,0),0))</f>
        <v>1</v>
      </c>
      <c r="AE26" s="4">
        <f>IF(OR(N26="",Results!N6=""),"",IF(N26=Results!N6,1+IF(OR($O26=13,$P26=13,$Q26=13),1,0),0))</f>
        <v>1</v>
      </c>
      <c r="AF26" s="11">
        <f t="shared" si="0"/>
        <v>10</v>
      </c>
      <c r="AG26" s="4" t="str">
        <f>IF(OR($R26="",Results!O6=""),"",ABS($R26-Results!O6))</f>
        <v/>
      </c>
      <c r="AH26" s="12">
        <v>48</v>
      </c>
      <c r="AI26" s="13">
        <f>IF(OR(B26="",Results!B6=""),"",IF(AND(B26=Results!B6,Results!B6&lt;&gt;Games!$C$18),1,0))</f>
        <v>0</v>
      </c>
      <c r="AJ26" s="13">
        <f>IF(OR(C26="",Results!C6=""),"",IF(AND(C26=Results!C6,Results!C6&lt;&gt;Games!$C$19),1,0))</f>
        <v>0</v>
      </c>
      <c r="AK26" s="13">
        <f>IF(OR(D26="",Results!D6=""),"",IF(AND(D26=Results!D6,Results!D6&lt;&gt;Games!$C$20),1,0))</f>
        <v>0</v>
      </c>
      <c r="AL26" s="13">
        <f>IF(OR(E26="",Results!E6=""),"",IF(AND(E26=Results!E6,Results!E6&lt;&gt;Games!$C$21),1,0))</f>
        <v>0</v>
      </c>
      <c r="AM26" s="13">
        <f>IF(OR(F26="",Results!F6=""),"",IF(AND(F26=Results!F6,Results!F6&lt;&gt;Games!$C$22),1,0))</f>
        <v>0</v>
      </c>
      <c r="AN26" s="13">
        <f>IF(OR(G26="",Results!G6=""),"",IF(AND(G26=Results!G6,Results!G6&lt;&gt;Games!$C$23),1,0))</f>
        <v>0</v>
      </c>
      <c r="AO26" s="13">
        <f>IF(OR(H26="",Results!H6=""),"",IF(AND(H26=Results!H6,Results!H6&lt;&gt;Games!$C$24),1,0))</f>
        <v>0</v>
      </c>
      <c r="AP26" s="13">
        <f>IF(OR(I26="",Results!I6=""),"",IF(AND(I26=Results!I6,Results!I6&lt;&gt;Games!$C$25),1,0))</f>
        <v>0</v>
      </c>
      <c r="AQ26" s="13">
        <f>IF(OR(J26="",Results!J6=""),"",IF(AND(J26=Results!J6,Results!J6&lt;&gt;Games!$C$26),1,0))</f>
        <v>0</v>
      </c>
      <c r="AR26" s="13">
        <f>IF(OR(K26="",Results!K6=""),"",IF(AND(K26=Results!K6,Results!K6&lt;&gt;Games!$C$27),1,0))</f>
        <v>0</v>
      </c>
      <c r="AS26" s="13">
        <f>IF(OR(L26="",Results!L6=""),"",IF(AND(L26=Results!L6,Results!L6&lt;&gt;Games!$C$28),1,0))</f>
        <v>1</v>
      </c>
      <c r="AT26" s="13">
        <f>IF(OR(M26="",Results!M6=""),"",IF(AND(M26=Results!M6,Results!M6&lt;&gt;Games!$C$29),1,0))</f>
        <v>0</v>
      </c>
      <c r="AU26" s="13">
        <f>IF(OR(N26="",Results!N6=""),"",IF(AND(N26=Results!N6,Results!N6&lt;&gt;Games!$C$30),1,0))</f>
        <v>0</v>
      </c>
      <c r="AV26" s="14">
        <f t="shared" si="1"/>
        <v>1</v>
      </c>
    </row>
    <row r="27" spans="1:48" ht="15" customHeight="1" x14ac:dyDescent="0.25">
      <c r="A27" s="4" t="str">
        <f>INDEX(Players!$D$6:$D$69,MATCH(38,Players!$A$6:$A$69,0))</f>
        <v>Jeff D.</v>
      </c>
      <c r="B27" s="5" t="s">
        <v>196</v>
      </c>
      <c r="C27" s="5" t="s">
        <v>230</v>
      </c>
      <c r="D27" s="5" t="s">
        <v>233</v>
      </c>
      <c r="E27" s="5" t="s">
        <v>235</v>
      </c>
      <c r="F27" s="5" t="s">
        <v>238</v>
      </c>
      <c r="G27" s="5" t="s">
        <v>240</v>
      </c>
      <c r="H27" s="5" t="s">
        <v>242</v>
      </c>
      <c r="I27" s="5" t="s">
        <v>244</v>
      </c>
      <c r="J27" s="5" t="s">
        <v>245</v>
      </c>
      <c r="K27" s="5" t="s">
        <v>247</v>
      </c>
      <c r="L27" s="5" t="s">
        <v>249</v>
      </c>
      <c r="M27" s="5" t="s">
        <v>252</v>
      </c>
      <c r="N27" s="5" t="s">
        <v>253</v>
      </c>
      <c r="O27" s="5">
        <v>2</v>
      </c>
      <c r="P27" s="5">
        <v>10</v>
      </c>
      <c r="Q27" s="5">
        <v>11</v>
      </c>
      <c r="R27" s="5">
        <v>49</v>
      </c>
      <c r="S27" s="4">
        <f>IF(OR(B27="",Results!B6=""),"",IF(B27=Results!B6,1+IF(OR($O27=1,$P27=1,$Q27=1),1,0),0))</f>
        <v>1</v>
      </c>
      <c r="T27" s="4">
        <f>IF(OR(C27="",Results!C6=""),"",IF(C27=Results!C6,1+IF(OR($O27=2,$P27=2,$Q27=2),1,0),0))</f>
        <v>2</v>
      </c>
      <c r="U27" s="4">
        <f>IF(OR(D27="",Results!D6=""),"",IF(D27=Results!D6,1+IF(OR($O27=3,$P27=3,$Q27=3),1,0),0))</f>
        <v>1</v>
      </c>
      <c r="V27" s="4">
        <f>IF(OR(E27="",Results!E6=""),"",IF(E27=Results!E6,1+IF(OR($O27=4,$P27=4,$Q27=4),1,0),0))</f>
        <v>0</v>
      </c>
      <c r="W27" s="4">
        <f>IF(OR(F27="",Results!F6=""),"",IF(F27=Results!F6,1+IF(OR($O27=5,$P27=5,$Q27=5),1,0),0))</f>
        <v>1</v>
      </c>
      <c r="X27" s="4">
        <f>IF(OR(G27="",Results!G6=""),"",IF(G27=Results!G6,1+IF(OR($O27=6,$P27=6,$Q27=6),1,0),0))</f>
        <v>0</v>
      </c>
      <c r="Y27" s="4">
        <f>IF(OR(H27="",Results!H6=""),"",IF(H27=Results!H6,1+IF(OR($O27=7,$P27=7,$Q27=7),1,0),0))</f>
        <v>0</v>
      </c>
      <c r="Z27" s="4">
        <f>IF(OR(I27="",Results!I6=""),"",IF(I27=Results!I6,1+IF(OR($O27=8,$P27=8,$Q27=8),1,0),0))</f>
        <v>0</v>
      </c>
      <c r="AA27" s="4">
        <f>IF(OR(J27="",Results!J6=""),"",IF(J27=Results!J6,1+IF(OR($O27=9,$P27=9,$Q27=9),1,0),0))</f>
        <v>1</v>
      </c>
      <c r="AB27" s="4">
        <f>IF(OR(K27="",Results!K6=""),"",IF(K27=Results!K6,1+IF(OR($O27=10,$P27=10,$Q27=10),1,0),0))</f>
        <v>2</v>
      </c>
      <c r="AC27" s="4">
        <f>IF(OR(L27="",Results!L6=""),"",IF(L27=Results!L6,1+IF(OR($O27=11,$P27=11,$Q27=11),1,0),0))</f>
        <v>0</v>
      </c>
      <c r="AD27" s="4">
        <f>IF(OR(M27="",Results!M6=""),"",IF(M27=Results!M6,1+IF(OR($O27=12,$P27=12,$Q27=12),1,0),0))</f>
        <v>0</v>
      </c>
      <c r="AE27" s="4">
        <f>IF(OR(N27="",Results!N6=""),"",IF(N27=Results!N6,1+IF(OR($O27=13,$P27=13,$Q27=13),1,0),0))</f>
        <v>1</v>
      </c>
      <c r="AF27" s="11">
        <f t="shared" si="0"/>
        <v>9</v>
      </c>
      <c r="AG27" s="4" t="str">
        <f>IF(OR($R27="",Results!O6=""),"",ABS($R27-Results!O6))</f>
        <v/>
      </c>
      <c r="AH27" s="12">
        <v>38</v>
      </c>
      <c r="AI27" s="13">
        <f>IF(OR(B27="",Results!B6=""),"",IF(AND(B27=Results!B6,Results!B6&lt;&gt;Games!$C$18),1,0))</f>
        <v>0</v>
      </c>
      <c r="AJ27" s="13">
        <f>IF(OR(C27="",Results!C6=""),"",IF(AND(C27=Results!C6,Results!C6&lt;&gt;Games!$C$19),1,0))</f>
        <v>0</v>
      </c>
      <c r="AK27" s="13">
        <f>IF(OR(D27="",Results!D6=""),"",IF(AND(D27=Results!D6,Results!D6&lt;&gt;Games!$C$20),1,0))</f>
        <v>1</v>
      </c>
      <c r="AL27" s="13">
        <f>IF(OR(E27="",Results!E6=""),"",IF(AND(E27=Results!E6,Results!E6&lt;&gt;Games!$C$21),1,0))</f>
        <v>0</v>
      </c>
      <c r="AM27" s="13">
        <f>IF(OR(F27="",Results!F6=""),"",IF(AND(F27=Results!F6,Results!F6&lt;&gt;Games!$C$22),1,0))</f>
        <v>1</v>
      </c>
      <c r="AN27" s="13">
        <f>IF(OR(G27="",Results!G6=""),"",IF(AND(G27=Results!G6,Results!G6&lt;&gt;Games!$C$23),1,0))</f>
        <v>0</v>
      </c>
      <c r="AO27" s="13">
        <f>IF(OR(H27="",Results!H6=""),"",IF(AND(H27=Results!H6,Results!H6&lt;&gt;Games!$C$24),1,0))</f>
        <v>0</v>
      </c>
      <c r="AP27" s="13">
        <f>IF(OR(I27="",Results!I6=""),"",IF(AND(I27=Results!I6,Results!I6&lt;&gt;Games!$C$25),1,0))</f>
        <v>0</v>
      </c>
      <c r="AQ27" s="13">
        <f>IF(OR(J27="",Results!J6=""),"",IF(AND(J27=Results!J6,Results!J6&lt;&gt;Games!$C$26),1,0))</f>
        <v>0</v>
      </c>
      <c r="AR27" s="13">
        <f>IF(OR(K27="",Results!K6=""),"",IF(AND(K27=Results!K6,Results!K6&lt;&gt;Games!$C$27),1,0))</f>
        <v>0</v>
      </c>
      <c r="AS27" s="13">
        <f>IF(OR(L27="",Results!L6=""),"",IF(AND(L27=Results!L6,Results!L6&lt;&gt;Games!$C$28),1,0))</f>
        <v>0</v>
      </c>
      <c r="AT27" s="13">
        <f>IF(OR(M27="",Results!M6=""),"",IF(AND(M27=Results!M6,Results!M6&lt;&gt;Games!$C$29),1,0))</f>
        <v>0</v>
      </c>
      <c r="AU27" s="13">
        <f>IF(OR(N27="",Results!N6=""),"",IF(AND(N27=Results!N6,Results!N6&lt;&gt;Games!$C$30),1,0))</f>
        <v>0</v>
      </c>
      <c r="AV27" s="14">
        <f t="shared" si="1"/>
        <v>2</v>
      </c>
    </row>
    <row r="28" spans="1:48" ht="15" customHeight="1" x14ac:dyDescent="0.25">
      <c r="A28" s="4" t="str">
        <f>INDEX(Players!$D$6:$D$69,MATCH(60,Players!$A$6:$A$69,0))</f>
        <v>Jeff K.</v>
      </c>
      <c r="B28" s="5" t="s">
        <v>196</v>
      </c>
      <c r="C28" s="5" t="s">
        <v>230</v>
      </c>
      <c r="D28" s="5" t="s">
        <v>232</v>
      </c>
      <c r="E28" s="5" t="s">
        <v>234</v>
      </c>
      <c r="F28" s="5" t="s">
        <v>237</v>
      </c>
      <c r="G28" s="5" t="s">
        <v>239</v>
      </c>
      <c r="H28" s="5" t="s">
        <v>242</v>
      </c>
      <c r="I28" s="5" t="s">
        <v>244</v>
      </c>
      <c r="J28" s="5" t="s">
        <v>245</v>
      </c>
      <c r="K28" s="5" t="s">
        <v>247</v>
      </c>
      <c r="L28" s="5" t="s">
        <v>249</v>
      </c>
      <c r="M28" s="5" t="s">
        <v>252</v>
      </c>
      <c r="N28" s="5" t="s">
        <v>253</v>
      </c>
      <c r="O28" s="5">
        <v>1</v>
      </c>
      <c r="P28" s="5">
        <v>3</v>
      </c>
      <c r="Q28" s="5">
        <v>10</v>
      </c>
      <c r="R28" s="5">
        <v>53</v>
      </c>
      <c r="S28" s="4">
        <f>IF(OR(B28="",Results!B6=""),"",IF(B28=Results!B6,1+IF(OR($O28=1,$P28=1,$Q28=1),1,0),0))</f>
        <v>2</v>
      </c>
      <c r="T28" s="4">
        <f>IF(OR(C28="",Results!C6=""),"",IF(C28=Results!C6,1+IF(OR($O28=2,$P28=2,$Q28=2),1,0),0))</f>
        <v>1</v>
      </c>
      <c r="U28" s="4">
        <f>IF(OR(D28="",Results!D6=""),"",IF(D28=Results!D6,1+IF(OR($O28=3,$P28=3,$Q28=3),1,0),0))</f>
        <v>0</v>
      </c>
      <c r="V28" s="4">
        <f>IF(OR(E28="",Results!E6=""),"",IF(E28=Results!E6,1+IF(OR($O28=4,$P28=4,$Q28=4),1,0),0))</f>
        <v>1</v>
      </c>
      <c r="W28" s="4">
        <f>IF(OR(F28="",Results!F6=""),"",IF(F28=Results!F6,1+IF(OR($O28=5,$P28=5,$Q28=5),1,0),0))</f>
        <v>0</v>
      </c>
      <c r="X28" s="4">
        <f>IF(OR(G28="",Results!G6=""),"",IF(G28=Results!G6,1+IF(OR($O28=6,$P28=6,$Q28=6),1,0),0))</f>
        <v>1</v>
      </c>
      <c r="Y28" s="4">
        <f>IF(OR(H28="",Results!H6=""),"",IF(H28=Results!H6,1+IF(OR($O28=7,$P28=7,$Q28=7),1,0),0))</f>
        <v>0</v>
      </c>
      <c r="Z28" s="4">
        <f>IF(OR(I28="",Results!I6=""),"",IF(I28=Results!I6,1+IF(OR($O28=8,$P28=8,$Q28=8),1,0),0))</f>
        <v>0</v>
      </c>
      <c r="AA28" s="4">
        <f>IF(OR(J28="",Results!J6=""),"",IF(J28=Results!J6,1+IF(OR($O28=9,$P28=9,$Q28=9),1,0),0))</f>
        <v>1</v>
      </c>
      <c r="AB28" s="4">
        <f>IF(OR(K28="",Results!K6=""),"",IF(K28=Results!K6,1+IF(OR($O28=10,$P28=10,$Q28=10),1,0),0))</f>
        <v>2</v>
      </c>
      <c r="AC28" s="4">
        <f>IF(OR(L28="",Results!L6=""),"",IF(L28=Results!L6,1+IF(OR($O28=11,$P28=11,$Q28=11),1,0),0))</f>
        <v>0</v>
      </c>
      <c r="AD28" s="4">
        <f>IF(OR(M28="",Results!M6=""),"",IF(M28=Results!M6,1+IF(OR($O28=12,$P28=12,$Q28=12),1,0),0))</f>
        <v>0</v>
      </c>
      <c r="AE28" s="4">
        <f>IF(OR(N28="",Results!N6=""),"",IF(N28=Results!N6,1+IF(OR($O28=13,$P28=13,$Q28=13),1,0),0))</f>
        <v>1</v>
      </c>
      <c r="AF28" s="11">
        <f t="shared" si="0"/>
        <v>9</v>
      </c>
      <c r="AG28" s="4" t="str">
        <f>IF(OR($R28="",Results!O6=""),"",ABS($R28-Results!O6))</f>
        <v/>
      </c>
      <c r="AH28" s="12">
        <v>60</v>
      </c>
      <c r="AI28" s="13">
        <f>IF(OR(B28="",Results!B6=""),"",IF(AND(B28=Results!B6,Results!B6&lt;&gt;Games!$C$18),1,0))</f>
        <v>0</v>
      </c>
      <c r="AJ28" s="13">
        <f>IF(OR(C28="",Results!C6=""),"",IF(AND(C28=Results!C6,Results!C6&lt;&gt;Games!$C$19),1,0))</f>
        <v>0</v>
      </c>
      <c r="AK28" s="13">
        <f>IF(OR(D28="",Results!D6=""),"",IF(AND(D28=Results!D6,Results!D6&lt;&gt;Games!$C$20),1,0))</f>
        <v>0</v>
      </c>
      <c r="AL28" s="13">
        <f>IF(OR(E28="",Results!E6=""),"",IF(AND(E28=Results!E6,Results!E6&lt;&gt;Games!$C$21),1,0))</f>
        <v>0</v>
      </c>
      <c r="AM28" s="13">
        <f>IF(OR(F28="",Results!F6=""),"",IF(AND(F28=Results!F6,Results!F6&lt;&gt;Games!$C$22),1,0))</f>
        <v>0</v>
      </c>
      <c r="AN28" s="13">
        <f>IF(OR(G28="",Results!G6=""),"",IF(AND(G28=Results!G6,Results!G6&lt;&gt;Games!$C$23),1,0))</f>
        <v>0</v>
      </c>
      <c r="AO28" s="13">
        <f>IF(OR(H28="",Results!H6=""),"",IF(AND(H28=Results!H6,Results!H6&lt;&gt;Games!$C$24),1,0))</f>
        <v>0</v>
      </c>
      <c r="AP28" s="13">
        <f>IF(OR(I28="",Results!I6=""),"",IF(AND(I28=Results!I6,Results!I6&lt;&gt;Games!$C$25),1,0))</f>
        <v>0</v>
      </c>
      <c r="AQ28" s="13">
        <f>IF(OR(J28="",Results!J6=""),"",IF(AND(J28=Results!J6,Results!J6&lt;&gt;Games!$C$26),1,0))</f>
        <v>0</v>
      </c>
      <c r="AR28" s="13">
        <f>IF(OR(K28="",Results!K6=""),"",IF(AND(K28=Results!K6,Results!K6&lt;&gt;Games!$C$27),1,0))</f>
        <v>0</v>
      </c>
      <c r="AS28" s="13">
        <f>IF(OR(L28="",Results!L6=""),"",IF(AND(L28=Results!L6,Results!L6&lt;&gt;Games!$C$28),1,0))</f>
        <v>0</v>
      </c>
      <c r="AT28" s="13">
        <f>IF(OR(M28="",Results!M6=""),"",IF(AND(M28=Results!M6,Results!M6&lt;&gt;Games!$C$29),1,0))</f>
        <v>0</v>
      </c>
      <c r="AU28" s="13">
        <f>IF(OR(N28="",Results!N6=""),"",IF(AND(N28=Results!N6,Results!N6&lt;&gt;Games!$C$30),1,0))</f>
        <v>0</v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 t="s">
        <v>228</v>
      </c>
      <c r="C29" s="5" t="s">
        <v>230</v>
      </c>
      <c r="D29" s="5" t="s">
        <v>232</v>
      </c>
      <c r="E29" s="5" t="s">
        <v>235</v>
      </c>
      <c r="F29" s="5" t="s">
        <v>237</v>
      </c>
      <c r="G29" s="5" t="s">
        <v>240</v>
      </c>
      <c r="H29" s="5" t="s">
        <v>242</v>
      </c>
      <c r="I29" s="5" t="s">
        <v>244</v>
      </c>
      <c r="J29" s="5" t="s">
        <v>245</v>
      </c>
      <c r="K29" s="5" t="s">
        <v>247</v>
      </c>
      <c r="L29" s="5" t="s">
        <v>249</v>
      </c>
      <c r="M29" s="5" t="s">
        <v>251</v>
      </c>
      <c r="N29" s="5" t="s">
        <v>254</v>
      </c>
      <c r="O29" s="5">
        <v>5</v>
      </c>
      <c r="P29" s="5">
        <v>9</v>
      </c>
      <c r="Q29" s="5">
        <v>10</v>
      </c>
      <c r="R29" s="5">
        <v>56</v>
      </c>
      <c r="S29" s="4">
        <f>IF(OR(B29="",Results!B6=""),"",IF(B29=Results!B6,1+IF(OR($O29=1,$P29=1,$Q29=1),1,0),0))</f>
        <v>0</v>
      </c>
      <c r="T29" s="4">
        <f>IF(OR(C29="",Results!C6=""),"",IF(C29=Results!C6,1+IF(OR($O29=2,$P29=2,$Q29=2),1,0),0))</f>
        <v>1</v>
      </c>
      <c r="U29" s="4">
        <f>IF(OR(D29="",Results!D6=""),"",IF(D29=Results!D6,1+IF(OR($O29=3,$P29=3,$Q29=3),1,0),0))</f>
        <v>0</v>
      </c>
      <c r="V29" s="4">
        <f>IF(OR(E29="",Results!E6=""),"",IF(E29=Results!E6,1+IF(OR($O29=4,$P29=4,$Q29=4),1,0),0))</f>
        <v>0</v>
      </c>
      <c r="W29" s="4">
        <f>IF(OR(F29="",Results!F6=""),"",IF(F29=Results!F6,1+IF(OR($O29=5,$P29=5,$Q29=5),1,0),0))</f>
        <v>0</v>
      </c>
      <c r="X29" s="4">
        <f>IF(OR(G29="",Results!G6=""),"",IF(G29=Results!G6,1+IF(OR($O29=6,$P29=6,$Q29=6),1,0),0))</f>
        <v>0</v>
      </c>
      <c r="Y29" s="4">
        <f>IF(OR(H29="",Results!H6=""),"",IF(H29=Results!H6,1+IF(OR($O29=7,$P29=7,$Q29=7),1,0),0))</f>
        <v>0</v>
      </c>
      <c r="Z29" s="4">
        <f>IF(OR(I29="",Results!I6=""),"",IF(I29=Results!I6,1+IF(OR($O29=8,$P29=8,$Q29=8),1,0),0))</f>
        <v>0</v>
      </c>
      <c r="AA29" s="4">
        <f>IF(OR(J29="",Results!J6=""),"",IF(J29=Results!J6,1+IF(OR($O29=9,$P29=9,$Q29=9),1,0),0))</f>
        <v>2</v>
      </c>
      <c r="AB29" s="4">
        <f>IF(OR(K29="",Results!K6=""),"",IF(K29=Results!K6,1+IF(OR($O29=10,$P29=10,$Q29=10),1,0),0))</f>
        <v>2</v>
      </c>
      <c r="AC29" s="4">
        <f>IF(OR(L29="",Results!L6=""),"",IF(L29=Results!L6,1+IF(OR($O29=11,$P29=11,$Q29=11),1,0),0))</f>
        <v>0</v>
      </c>
      <c r="AD29" s="4">
        <f>IF(OR(M29="",Results!M6=""),"",IF(M29=Results!M6,1+IF(OR($O29=12,$P29=12,$Q29=12),1,0),0))</f>
        <v>1</v>
      </c>
      <c r="AE29" s="4">
        <f>IF(OR(N29="",Results!N6=""),"",IF(N29=Results!N6,1+IF(OR($O29=13,$P29=13,$Q29=13),1,0),0))</f>
        <v>0</v>
      </c>
      <c r="AF29" s="11">
        <f t="shared" si="0"/>
        <v>6</v>
      </c>
      <c r="AG29" s="4" t="str">
        <f>IF(OR($R29="",Results!O6=""),"",ABS($R29-Results!O6))</f>
        <v/>
      </c>
      <c r="AH29" s="12">
        <v>11</v>
      </c>
      <c r="AI29" s="13">
        <f>IF(OR(B29="",Results!B6=""),"",IF(AND(B29=Results!B6,Results!B6&lt;&gt;Games!$C$18),1,0))</f>
        <v>0</v>
      </c>
      <c r="AJ29" s="13">
        <f>IF(OR(C29="",Results!C6=""),"",IF(AND(C29=Results!C6,Results!C6&lt;&gt;Games!$C$19),1,0))</f>
        <v>0</v>
      </c>
      <c r="AK29" s="13">
        <f>IF(OR(D29="",Results!D6=""),"",IF(AND(D29=Results!D6,Results!D6&lt;&gt;Games!$C$20),1,0))</f>
        <v>0</v>
      </c>
      <c r="AL29" s="13">
        <f>IF(OR(E29="",Results!E6=""),"",IF(AND(E29=Results!E6,Results!E6&lt;&gt;Games!$C$21),1,0))</f>
        <v>0</v>
      </c>
      <c r="AM29" s="13">
        <f>IF(OR(F29="",Results!F6=""),"",IF(AND(F29=Results!F6,Results!F6&lt;&gt;Games!$C$22),1,0))</f>
        <v>0</v>
      </c>
      <c r="AN29" s="13">
        <f>IF(OR(G29="",Results!G6=""),"",IF(AND(G29=Results!G6,Results!G6&lt;&gt;Games!$C$23),1,0))</f>
        <v>0</v>
      </c>
      <c r="AO29" s="13">
        <f>IF(OR(H29="",Results!H6=""),"",IF(AND(H29=Results!H6,Results!H6&lt;&gt;Games!$C$24),1,0))</f>
        <v>0</v>
      </c>
      <c r="AP29" s="13">
        <f>IF(OR(I29="",Results!I6=""),"",IF(AND(I29=Results!I6,Results!I6&lt;&gt;Games!$C$25),1,0))</f>
        <v>0</v>
      </c>
      <c r="AQ29" s="13">
        <f>IF(OR(J29="",Results!J6=""),"",IF(AND(J29=Results!J6,Results!J6&lt;&gt;Games!$C$26),1,0))</f>
        <v>0</v>
      </c>
      <c r="AR29" s="13">
        <f>IF(OR(K29="",Results!K6=""),"",IF(AND(K29=Results!K6,Results!K6&lt;&gt;Games!$C$27),1,0))</f>
        <v>0</v>
      </c>
      <c r="AS29" s="13">
        <f>IF(OR(L29="",Results!L6=""),"",IF(AND(L29=Results!L6,Results!L6&lt;&gt;Games!$C$28),1,0))</f>
        <v>0</v>
      </c>
      <c r="AT29" s="13">
        <f>IF(OR(M29="",Results!M6=""),"",IF(AND(M29=Results!M6,Results!M6&lt;&gt;Games!$C$29),1,0))</f>
        <v>0</v>
      </c>
      <c r="AU29" s="13">
        <f>IF(OR(N29="",Results!N6=""),"",IF(AND(N29=Results!N6,Results!N6&lt;&gt;Games!$C$30),1,0))</f>
        <v>0</v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 t="s">
        <v>196</v>
      </c>
      <c r="C30" s="5" t="s">
        <v>230</v>
      </c>
      <c r="D30" s="5" t="s">
        <v>232</v>
      </c>
      <c r="E30" s="5" t="s">
        <v>234</v>
      </c>
      <c r="F30" s="5" t="s">
        <v>237</v>
      </c>
      <c r="G30" s="5" t="s">
        <v>239</v>
      </c>
      <c r="H30" s="5" t="s">
        <v>242</v>
      </c>
      <c r="I30" s="5" t="s">
        <v>199</v>
      </c>
      <c r="J30" s="5" t="s">
        <v>245</v>
      </c>
      <c r="K30" s="5" t="s">
        <v>247</v>
      </c>
      <c r="L30" s="5" t="s">
        <v>249</v>
      </c>
      <c r="M30" s="5" t="s">
        <v>252</v>
      </c>
      <c r="N30" s="5" t="s">
        <v>253</v>
      </c>
      <c r="O30" s="5">
        <v>3</v>
      </c>
      <c r="P30" s="5">
        <v>12</v>
      </c>
      <c r="Q30" s="5">
        <v>13</v>
      </c>
      <c r="R30" s="5">
        <v>56</v>
      </c>
      <c r="S30" s="4">
        <f>IF(OR(B30="",Results!B6=""),"",IF(B30=Results!B6,1+IF(OR($O30=1,$P30=1,$Q30=1),1,0),0))</f>
        <v>1</v>
      </c>
      <c r="T30" s="4">
        <f>IF(OR(C30="",Results!C6=""),"",IF(C30=Results!C6,1+IF(OR($O30=2,$P30=2,$Q30=2),1,0),0))</f>
        <v>1</v>
      </c>
      <c r="U30" s="4">
        <f>IF(OR(D30="",Results!D6=""),"",IF(D30=Results!D6,1+IF(OR($O30=3,$P30=3,$Q30=3),1,0),0))</f>
        <v>0</v>
      </c>
      <c r="V30" s="4">
        <f>IF(OR(E30="",Results!E6=""),"",IF(E30=Results!E6,1+IF(OR($O30=4,$P30=4,$Q30=4),1,0),0))</f>
        <v>1</v>
      </c>
      <c r="W30" s="4">
        <f>IF(OR(F30="",Results!F6=""),"",IF(F30=Results!F6,1+IF(OR($O30=5,$P30=5,$Q30=5),1,0),0))</f>
        <v>0</v>
      </c>
      <c r="X30" s="4">
        <f>IF(OR(G30="",Results!G6=""),"",IF(G30=Results!G6,1+IF(OR($O30=6,$P30=6,$Q30=6),1,0),0))</f>
        <v>1</v>
      </c>
      <c r="Y30" s="4">
        <f>IF(OR(H30="",Results!H6=""),"",IF(H30=Results!H6,1+IF(OR($O30=7,$P30=7,$Q30=7),1,0),0))</f>
        <v>0</v>
      </c>
      <c r="Z30" s="4">
        <f>IF(OR(I30="",Results!I6=""),"",IF(I30=Results!I6,1+IF(OR($O30=8,$P30=8,$Q30=8),1,0),0))</f>
        <v>1</v>
      </c>
      <c r="AA30" s="4">
        <f>IF(OR(J30="",Results!J6=""),"",IF(J30=Results!J6,1+IF(OR($O30=9,$P30=9,$Q30=9),1,0),0))</f>
        <v>1</v>
      </c>
      <c r="AB30" s="4">
        <f>IF(OR(K30="",Results!K6=""),"",IF(K30=Results!K6,1+IF(OR($O30=10,$P30=10,$Q30=10),1,0),0))</f>
        <v>1</v>
      </c>
      <c r="AC30" s="4">
        <f>IF(OR(L30="",Results!L6=""),"",IF(L30=Results!L6,1+IF(OR($O30=11,$P30=11,$Q30=11),1,0),0))</f>
        <v>0</v>
      </c>
      <c r="AD30" s="4">
        <f>IF(OR(M30="",Results!M6=""),"",IF(M30=Results!M6,1+IF(OR($O30=12,$P30=12,$Q30=12),1,0),0))</f>
        <v>0</v>
      </c>
      <c r="AE30" s="4">
        <f>IF(OR(N30="",Results!N6=""),"",IF(N30=Results!N6,1+IF(OR($O30=13,$P30=13,$Q30=13),1,0),0))</f>
        <v>2</v>
      </c>
      <c r="AF30" s="11">
        <f t="shared" si="0"/>
        <v>9</v>
      </c>
      <c r="AG30" s="4" t="str">
        <f>IF(OR($R30="",Results!O6=""),"",ABS($R30-Results!O6))</f>
        <v/>
      </c>
      <c r="AH30" s="12">
        <v>12</v>
      </c>
      <c r="AI30" s="13">
        <f>IF(OR(B30="",Results!B6=""),"",IF(AND(B30=Results!B6,Results!B6&lt;&gt;Games!$C$18),1,0))</f>
        <v>0</v>
      </c>
      <c r="AJ30" s="13">
        <f>IF(OR(C30="",Results!C6=""),"",IF(AND(C30=Results!C6,Results!C6&lt;&gt;Games!$C$19),1,0))</f>
        <v>0</v>
      </c>
      <c r="AK30" s="13">
        <f>IF(OR(D30="",Results!D6=""),"",IF(AND(D30=Results!D6,Results!D6&lt;&gt;Games!$C$20),1,0))</f>
        <v>0</v>
      </c>
      <c r="AL30" s="13">
        <f>IF(OR(E30="",Results!E6=""),"",IF(AND(E30=Results!E6,Results!E6&lt;&gt;Games!$C$21),1,0))</f>
        <v>0</v>
      </c>
      <c r="AM30" s="13">
        <f>IF(OR(F30="",Results!F6=""),"",IF(AND(F30=Results!F6,Results!F6&lt;&gt;Games!$C$22),1,0))</f>
        <v>0</v>
      </c>
      <c r="AN30" s="13">
        <f>IF(OR(G30="",Results!G6=""),"",IF(AND(G30=Results!G6,Results!G6&lt;&gt;Games!$C$23),1,0))</f>
        <v>0</v>
      </c>
      <c r="AO30" s="13">
        <f>IF(OR(H30="",Results!H6=""),"",IF(AND(H30=Results!H6,Results!H6&lt;&gt;Games!$C$24),1,0))</f>
        <v>0</v>
      </c>
      <c r="AP30" s="13">
        <f>IF(OR(I30="",Results!I6=""),"",IF(AND(I30=Results!I6,Results!I6&lt;&gt;Games!$C$25),1,0))</f>
        <v>1</v>
      </c>
      <c r="AQ30" s="13">
        <f>IF(OR(J30="",Results!J6=""),"",IF(AND(J30=Results!J6,Results!J6&lt;&gt;Games!$C$26),1,0))</f>
        <v>0</v>
      </c>
      <c r="AR30" s="13">
        <f>IF(OR(K30="",Results!K6=""),"",IF(AND(K30=Results!K6,Results!K6&lt;&gt;Games!$C$27),1,0))</f>
        <v>0</v>
      </c>
      <c r="AS30" s="13">
        <f>IF(OR(L30="",Results!L6=""),"",IF(AND(L30=Results!L6,Results!L6&lt;&gt;Games!$C$28),1,0))</f>
        <v>0</v>
      </c>
      <c r="AT30" s="13">
        <f>IF(OR(M30="",Results!M6=""),"",IF(AND(M30=Results!M6,Results!M6&lt;&gt;Games!$C$29),1,0))</f>
        <v>0</v>
      </c>
      <c r="AU30" s="13">
        <f>IF(OR(N30="",Results!N6=""),"",IF(AND(N30=Results!N6,Results!N6&lt;&gt;Games!$C$30),1,0))</f>
        <v>0</v>
      </c>
      <c r="AV30" s="14">
        <f t="shared" si="1"/>
        <v>1</v>
      </c>
    </row>
    <row r="31" spans="1:48" ht="15" customHeight="1" x14ac:dyDescent="0.25">
      <c r="A31" s="4" t="str">
        <f>INDEX(Players!$D$6:$D$69,MATCH(13,Players!$A$6:$A$69,0))</f>
        <v>Joel G.</v>
      </c>
      <c r="B31" s="5" t="s">
        <v>228</v>
      </c>
      <c r="C31" s="5" t="s">
        <v>230</v>
      </c>
      <c r="D31" s="5" t="s">
        <v>232</v>
      </c>
      <c r="E31" s="5" t="s">
        <v>235</v>
      </c>
      <c r="F31" s="5" t="s">
        <v>237</v>
      </c>
      <c r="G31" s="5" t="s">
        <v>240</v>
      </c>
      <c r="H31" s="5" t="s">
        <v>242</v>
      </c>
      <c r="I31" s="5" t="s">
        <v>244</v>
      </c>
      <c r="J31" s="5" t="s">
        <v>245</v>
      </c>
      <c r="K31" s="5" t="s">
        <v>247</v>
      </c>
      <c r="L31" s="5" t="s">
        <v>249</v>
      </c>
      <c r="M31" s="5" t="s">
        <v>252</v>
      </c>
      <c r="N31" s="5" t="s">
        <v>253</v>
      </c>
      <c r="O31" s="5">
        <v>8</v>
      </c>
      <c r="P31" s="5">
        <v>9</v>
      </c>
      <c r="Q31" s="5">
        <v>10</v>
      </c>
      <c r="R31" s="5">
        <v>56</v>
      </c>
      <c r="S31" s="4">
        <f>IF(OR(B31="",Results!B6=""),"",IF(B31=Results!B6,1+IF(OR($O31=1,$P31=1,$Q31=1),1,0),0))</f>
        <v>0</v>
      </c>
      <c r="T31" s="4">
        <f>IF(OR(C31="",Results!C6=""),"",IF(C31=Results!C6,1+IF(OR($O31=2,$P31=2,$Q31=2),1,0),0))</f>
        <v>1</v>
      </c>
      <c r="U31" s="4">
        <f>IF(OR(D31="",Results!D6=""),"",IF(D31=Results!D6,1+IF(OR($O31=3,$P31=3,$Q31=3),1,0),0))</f>
        <v>0</v>
      </c>
      <c r="V31" s="4">
        <f>IF(OR(E31="",Results!E6=""),"",IF(E31=Results!E6,1+IF(OR($O31=4,$P31=4,$Q31=4),1,0),0))</f>
        <v>0</v>
      </c>
      <c r="W31" s="4">
        <f>IF(OR(F31="",Results!F6=""),"",IF(F31=Results!F6,1+IF(OR($O31=5,$P31=5,$Q31=5),1,0),0))</f>
        <v>0</v>
      </c>
      <c r="X31" s="4">
        <f>IF(OR(G31="",Results!G6=""),"",IF(G31=Results!G6,1+IF(OR($O31=6,$P31=6,$Q31=6),1,0),0))</f>
        <v>0</v>
      </c>
      <c r="Y31" s="4">
        <f>IF(OR(H31="",Results!H6=""),"",IF(H31=Results!H6,1+IF(OR($O31=7,$P31=7,$Q31=7),1,0),0))</f>
        <v>0</v>
      </c>
      <c r="Z31" s="4">
        <f>IF(OR(I31="",Results!I6=""),"",IF(I31=Results!I6,1+IF(OR($O31=8,$P31=8,$Q31=8),1,0),0))</f>
        <v>0</v>
      </c>
      <c r="AA31" s="4">
        <f>IF(OR(J31="",Results!J6=""),"",IF(J31=Results!J6,1+IF(OR($O31=9,$P31=9,$Q31=9),1,0),0))</f>
        <v>2</v>
      </c>
      <c r="AB31" s="4">
        <f>IF(OR(K31="",Results!K6=""),"",IF(K31=Results!K6,1+IF(OR($O31=10,$P31=10,$Q31=10),1,0),0))</f>
        <v>2</v>
      </c>
      <c r="AC31" s="4">
        <f>IF(OR(L31="",Results!L6=""),"",IF(L31=Results!L6,1+IF(OR($O31=11,$P31=11,$Q31=11),1,0),0))</f>
        <v>0</v>
      </c>
      <c r="AD31" s="4">
        <f>IF(OR(M31="",Results!M6=""),"",IF(M31=Results!M6,1+IF(OR($O31=12,$P31=12,$Q31=12),1,0),0))</f>
        <v>0</v>
      </c>
      <c r="AE31" s="4">
        <f>IF(OR(N31="",Results!N6=""),"",IF(N31=Results!N6,1+IF(OR($O31=13,$P31=13,$Q31=13),1,0),0))</f>
        <v>1</v>
      </c>
      <c r="AF31" s="11">
        <f t="shared" si="0"/>
        <v>6</v>
      </c>
      <c r="AG31" s="4" t="str">
        <f>IF(OR($R31="",Results!O6=""),"",ABS($R31-Results!O6))</f>
        <v/>
      </c>
      <c r="AH31" s="12">
        <v>13</v>
      </c>
      <c r="AI31" s="13">
        <f>IF(OR(B31="",Results!B6=""),"",IF(AND(B31=Results!B6,Results!B6&lt;&gt;Games!$C$18),1,0))</f>
        <v>0</v>
      </c>
      <c r="AJ31" s="13">
        <f>IF(OR(C31="",Results!C6=""),"",IF(AND(C31=Results!C6,Results!C6&lt;&gt;Games!$C$19),1,0))</f>
        <v>0</v>
      </c>
      <c r="AK31" s="13">
        <f>IF(OR(D31="",Results!D6=""),"",IF(AND(D31=Results!D6,Results!D6&lt;&gt;Games!$C$20),1,0))</f>
        <v>0</v>
      </c>
      <c r="AL31" s="13">
        <f>IF(OR(E31="",Results!E6=""),"",IF(AND(E31=Results!E6,Results!E6&lt;&gt;Games!$C$21),1,0))</f>
        <v>0</v>
      </c>
      <c r="AM31" s="13">
        <f>IF(OR(F31="",Results!F6=""),"",IF(AND(F31=Results!F6,Results!F6&lt;&gt;Games!$C$22),1,0))</f>
        <v>0</v>
      </c>
      <c r="AN31" s="13">
        <f>IF(OR(G31="",Results!G6=""),"",IF(AND(G31=Results!G6,Results!G6&lt;&gt;Games!$C$23),1,0))</f>
        <v>0</v>
      </c>
      <c r="AO31" s="13">
        <f>IF(OR(H31="",Results!H6=""),"",IF(AND(H31=Results!H6,Results!H6&lt;&gt;Games!$C$24),1,0))</f>
        <v>0</v>
      </c>
      <c r="AP31" s="13">
        <f>IF(OR(I31="",Results!I6=""),"",IF(AND(I31=Results!I6,Results!I6&lt;&gt;Games!$C$25),1,0))</f>
        <v>0</v>
      </c>
      <c r="AQ31" s="13">
        <f>IF(OR(J31="",Results!J6=""),"",IF(AND(J31=Results!J6,Results!J6&lt;&gt;Games!$C$26),1,0))</f>
        <v>0</v>
      </c>
      <c r="AR31" s="13">
        <f>IF(OR(K31="",Results!K6=""),"",IF(AND(K31=Results!K6,Results!K6&lt;&gt;Games!$C$27),1,0))</f>
        <v>0</v>
      </c>
      <c r="AS31" s="13">
        <f>IF(OR(L31="",Results!L6=""),"",IF(AND(L31=Results!L6,Results!L6&lt;&gt;Games!$C$28),1,0))</f>
        <v>0</v>
      </c>
      <c r="AT31" s="13">
        <f>IF(OR(M31="",Results!M6=""),"",IF(AND(M31=Results!M6,Results!M6&lt;&gt;Games!$C$29),1,0))</f>
        <v>0</v>
      </c>
      <c r="AU31" s="13">
        <f>IF(OR(N31="",Results!N6=""),"",IF(AND(N31=Results!N6,Results!N6&lt;&gt;Games!$C$30),1,0))</f>
        <v>0</v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 t="s">
        <v>196</v>
      </c>
      <c r="C32" s="5" t="s">
        <v>230</v>
      </c>
      <c r="D32" s="5" t="s">
        <v>232</v>
      </c>
      <c r="E32" s="5" t="s">
        <v>234</v>
      </c>
      <c r="F32" s="5" t="s">
        <v>237</v>
      </c>
      <c r="G32" s="5" t="s">
        <v>240</v>
      </c>
      <c r="H32" s="5" t="s">
        <v>242</v>
      </c>
      <c r="I32" s="5" t="s">
        <v>244</v>
      </c>
      <c r="J32" s="5" t="s">
        <v>245</v>
      </c>
      <c r="K32" s="5" t="s">
        <v>247</v>
      </c>
      <c r="L32" s="5" t="s">
        <v>249</v>
      </c>
      <c r="M32" s="5" t="s">
        <v>251</v>
      </c>
      <c r="N32" s="5" t="s">
        <v>254</v>
      </c>
      <c r="O32" s="5">
        <v>7</v>
      </c>
      <c r="P32" s="5">
        <v>9</v>
      </c>
      <c r="Q32" s="5">
        <v>11</v>
      </c>
      <c r="R32" s="5">
        <v>56</v>
      </c>
      <c r="S32" s="4">
        <f>IF(OR(B32="",Results!B6=""),"",IF(B32=Results!B6,1+IF(OR($O32=1,$P32=1,$Q32=1),1,0),0))</f>
        <v>1</v>
      </c>
      <c r="T32" s="4">
        <f>IF(OR(C32="",Results!C6=""),"",IF(C32=Results!C6,1+IF(OR($O32=2,$P32=2,$Q32=2),1,0),0))</f>
        <v>1</v>
      </c>
      <c r="U32" s="4">
        <f>IF(OR(D32="",Results!D6=""),"",IF(D32=Results!D6,1+IF(OR($O32=3,$P32=3,$Q32=3),1,0),0))</f>
        <v>0</v>
      </c>
      <c r="V32" s="4">
        <f>IF(OR(E32="",Results!E6=""),"",IF(E32=Results!E6,1+IF(OR($O32=4,$P32=4,$Q32=4),1,0),0))</f>
        <v>1</v>
      </c>
      <c r="W32" s="4">
        <f>IF(OR(F32="",Results!F6=""),"",IF(F32=Results!F6,1+IF(OR($O32=5,$P32=5,$Q32=5),1,0),0))</f>
        <v>0</v>
      </c>
      <c r="X32" s="4">
        <f>IF(OR(G32="",Results!G6=""),"",IF(G32=Results!G6,1+IF(OR($O32=6,$P32=6,$Q32=6),1,0),0))</f>
        <v>0</v>
      </c>
      <c r="Y32" s="4">
        <f>IF(OR(H32="",Results!H6=""),"",IF(H32=Results!H6,1+IF(OR($O32=7,$P32=7,$Q32=7),1,0),0))</f>
        <v>0</v>
      </c>
      <c r="Z32" s="4">
        <f>IF(OR(I32="",Results!I6=""),"",IF(I32=Results!I6,1+IF(OR($O32=8,$P32=8,$Q32=8),1,0),0))</f>
        <v>0</v>
      </c>
      <c r="AA32" s="4">
        <f>IF(OR(J32="",Results!J6=""),"",IF(J32=Results!J6,1+IF(OR($O32=9,$P32=9,$Q32=9),1,0),0))</f>
        <v>2</v>
      </c>
      <c r="AB32" s="4">
        <f>IF(OR(K32="",Results!K6=""),"",IF(K32=Results!K6,1+IF(OR($O32=10,$P32=10,$Q32=10),1,0),0))</f>
        <v>1</v>
      </c>
      <c r="AC32" s="4">
        <f>IF(OR(L32="",Results!L6=""),"",IF(L32=Results!L6,1+IF(OR($O32=11,$P32=11,$Q32=11),1,0),0))</f>
        <v>0</v>
      </c>
      <c r="AD32" s="4">
        <f>IF(OR(M32="",Results!M6=""),"",IF(M32=Results!M6,1+IF(OR($O32=12,$P32=12,$Q32=12),1,0),0))</f>
        <v>1</v>
      </c>
      <c r="AE32" s="4">
        <f>IF(OR(N32="",Results!N6=""),"",IF(N32=Results!N6,1+IF(OR($O32=13,$P32=13,$Q32=13),1,0),0))</f>
        <v>0</v>
      </c>
      <c r="AF32" s="11">
        <f t="shared" si="0"/>
        <v>7</v>
      </c>
      <c r="AG32" s="4" t="str">
        <f>IF(OR($R32="",Results!O6=""),"",ABS($R32-Results!O6))</f>
        <v/>
      </c>
      <c r="AH32" s="12">
        <v>14</v>
      </c>
      <c r="AI32" s="13">
        <f>IF(OR(B32="",Results!B6=""),"",IF(AND(B32=Results!B6,Results!B6&lt;&gt;Games!$C$18),1,0))</f>
        <v>0</v>
      </c>
      <c r="AJ32" s="13">
        <f>IF(OR(C32="",Results!C6=""),"",IF(AND(C32=Results!C6,Results!C6&lt;&gt;Games!$C$19),1,0))</f>
        <v>0</v>
      </c>
      <c r="AK32" s="13">
        <f>IF(OR(D32="",Results!D6=""),"",IF(AND(D32=Results!D6,Results!D6&lt;&gt;Games!$C$20),1,0))</f>
        <v>0</v>
      </c>
      <c r="AL32" s="13">
        <f>IF(OR(E32="",Results!E6=""),"",IF(AND(E32=Results!E6,Results!E6&lt;&gt;Games!$C$21),1,0))</f>
        <v>0</v>
      </c>
      <c r="AM32" s="13">
        <f>IF(OR(F32="",Results!F6=""),"",IF(AND(F32=Results!F6,Results!F6&lt;&gt;Games!$C$22),1,0))</f>
        <v>0</v>
      </c>
      <c r="AN32" s="13">
        <f>IF(OR(G32="",Results!G6=""),"",IF(AND(G32=Results!G6,Results!G6&lt;&gt;Games!$C$23),1,0))</f>
        <v>0</v>
      </c>
      <c r="AO32" s="13">
        <f>IF(OR(H32="",Results!H6=""),"",IF(AND(H32=Results!H6,Results!H6&lt;&gt;Games!$C$24),1,0))</f>
        <v>0</v>
      </c>
      <c r="AP32" s="13">
        <f>IF(OR(I32="",Results!I6=""),"",IF(AND(I32=Results!I6,Results!I6&lt;&gt;Games!$C$25),1,0))</f>
        <v>0</v>
      </c>
      <c r="AQ32" s="13">
        <f>IF(OR(J32="",Results!J6=""),"",IF(AND(J32=Results!J6,Results!J6&lt;&gt;Games!$C$26),1,0))</f>
        <v>0</v>
      </c>
      <c r="AR32" s="13">
        <f>IF(OR(K32="",Results!K6=""),"",IF(AND(K32=Results!K6,Results!K6&lt;&gt;Games!$C$27),1,0))</f>
        <v>0</v>
      </c>
      <c r="AS32" s="13">
        <f>IF(OR(L32="",Results!L6=""),"",IF(AND(L32=Results!L6,Results!L6&lt;&gt;Games!$C$28),1,0))</f>
        <v>0</v>
      </c>
      <c r="AT32" s="13">
        <f>IF(OR(M32="",Results!M6=""),"",IF(AND(M32=Results!M6,Results!M6&lt;&gt;Games!$C$29),1,0))</f>
        <v>0</v>
      </c>
      <c r="AU32" s="13">
        <f>IF(OR(N32="",Results!N6=""),"",IF(AND(N32=Results!N6,Results!N6&lt;&gt;Games!$C$30),1,0))</f>
        <v>0</v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 t="s">
        <v>196</v>
      </c>
      <c r="C33" s="5" t="s">
        <v>230</v>
      </c>
      <c r="D33" s="5" t="s">
        <v>232</v>
      </c>
      <c r="E33" s="5" t="s">
        <v>234</v>
      </c>
      <c r="F33" s="5" t="s">
        <v>237</v>
      </c>
      <c r="G33" s="5" t="s">
        <v>240</v>
      </c>
      <c r="H33" s="5" t="s">
        <v>242</v>
      </c>
      <c r="I33" s="5" t="s">
        <v>244</v>
      </c>
      <c r="J33" s="5" t="s">
        <v>245</v>
      </c>
      <c r="K33" s="5" t="s">
        <v>247</v>
      </c>
      <c r="L33" s="5" t="s">
        <v>249</v>
      </c>
      <c r="M33" s="5" t="s">
        <v>252</v>
      </c>
      <c r="N33" s="5" t="s">
        <v>253</v>
      </c>
      <c r="O33" s="5">
        <v>2</v>
      </c>
      <c r="P33" s="5">
        <v>8</v>
      </c>
      <c r="Q33" s="5">
        <v>9</v>
      </c>
      <c r="R33" s="5">
        <v>64</v>
      </c>
      <c r="S33" s="4">
        <f>IF(OR(B33="",Results!B6=""),"",IF(B33=Results!B6,1+IF(OR($O33=1,$P33=1,$Q33=1),1,0),0))</f>
        <v>1</v>
      </c>
      <c r="T33" s="4">
        <f>IF(OR(C33="",Results!C6=""),"",IF(C33=Results!C6,1+IF(OR($O33=2,$P33=2,$Q33=2),1,0),0))</f>
        <v>2</v>
      </c>
      <c r="U33" s="4">
        <f>IF(OR(D33="",Results!D6=""),"",IF(D33=Results!D6,1+IF(OR($O33=3,$P33=3,$Q33=3),1,0),0))</f>
        <v>0</v>
      </c>
      <c r="V33" s="4">
        <f>IF(OR(E33="",Results!E6=""),"",IF(E33=Results!E6,1+IF(OR($O33=4,$P33=4,$Q33=4),1,0),0))</f>
        <v>1</v>
      </c>
      <c r="W33" s="4">
        <f>IF(OR(F33="",Results!F6=""),"",IF(F33=Results!F6,1+IF(OR($O33=5,$P33=5,$Q33=5),1,0),0))</f>
        <v>0</v>
      </c>
      <c r="X33" s="4">
        <f>IF(OR(G33="",Results!G6=""),"",IF(G33=Results!G6,1+IF(OR($O33=6,$P33=6,$Q33=6),1,0),0))</f>
        <v>0</v>
      </c>
      <c r="Y33" s="4">
        <f>IF(OR(H33="",Results!H6=""),"",IF(H33=Results!H6,1+IF(OR($O33=7,$P33=7,$Q33=7),1,0),0))</f>
        <v>0</v>
      </c>
      <c r="Z33" s="4">
        <f>IF(OR(I33="",Results!I6=""),"",IF(I33=Results!I6,1+IF(OR($O33=8,$P33=8,$Q33=8),1,0),0))</f>
        <v>0</v>
      </c>
      <c r="AA33" s="4">
        <f>IF(OR(J33="",Results!J6=""),"",IF(J33=Results!J6,1+IF(OR($O33=9,$P33=9,$Q33=9),1,0),0))</f>
        <v>2</v>
      </c>
      <c r="AB33" s="4">
        <f>IF(OR(K33="",Results!K6=""),"",IF(K33=Results!K6,1+IF(OR($O33=10,$P33=10,$Q33=10),1,0),0))</f>
        <v>1</v>
      </c>
      <c r="AC33" s="4">
        <f>IF(OR(L33="",Results!L6=""),"",IF(L33=Results!L6,1+IF(OR($O33=11,$P33=11,$Q33=11),1,0),0))</f>
        <v>0</v>
      </c>
      <c r="AD33" s="4">
        <f>IF(OR(M33="",Results!M6=""),"",IF(M33=Results!M6,1+IF(OR($O33=12,$P33=12,$Q33=12),1,0),0))</f>
        <v>0</v>
      </c>
      <c r="AE33" s="4">
        <f>IF(OR(N33="",Results!N6=""),"",IF(N33=Results!N6,1+IF(OR($O33=13,$P33=13,$Q33=13),1,0),0))</f>
        <v>1</v>
      </c>
      <c r="AF33" s="11">
        <f t="shared" si="0"/>
        <v>8</v>
      </c>
      <c r="AG33" s="4" t="str">
        <f>IF(OR($R33="",Results!O6=""),"",ABS($R33-Results!O6))</f>
        <v/>
      </c>
      <c r="AH33" s="12">
        <v>15</v>
      </c>
      <c r="AI33" s="13">
        <f>IF(OR(B33="",Results!B6=""),"",IF(AND(B33=Results!B6,Results!B6&lt;&gt;Games!$C$18),1,0))</f>
        <v>0</v>
      </c>
      <c r="AJ33" s="13">
        <f>IF(OR(C33="",Results!C6=""),"",IF(AND(C33=Results!C6,Results!C6&lt;&gt;Games!$C$19),1,0))</f>
        <v>0</v>
      </c>
      <c r="AK33" s="13">
        <f>IF(OR(D33="",Results!D6=""),"",IF(AND(D33=Results!D6,Results!D6&lt;&gt;Games!$C$20),1,0))</f>
        <v>0</v>
      </c>
      <c r="AL33" s="13">
        <f>IF(OR(E33="",Results!E6=""),"",IF(AND(E33=Results!E6,Results!E6&lt;&gt;Games!$C$21),1,0))</f>
        <v>0</v>
      </c>
      <c r="AM33" s="13">
        <f>IF(OR(F33="",Results!F6=""),"",IF(AND(F33=Results!F6,Results!F6&lt;&gt;Games!$C$22),1,0))</f>
        <v>0</v>
      </c>
      <c r="AN33" s="13">
        <f>IF(OR(G33="",Results!G6=""),"",IF(AND(G33=Results!G6,Results!G6&lt;&gt;Games!$C$23),1,0))</f>
        <v>0</v>
      </c>
      <c r="AO33" s="13">
        <f>IF(OR(H33="",Results!H6=""),"",IF(AND(H33=Results!H6,Results!H6&lt;&gt;Games!$C$24),1,0))</f>
        <v>0</v>
      </c>
      <c r="AP33" s="13">
        <f>IF(OR(I33="",Results!I6=""),"",IF(AND(I33=Results!I6,Results!I6&lt;&gt;Games!$C$25),1,0))</f>
        <v>0</v>
      </c>
      <c r="AQ33" s="13">
        <f>IF(OR(J33="",Results!J6=""),"",IF(AND(J33=Results!J6,Results!J6&lt;&gt;Games!$C$26),1,0))</f>
        <v>0</v>
      </c>
      <c r="AR33" s="13">
        <f>IF(OR(K33="",Results!K6=""),"",IF(AND(K33=Results!K6,Results!K6&lt;&gt;Games!$C$27),1,0))</f>
        <v>0</v>
      </c>
      <c r="AS33" s="13">
        <f>IF(OR(L33="",Results!L6=""),"",IF(AND(L33=Results!L6,Results!L6&lt;&gt;Games!$C$28),1,0))</f>
        <v>0</v>
      </c>
      <c r="AT33" s="13">
        <f>IF(OR(M33="",Results!M6=""),"",IF(AND(M33=Results!M6,Results!M6&lt;&gt;Games!$C$29),1,0))</f>
        <v>0</v>
      </c>
      <c r="AU33" s="13">
        <f>IF(OR(N33="",Results!N6=""),"",IF(AND(N33=Results!N6,Results!N6&lt;&gt;Games!$C$30),1,0))</f>
        <v>0</v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 t="s">
        <v>196</v>
      </c>
      <c r="C34" s="5" t="s">
        <v>230</v>
      </c>
      <c r="D34" s="5" t="s">
        <v>232</v>
      </c>
      <c r="E34" s="5" t="s">
        <v>234</v>
      </c>
      <c r="F34" s="5" t="s">
        <v>237</v>
      </c>
      <c r="G34" s="5" t="s">
        <v>240</v>
      </c>
      <c r="H34" s="5" t="s">
        <v>242</v>
      </c>
      <c r="I34" s="5" t="s">
        <v>244</v>
      </c>
      <c r="J34" s="5" t="s">
        <v>245</v>
      </c>
      <c r="K34" s="5" t="s">
        <v>247</v>
      </c>
      <c r="L34" s="5" t="s">
        <v>249</v>
      </c>
      <c r="M34" s="5" t="s">
        <v>252</v>
      </c>
      <c r="N34" s="5" t="s">
        <v>254</v>
      </c>
      <c r="O34" s="5">
        <v>9</v>
      </c>
      <c r="P34" s="5">
        <v>10</v>
      </c>
      <c r="Q34" s="5">
        <v>11</v>
      </c>
      <c r="R34" s="5">
        <v>61</v>
      </c>
      <c r="S34" s="4">
        <f>IF(OR(B34="",Results!B6=""),"",IF(B34=Results!B6,1+IF(OR($O34=1,$P34=1,$Q34=1),1,0),0))</f>
        <v>1</v>
      </c>
      <c r="T34" s="4">
        <f>IF(OR(C34="",Results!C6=""),"",IF(C34=Results!C6,1+IF(OR($O34=2,$P34=2,$Q34=2),1,0),0))</f>
        <v>1</v>
      </c>
      <c r="U34" s="4">
        <f>IF(OR(D34="",Results!D6=""),"",IF(D34=Results!D6,1+IF(OR($O34=3,$P34=3,$Q34=3),1,0),0))</f>
        <v>0</v>
      </c>
      <c r="V34" s="4">
        <f>IF(OR(E34="",Results!E6=""),"",IF(E34=Results!E6,1+IF(OR($O34=4,$P34=4,$Q34=4),1,0),0))</f>
        <v>1</v>
      </c>
      <c r="W34" s="4">
        <f>IF(OR(F34="",Results!F6=""),"",IF(F34=Results!F6,1+IF(OR($O34=5,$P34=5,$Q34=5),1,0),0))</f>
        <v>0</v>
      </c>
      <c r="X34" s="4">
        <f>IF(OR(G34="",Results!G6=""),"",IF(G34=Results!G6,1+IF(OR($O34=6,$P34=6,$Q34=6),1,0),0))</f>
        <v>0</v>
      </c>
      <c r="Y34" s="4">
        <f>IF(OR(H34="",Results!H6=""),"",IF(H34=Results!H6,1+IF(OR($O34=7,$P34=7,$Q34=7),1,0),0))</f>
        <v>0</v>
      </c>
      <c r="Z34" s="4">
        <f>IF(OR(I34="",Results!I6=""),"",IF(I34=Results!I6,1+IF(OR($O34=8,$P34=8,$Q34=8),1,0),0))</f>
        <v>0</v>
      </c>
      <c r="AA34" s="4">
        <f>IF(OR(J34="",Results!J6=""),"",IF(J34=Results!J6,1+IF(OR($O34=9,$P34=9,$Q34=9),1,0),0))</f>
        <v>2</v>
      </c>
      <c r="AB34" s="4">
        <f>IF(OR(K34="",Results!K6=""),"",IF(K34=Results!K6,1+IF(OR($O34=10,$P34=10,$Q34=10),1,0),0))</f>
        <v>2</v>
      </c>
      <c r="AC34" s="4">
        <f>IF(OR(L34="",Results!L6=""),"",IF(L34=Results!L6,1+IF(OR($O34=11,$P34=11,$Q34=11),1,0),0))</f>
        <v>0</v>
      </c>
      <c r="AD34" s="4">
        <f>IF(OR(M34="",Results!M6=""),"",IF(M34=Results!M6,1+IF(OR($O34=12,$P34=12,$Q34=12),1,0),0))</f>
        <v>0</v>
      </c>
      <c r="AE34" s="4">
        <f>IF(OR(N34="",Results!N6=""),"",IF(N34=Results!N6,1+IF(OR($O34=13,$P34=13,$Q34=13),1,0),0))</f>
        <v>0</v>
      </c>
      <c r="AF34" s="11">
        <f t="shared" si="0"/>
        <v>7</v>
      </c>
      <c r="AG34" s="4" t="str">
        <f>IF(OR($R34="",Results!O6=""),"",ABS($R34-Results!O6))</f>
        <v/>
      </c>
      <c r="AH34" s="12">
        <v>16</v>
      </c>
      <c r="AI34" s="13">
        <f>IF(OR(B34="",Results!B6=""),"",IF(AND(B34=Results!B6,Results!B6&lt;&gt;Games!$C$18),1,0))</f>
        <v>0</v>
      </c>
      <c r="AJ34" s="13">
        <f>IF(OR(C34="",Results!C6=""),"",IF(AND(C34=Results!C6,Results!C6&lt;&gt;Games!$C$19),1,0))</f>
        <v>0</v>
      </c>
      <c r="AK34" s="13">
        <f>IF(OR(D34="",Results!D6=""),"",IF(AND(D34=Results!D6,Results!D6&lt;&gt;Games!$C$20),1,0))</f>
        <v>0</v>
      </c>
      <c r="AL34" s="13">
        <f>IF(OR(E34="",Results!E6=""),"",IF(AND(E34=Results!E6,Results!E6&lt;&gt;Games!$C$21),1,0))</f>
        <v>0</v>
      </c>
      <c r="AM34" s="13">
        <f>IF(OR(F34="",Results!F6=""),"",IF(AND(F34=Results!F6,Results!F6&lt;&gt;Games!$C$22),1,0))</f>
        <v>0</v>
      </c>
      <c r="AN34" s="13">
        <f>IF(OR(G34="",Results!G6=""),"",IF(AND(G34=Results!G6,Results!G6&lt;&gt;Games!$C$23),1,0))</f>
        <v>0</v>
      </c>
      <c r="AO34" s="13">
        <f>IF(OR(H34="",Results!H6=""),"",IF(AND(H34=Results!H6,Results!H6&lt;&gt;Games!$C$24),1,0))</f>
        <v>0</v>
      </c>
      <c r="AP34" s="13">
        <f>IF(OR(I34="",Results!I6=""),"",IF(AND(I34=Results!I6,Results!I6&lt;&gt;Games!$C$25),1,0))</f>
        <v>0</v>
      </c>
      <c r="AQ34" s="13">
        <f>IF(OR(J34="",Results!J6=""),"",IF(AND(J34=Results!J6,Results!J6&lt;&gt;Games!$C$26),1,0))</f>
        <v>0</v>
      </c>
      <c r="AR34" s="13">
        <f>IF(OR(K34="",Results!K6=""),"",IF(AND(K34=Results!K6,Results!K6&lt;&gt;Games!$C$27),1,0))</f>
        <v>0</v>
      </c>
      <c r="AS34" s="13">
        <f>IF(OR(L34="",Results!L6=""),"",IF(AND(L34=Results!L6,Results!L6&lt;&gt;Games!$C$28),1,0))</f>
        <v>0</v>
      </c>
      <c r="AT34" s="13">
        <f>IF(OR(M34="",Results!M6=""),"",IF(AND(M34=Results!M6,Results!M6&lt;&gt;Games!$C$29),1,0))</f>
        <v>0</v>
      </c>
      <c r="AU34" s="13">
        <f>IF(OR(N34="",Results!N6=""),"",IF(AND(N34=Results!N6,Results!N6&lt;&gt;Games!$C$30),1,0))</f>
        <v>0</v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 t="s">
        <v>228</v>
      </c>
      <c r="C35" s="5" t="s">
        <v>230</v>
      </c>
      <c r="D35" s="5" t="s">
        <v>232</v>
      </c>
      <c r="E35" s="5" t="s">
        <v>234</v>
      </c>
      <c r="F35" s="5" t="s">
        <v>237</v>
      </c>
      <c r="G35" s="5" t="s">
        <v>239</v>
      </c>
      <c r="H35" s="5" t="s">
        <v>242</v>
      </c>
      <c r="I35" s="5" t="s">
        <v>244</v>
      </c>
      <c r="J35" s="5" t="s">
        <v>245</v>
      </c>
      <c r="K35" s="5" t="s">
        <v>247</v>
      </c>
      <c r="L35" s="5" t="s">
        <v>250</v>
      </c>
      <c r="M35" s="5" t="s">
        <v>251</v>
      </c>
      <c r="N35" s="5" t="s">
        <v>254</v>
      </c>
      <c r="O35" s="5">
        <v>6</v>
      </c>
      <c r="P35" s="5">
        <v>7</v>
      </c>
      <c r="Q35" s="5">
        <v>9</v>
      </c>
      <c r="R35" s="5">
        <v>51</v>
      </c>
      <c r="S35" s="4">
        <f>IF(OR(B35="",Results!B6=""),"",IF(B35=Results!B6,1+IF(OR($O35=1,$P35=1,$Q35=1),1,0),0))</f>
        <v>0</v>
      </c>
      <c r="T35" s="4">
        <f>IF(OR(C35="",Results!C6=""),"",IF(C35=Results!C6,1+IF(OR($O35=2,$P35=2,$Q35=2),1,0),0))</f>
        <v>1</v>
      </c>
      <c r="U35" s="4">
        <f>IF(OR(D35="",Results!D6=""),"",IF(D35=Results!D6,1+IF(OR($O35=3,$P35=3,$Q35=3),1,0),0))</f>
        <v>0</v>
      </c>
      <c r="V35" s="4">
        <f>IF(OR(E35="",Results!E6=""),"",IF(E35=Results!E6,1+IF(OR($O35=4,$P35=4,$Q35=4),1,0),0))</f>
        <v>1</v>
      </c>
      <c r="W35" s="4">
        <f>IF(OR(F35="",Results!F6=""),"",IF(F35=Results!F6,1+IF(OR($O35=5,$P35=5,$Q35=5),1,0),0))</f>
        <v>0</v>
      </c>
      <c r="X35" s="4">
        <f>IF(OR(G35="",Results!G6=""),"",IF(G35=Results!G6,1+IF(OR($O35=6,$P35=6,$Q35=6),1,0),0))</f>
        <v>2</v>
      </c>
      <c r="Y35" s="4">
        <f>IF(OR(H35="",Results!H6=""),"",IF(H35=Results!H6,1+IF(OR($O35=7,$P35=7,$Q35=7),1,0),0))</f>
        <v>0</v>
      </c>
      <c r="Z35" s="4">
        <f>IF(OR(I35="",Results!I6=""),"",IF(I35=Results!I6,1+IF(OR($O35=8,$P35=8,$Q35=8),1,0),0))</f>
        <v>0</v>
      </c>
      <c r="AA35" s="4">
        <f>IF(OR(J35="",Results!J6=""),"",IF(J35=Results!J6,1+IF(OR($O35=9,$P35=9,$Q35=9),1,0),0))</f>
        <v>2</v>
      </c>
      <c r="AB35" s="4">
        <f>IF(OR(K35="",Results!K6=""),"",IF(K35=Results!K6,1+IF(OR($O35=10,$P35=10,$Q35=10),1,0),0))</f>
        <v>1</v>
      </c>
      <c r="AC35" s="4">
        <f>IF(OR(L35="",Results!L6=""),"",IF(L35=Results!L6,1+IF(OR($O35=11,$P35=11,$Q35=11),1,0),0))</f>
        <v>1</v>
      </c>
      <c r="AD35" s="4">
        <f>IF(OR(M35="",Results!M6=""),"",IF(M35=Results!M6,1+IF(OR($O35=12,$P35=12,$Q35=12),1,0),0))</f>
        <v>1</v>
      </c>
      <c r="AE35" s="4">
        <f>IF(OR(N35="",Results!N6=""),"",IF(N35=Results!N6,1+IF(OR($O35=13,$P35=13,$Q35=13),1,0),0))</f>
        <v>0</v>
      </c>
      <c r="AF35" s="11">
        <f t="shared" si="0"/>
        <v>9</v>
      </c>
      <c r="AG35" s="4" t="str">
        <f>IF(OR($R35="",Results!O6=""),"",ABS($R35-Results!O6))</f>
        <v/>
      </c>
      <c r="AH35" s="12">
        <v>17</v>
      </c>
      <c r="AI35" s="13">
        <f>IF(OR(B35="",Results!B6=""),"",IF(AND(B35=Results!B6,Results!B6&lt;&gt;Games!$C$18),1,0))</f>
        <v>0</v>
      </c>
      <c r="AJ35" s="13">
        <f>IF(OR(C35="",Results!C6=""),"",IF(AND(C35=Results!C6,Results!C6&lt;&gt;Games!$C$19),1,0))</f>
        <v>0</v>
      </c>
      <c r="AK35" s="13">
        <f>IF(OR(D35="",Results!D6=""),"",IF(AND(D35=Results!D6,Results!D6&lt;&gt;Games!$C$20),1,0))</f>
        <v>0</v>
      </c>
      <c r="AL35" s="13">
        <f>IF(OR(E35="",Results!E6=""),"",IF(AND(E35=Results!E6,Results!E6&lt;&gt;Games!$C$21),1,0))</f>
        <v>0</v>
      </c>
      <c r="AM35" s="13">
        <f>IF(OR(F35="",Results!F6=""),"",IF(AND(F35=Results!F6,Results!F6&lt;&gt;Games!$C$22),1,0))</f>
        <v>0</v>
      </c>
      <c r="AN35" s="13">
        <f>IF(OR(G35="",Results!G6=""),"",IF(AND(G35=Results!G6,Results!G6&lt;&gt;Games!$C$23),1,0))</f>
        <v>0</v>
      </c>
      <c r="AO35" s="13">
        <f>IF(OR(H35="",Results!H6=""),"",IF(AND(H35=Results!H6,Results!H6&lt;&gt;Games!$C$24),1,0))</f>
        <v>0</v>
      </c>
      <c r="AP35" s="13">
        <f>IF(OR(I35="",Results!I6=""),"",IF(AND(I35=Results!I6,Results!I6&lt;&gt;Games!$C$25),1,0))</f>
        <v>0</v>
      </c>
      <c r="AQ35" s="13">
        <f>IF(OR(J35="",Results!J6=""),"",IF(AND(J35=Results!J6,Results!J6&lt;&gt;Games!$C$26),1,0))</f>
        <v>0</v>
      </c>
      <c r="AR35" s="13">
        <f>IF(OR(K35="",Results!K6=""),"",IF(AND(K35=Results!K6,Results!K6&lt;&gt;Games!$C$27),1,0))</f>
        <v>0</v>
      </c>
      <c r="AS35" s="13">
        <f>IF(OR(L35="",Results!L6=""),"",IF(AND(L35=Results!L6,Results!L6&lt;&gt;Games!$C$28),1,0))</f>
        <v>1</v>
      </c>
      <c r="AT35" s="13">
        <f>IF(OR(M35="",Results!M6=""),"",IF(AND(M35=Results!M6,Results!M6&lt;&gt;Games!$C$29),1,0))</f>
        <v>0</v>
      </c>
      <c r="AU35" s="13">
        <f>IF(OR(N35="",Results!N6=""),"",IF(AND(N35=Results!N6,Results!N6&lt;&gt;Games!$C$30),1,0))</f>
        <v>0</v>
      </c>
      <c r="AV35" s="14">
        <f t="shared" si="1"/>
        <v>1</v>
      </c>
    </row>
    <row r="36" spans="1:48" ht="15" customHeight="1" x14ac:dyDescent="0.25">
      <c r="A36" s="4" t="str">
        <f>INDEX(Players!$D$6:$D$69,MATCH(39,Players!$A$6:$A$69,0))</f>
        <v>Kaley P.</v>
      </c>
      <c r="B36" s="5" t="s">
        <v>196</v>
      </c>
      <c r="C36" s="5" t="s">
        <v>230</v>
      </c>
      <c r="D36" s="5" t="s">
        <v>232</v>
      </c>
      <c r="E36" s="5" t="s">
        <v>234</v>
      </c>
      <c r="F36" s="5" t="s">
        <v>237</v>
      </c>
      <c r="G36" s="5" t="s">
        <v>240</v>
      </c>
      <c r="H36" s="5" t="s">
        <v>242</v>
      </c>
      <c r="I36" s="5" t="s">
        <v>244</v>
      </c>
      <c r="J36" s="5" t="s">
        <v>245</v>
      </c>
      <c r="K36" s="5" t="s">
        <v>247</v>
      </c>
      <c r="L36" s="5" t="s">
        <v>249</v>
      </c>
      <c r="M36" s="5" t="s">
        <v>252</v>
      </c>
      <c r="N36" s="5" t="s">
        <v>253</v>
      </c>
      <c r="O36" s="5">
        <v>1</v>
      </c>
      <c r="P36" s="5">
        <v>3</v>
      </c>
      <c r="Q36" s="5">
        <v>7</v>
      </c>
      <c r="R36" s="5">
        <v>57</v>
      </c>
      <c r="S36" s="4">
        <f>IF(OR(B36="",Results!B6=""),"",IF(B36=Results!B6,1+IF(OR($O36=1,$P36=1,$Q36=1),1,0),0))</f>
        <v>2</v>
      </c>
      <c r="T36" s="4">
        <f>IF(OR(C36="",Results!C6=""),"",IF(C36=Results!C6,1+IF(OR($O36=2,$P36=2,$Q36=2),1,0),0))</f>
        <v>1</v>
      </c>
      <c r="U36" s="4">
        <f>IF(OR(D36="",Results!D6=""),"",IF(D36=Results!D6,1+IF(OR($O36=3,$P36=3,$Q36=3),1,0),0))</f>
        <v>0</v>
      </c>
      <c r="V36" s="4">
        <f>IF(OR(E36="",Results!E6=""),"",IF(E36=Results!E6,1+IF(OR($O36=4,$P36=4,$Q36=4),1,0),0))</f>
        <v>1</v>
      </c>
      <c r="W36" s="4">
        <f>IF(OR(F36="",Results!F6=""),"",IF(F36=Results!F6,1+IF(OR($O36=5,$P36=5,$Q36=5),1,0),0))</f>
        <v>0</v>
      </c>
      <c r="X36" s="4">
        <f>IF(OR(G36="",Results!G6=""),"",IF(G36=Results!G6,1+IF(OR($O36=6,$P36=6,$Q36=6),1,0),0))</f>
        <v>0</v>
      </c>
      <c r="Y36" s="4">
        <f>IF(OR(H36="",Results!H6=""),"",IF(H36=Results!H6,1+IF(OR($O36=7,$P36=7,$Q36=7),1,0),0))</f>
        <v>0</v>
      </c>
      <c r="Z36" s="4">
        <f>IF(OR(I36="",Results!I6=""),"",IF(I36=Results!I6,1+IF(OR($O36=8,$P36=8,$Q36=8),1,0),0))</f>
        <v>0</v>
      </c>
      <c r="AA36" s="4">
        <f>IF(OR(J36="",Results!J6=""),"",IF(J36=Results!J6,1+IF(OR($O36=9,$P36=9,$Q36=9),1,0),0))</f>
        <v>1</v>
      </c>
      <c r="AB36" s="4">
        <f>IF(OR(K36="",Results!K6=""),"",IF(K36=Results!K6,1+IF(OR($O36=10,$P36=10,$Q36=10),1,0),0))</f>
        <v>1</v>
      </c>
      <c r="AC36" s="4">
        <f>IF(OR(L36="",Results!L6=""),"",IF(L36=Results!L6,1+IF(OR($O36=11,$P36=11,$Q36=11),1,0),0))</f>
        <v>0</v>
      </c>
      <c r="AD36" s="4">
        <f>IF(OR(M36="",Results!M6=""),"",IF(M36=Results!M6,1+IF(OR($O36=12,$P36=12,$Q36=12),1,0),0))</f>
        <v>0</v>
      </c>
      <c r="AE36" s="4">
        <f>IF(OR(N36="",Results!N6=""),"",IF(N36=Results!N6,1+IF(OR($O36=13,$P36=13,$Q36=13),1,0),0))</f>
        <v>1</v>
      </c>
      <c r="AF36" s="11">
        <f t="shared" si="0"/>
        <v>7</v>
      </c>
      <c r="AG36" s="4" t="str">
        <f>IF(OR($R36="",Results!O6=""),"",ABS($R36-Results!O6))</f>
        <v/>
      </c>
      <c r="AH36" s="12">
        <v>39</v>
      </c>
      <c r="AI36" s="13">
        <f>IF(OR(B36="",Results!B6=""),"",IF(AND(B36=Results!B6,Results!B6&lt;&gt;Games!$C$18),1,0))</f>
        <v>0</v>
      </c>
      <c r="AJ36" s="13">
        <f>IF(OR(C36="",Results!C6=""),"",IF(AND(C36=Results!C6,Results!C6&lt;&gt;Games!$C$19),1,0))</f>
        <v>0</v>
      </c>
      <c r="AK36" s="13">
        <f>IF(OR(D36="",Results!D6=""),"",IF(AND(D36=Results!D6,Results!D6&lt;&gt;Games!$C$20),1,0))</f>
        <v>0</v>
      </c>
      <c r="AL36" s="13">
        <f>IF(OR(E36="",Results!E6=""),"",IF(AND(E36=Results!E6,Results!E6&lt;&gt;Games!$C$21),1,0))</f>
        <v>0</v>
      </c>
      <c r="AM36" s="13">
        <f>IF(OR(F36="",Results!F6=""),"",IF(AND(F36=Results!F6,Results!F6&lt;&gt;Games!$C$22),1,0))</f>
        <v>0</v>
      </c>
      <c r="AN36" s="13">
        <f>IF(OR(G36="",Results!G6=""),"",IF(AND(G36=Results!G6,Results!G6&lt;&gt;Games!$C$23),1,0))</f>
        <v>0</v>
      </c>
      <c r="AO36" s="13">
        <f>IF(OR(H36="",Results!H6=""),"",IF(AND(H36=Results!H6,Results!H6&lt;&gt;Games!$C$24),1,0))</f>
        <v>0</v>
      </c>
      <c r="AP36" s="13">
        <f>IF(OR(I36="",Results!I6=""),"",IF(AND(I36=Results!I6,Results!I6&lt;&gt;Games!$C$25),1,0))</f>
        <v>0</v>
      </c>
      <c r="AQ36" s="13">
        <f>IF(OR(J36="",Results!J6=""),"",IF(AND(J36=Results!J6,Results!J6&lt;&gt;Games!$C$26),1,0))</f>
        <v>0</v>
      </c>
      <c r="AR36" s="13">
        <f>IF(OR(K36="",Results!K6=""),"",IF(AND(K36=Results!K6,Results!K6&lt;&gt;Games!$C$27),1,0))</f>
        <v>0</v>
      </c>
      <c r="AS36" s="13">
        <f>IF(OR(L36="",Results!L6=""),"",IF(AND(L36=Results!L6,Results!L6&lt;&gt;Games!$C$28),1,0))</f>
        <v>0</v>
      </c>
      <c r="AT36" s="13">
        <f>IF(OR(M36="",Results!M6=""),"",IF(AND(M36=Results!M6,Results!M6&lt;&gt;Games!$C$29),1,0))</f>
        <v>0</v>
      </c>
      <c r="AU36" s="13">
        <f>IF(OR(N36="",Results!N6=""),"",IF(AND(N36=Results!N6,Results!N6&lt;&gt;Games!$C$30),1,0))</f>
        <v>0</v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 t="s">
        <v>196</v>
      </c>
      <c r="C37" s="5" t="s">
        <v>230</v>
      </c>
      <c r="D37" s="5" t="s">
        <v>232</v>
      </c>
      <c r="E37" s="5" t="s">
        <v>234</v>
      </c>
      <c r="F37" s="5" t="s">
        <v>238</v>
      </c>
      <c r="G37" s="5" t="s">
        <v>239</v>
      </c>
      <c r="H37" s="5" t="s">
        <v>242</v>
      </c>
      <c r="I37" s="5" t="s">
        <v>244</v>
      </c>
      <c r="J37" s="5" t="s">
        <v>245</v>
      </c>
      <c r="K37" s="5" t="s">
        <v>248</v>
      </c>
      <c r="L37" s="5" t="s">
        <v>249</v>
      </c>
      <c r="M37" s="5" t="s">
        <v>251</v>
      </c>
      <c r="N37" s="5" t="s">
        <v>253</v>
      </c>
      <c r="O37" s="5">
        <v>3</v>
      </c>
      <c r="P37" s="5">
        <v>9</v>
      </c>
      <c r="Q37" s="5">
        <v>11</v>
      </c>
      <c r="R37" s="5">
        <v>51</v>
      </c>
      <c r="S37" s="4">
        <f>IF(OR(B37="",Results!B6=""),"",IF(B37=Results!B6,1+IF(OR($O37=1,$P37=1,$Q37=1),1,0),0))</f>
        <v>1</v>
      </c>
      <c r="T37" s="4">
        <f>IF(OR(C37="",Results!C6=""),"",IF(C37=Results!C6,1+IF(OR($O37=2,$P37=2,$Q37=2),1,0),0))</f>
        <v>1</v>
      </c>
      <c r="U37" s="4">
        <f>IF(OR(D37="",Results!D6=""),"",IF(D37=Results!D6,1+IF(OR($O37=3,$P37=3,$Q37=3),1,0),0))</f>
        <v>0</v>
      </c>
      <c r="V37" s="4">
        <f>IF(OR(E37="",Results!E6=""),"",IF(E37=Results!E6,1+IF(OR($O37=4,$P37=4,$Q37=4),1,0),0))</f>
        <v>1</v>
      </c>
      <c r="W37" s="4">
        <f>IF(OR(F37="",Results!F6=""),"",IF(F37=Results!F6,1+IF(OR($O37=5,$P37=5,$Q37=5),1,0),0))</f>
        <v>1</v>
      </c>
      <c r="X37" s="4">
        <f>IF(OR(G37="",Results!G6=""),"",IF(G37=Results!G6,1+IF(OR($O37=6,$P37=6,$Q37=6),1,0),0))</f>
        <v>1</v>
      </c>
      <c r="Y37" s="4">
        <f>IF(OR(H37="",Results!H6=""),"",IF(H37=Results!H6,1+IF(OR($O37=7,$P37=7,$Q37=7),1,0),0))</f>
        <v>0</v>
      </c>
      <c r="Z37" s="4">
        <f>IF(OR(I37="",Results!I6=""),"",IF(I37=Results!I6,1+IF(OR($O37=8,$P37=8,$Q37=8),1,0),0))</f>
        <v>0</v>
      </c>
      <c r="AA37" s="4">
        <f>IF(OR(J37="",Results!J6=""),"",IF(J37=Results!J6,1+IF(OR($O37=9,$P37=9,$Q37=9),1,0),0))</f>
        <v>2</v>
      </c>
      <c r="AB37" s="4">
        <f>IF(OR(K37="",Results!K6=""),"",IF(K37=Results!K6,1+IF(OR($O37=10,$P37=10,$Q37=10),1,0),0))</f>
        <v>0</v>
      </c>
      <c r="AC37" s="4">
        <f>IF(OR(L37="",Results!L6=""),"",IF(L37=Results!L6,1+IF(OR($O37=11,$P37=11,$Q37=11),1,0),0))</f>
        <v>0</v>
      </c>
      <c r="AD37" s="4">
        <f>IF(OR(M37="",Results!M6=""),"",IF(M37=Results!M6,1+IF(OR($O37=12,$P37=12,$Q37=12),1,0),0))</f>
        <v>1</v>
      </c>
      <c r="AE37" s="4">
        <f>IF(OR(N37="",Results!N6=""),"",IF(N37=Results!N6,1+IF(OR($O37=13,$P37=13,$Q37=13),1,0),0))</f>
        <v>1</v>
      </c>
      <c r="AF37" s="11">
        <f t="shared" si="0"/>
        <v>9</v>
      </c>
      <c r="AG37" s="4" t="str">
        <f>IF(OR($R37="",Results!O6=""),"",ABS($R37-Results!O6))</f>
        <v/>
      </c>
      <c r="AH37" s="12">
        <v>49</v>
      </c>
      <c r="AI37" s="13">
        <f>IF(OR(B37="",Results!B6=""),"",IF(AND(B37=Results!B6,Results!B6&lt;&gt;Games!$C$18),1,0))</f>
        <v>0</v>
      </c>
      <c r="AJ37" s="13">
        <f>IF(OR(C37="",Results!C6=""),"",IF(AND(C37=Results!C6,Results!C6&lt;&gt;Games!$C$19),1,0))</f>
        <v>0</v>
      </c>
      <c r="AK37" s="13">
        <f>IF(OR(D37="",Results!D6=""),"",IF(AND(D37=Results!D6,Results!D6&lt;&gt;Games!$C$20),1,0))</f>
        <v>0</v>
      </c>
      <c r="AL37" s="13">
        <f>IF(OR(E37="",Results!E6=""),"",IF(AND(E37=Results!E6,Results!E6&lt;&gt;Games!$C$21),1,0))</f>
        <v>0</v>
      </c>
      <c r="AM37" s="13">
        <f>IF(OR(F37="",Results!F6=""),"",IF(AND(F37=Results!F6,Results!F6&lt;&gt;Games!$C$22),1,0))</f>
        <v>1</v>
      </c>
      <c r="AN37" s="13">
        <f>IF(OR(G37="",Results!G6=""),"",IF(AND(G37=Results!G6,Results!G6&lt;&gt;Games!$C$23),1,0))</f>
        <v>0</v>
      </c>
      <c r="AO37" s="13">
        <f>IF(OR(H37="",Results!H6=""),"",IF(AND(H37=Results!H6,Results!H6&lt;&gt;Games!$C$24),1,0))</f>
        <v>0</v>
      </c>
      <c r="AP37" s="13">
        <f>IF(OR(I37="",Results!I6=""),"",IF(AND(I37=Results!I6,Results!I6&lt;&gt;Games!$C$25),1,0))</f>
        <v>0</v>
      </c>
      <c r="AQ37" s="13">
        <f>IF(OR(J37="",Results!J6=""),"",IF(AND(J37=Results!J6,Results!J6&lt;&gt;Games!$C$26),1,0))</f>
        <v>0</v>
      </c>
      <c r="AR37" s="13">
        <f>IF(OR(K37="",Results!K6=""),"",IF(AND(K37=Results!K6,Results!K6&lt;&gt;Games!$C$27),1,0))</f>
        <v>0</v>
      </c>
      <c r="AS37" s="13">
        <f>IF(OR(L37="",Results!L6=""),"",IF(AND(L37=Results!L6,Results!L6&lt;&gt;Games!$C$28),1,0))</f>
        <v>0</v>
      </c>
      <c r="AT37" s="13">
        <f>IF(OR(M37="",Results!M6=""),"",IF(AND(M37=Results!M6,Results!M6&lt;&gt;Games!$C$29),1,0))</f>
        <v>0</v>
      </c>
      <c r="AU37" s="13">
        <f>IF(OR(N37="",Results!N6=""),"",IF(AND(N37=Results!N6,Results!N6&lt;&gt;Games!$C$30),1,0))</f>
        <v>0</v>
      </c>
      <c r="AV37" s="14">
        <f t="shared" si="1"/>
        <v>1</v>
      </c>
    </row>
    <row r="38" spans="1:48" ht="15" customHeight="1" x14ac:dyDescent="0.25">
      <c r="A38" s="4" t="str">
        <f>INDEX(Players!$D$6:$D$69,MATCH(18,Players!$A$6:$A$69,0))</f>
        <v>Ken L.</v>
      </c>
      <c r="B38" s="5" t="s">
        <v>196</v>
      </c>
      <c r="C38" s="5" t="s">
        <v>230</v>
      </c>
      <c r="D38" s="5" t="s">
        <v>232</v>
      </c>
      <c r="E38" s="5" t="s">
        <v>234</v>
      </c>
      <c r="F38" s="5" t="s">
        <v>237</v>
      </c>
      <c r="G38" s="5" t="s">
        <v>240</v>
      </c>
      <c r="H38" s="5" t="s">
        <v>242</v>
      </c>
      <c r="I38" s="5" t="s">
        <v>244</v>
      </c>
      <c r="J38" s="5" t="s">
        <v>245</v>
      </c>
      <c r="K38" s="5" t="s">
        <v>247</v>
      </c>
      <c r="L38" s="5" t="s">
        <v>249</v>
      </c>
      <c r="M38" s="5" t="s">
        <v>251</v>
      </c>
      <c r="N38" s="5" t="s">
        <v>253</v>
      </c>
      <c r="O38" s="5">
        <v>8</v>
      </c>
      <c r="P38" s="5">
        <v>9</v>
      </c>
      <c r="Q38" s="5">
        <v>10</v>
      </c>
      <c r="R38" s="5">
        <v>57</v>
      </c>
      <c r="S38" s="4">
        <f>IF(OR(B38="",Results!B6=""),"",IF(B38=Results!B6,1+IF(OR($O38=1,$P38=1,$Q38=1),1,0),0))</f>
        <v>1</v>
      </c>
      <c r="T38" s="4">
        <f>IF(OR(C38="",Results!C6=""),"",IF(C38=Results!C6,1+IF(OR($O38=2,$P38=2,$Q38=2),1,0),0))</f>
        <v>1</v>
      </c>
      <c r="U38" s="4">
        <f>IF(OR(D38="",Results!D6=""),"",IF(D38=Results!D6,1+IF(OR($O38=3,$P38=3,$Q38=3),1,0),0))</f>
        <v>0</v>
      </c>
      <c r="V38" s="4">
        <f>IF(OR(E38="",Results!E6=""),"",IF(E38=Results!E6,1+IF(OR($O38=4,$P38=4,$Q38=4),1,0),0))</f>
        <v>1</v>
      </c>
      <c r="W38" s="4">
        <f>IF(OR(F38="",Results!F6=""),"",IF(F38=Results!F6,1+IF(OR($O38=5,$P38=5,$Q38=5),1,0),0))</f>
        <v>0</v>
      </c>
      <c r="X38" s="4">
        <f>IF(OR(G38="",Results!G6=""),"",IF(G38=Results!G6,1+IF(OR($O38=6,$P38=6,$Q38=6),1,0),0))</f>
        <v>0</v>
      </c>
      <c r="Y38" s="4">
        <f>IF(OR(H38="",Results!H6=""),"",IF(H38=Results!H6,1+IF(OR($O38=7,$P38=7,$Q38=7),1,0),0))</f>
        <v>0</v>
      </c>
      <c r="Z38" s="4">
        <f>IF(OR(I38="",Results!I6=""),"",IF(I38=Results!I6,1+IF(OR($O38=8,$P38=8,$Q38=8),1,0),0))</f>
        <v>0</v>
      </c>
      <c r="AA38" s="4">
        <f>IF(OR(J38="",Results!J6=""),"",IF(J38=Results!J6,1+IF(OR($O38=9,$P38=9,$Q38=9),1,0),0))</f>
        <v>2</v>
      </c>
      <c r="AB38" s="4">
        <f>IF(OR(K38="",Results!K6=""),"",IF(K38=Results!K6,1+IF(OR($O38=10,$P38=10,$Q38=10),1,0),0))</f>
        <v>2</v>
      </c>
      <c r="AC38" s="4">
        <f>IF(OR(L38="",Results!L6=""),"",IF(L38=Results!L6,1+IF(OR($O38=11,$P38=11,$Q38=11),1,0),0))</f>
        <v>0</v>
      </c>
      <c r="AD38" s="4">
        <f>IF(OR(M38="",Results!M6=""),"",IF(M38=Results!M6,1+IF(OR($O38=12,$P38=12,$Q38=12),1,0),0))</f>
        <v>1</v>
      </c>
      <c r="AE38" s="4">
        <f>IF(OR(N38="",Results!N6=""),"",IF(N38=Results!N6,1+IF(OR($O38=13,$P38=13,$Q38=13),1,0),0))</f>
        <v>1</v>
      </c>
      <c r="AF38" s="11">
        <f t="shared" ref="AF38:AF65" si="2">SUM(S38:AE38)</f>
        <v>9</v>
      </c>
      <c r="AG38" s="4" t="str">
        <f>IF(OR($R38="",Results!O6=""),"",ABS($R38-Results!O6))</f>
        <v/>
      </c>
      <c r="AH38" s="12">
        <v>18</v>
      </c>
      <c r="AI38" s="13">
        <f>IF(OR(B38="",Results!B6=""),"",IF(AND(B38=Results!B6,Results!B6&lt;&gt;Games!$C$18),1,0))</f>
        <v>0</v>
      </c>
      <c r="AJ38" s="13">
        <f>IF(OR(C38="",Results!C6=""),"",IF(AND(C38=Results!C6,Results!C6&lt;&gt;Games!$C$19),1,0))</f>
        <v>0</v>
      </c>
      <c r="AK38" s="13">
        <f>IF(OR(D38="",Results!D6=""),"",IF(AND(D38=Results!D6,Results!D6&lt;&gt;Games!$C$20),1,0))</f>
        <v>0</v>
      </c>
      <c r="AL38" s="13">
        <f>IF(OR(E38="",Results!E6=""),"",IF(AND(E38=Results!E6,Results!E6&lt;&gt;Games!$C$21),1,0))</f>
        <v>0</v>
      </c>
      <c r="AM38" s="13">
        <f>IF(OR(F38="",Results!F6=""),"",IF(AND(F38=Results!F6,Results!F6&lt;&gt;Games!$C$22),1,0))</f>
        <v>0</v>
      </c>
      <c r="AN38" s="13">
        <f>IF(OR(G38="",Results!G6=""),"",IF(AND(G38=Results!G6,Results!G6&lt;&gt;Games!$C$23),1,0))</f>
        <v>0</v>
      </c>
      <c r="AO38" s="13">
        <f>IF(OR(H38="",Results!H6=""),"",IF(AND(H38=Results!H6,Results!H6&lt;&gt;Games!$C$24),1,0))</f>
        <v>0</v>
      </c>
      <c r="AP38" s="13">
        <f>IF(OR(I38="",Results!I6=""),"",IF(AND(I38=Results!I6,Results!I6&lt;&gt;Games!$C$25),1,0))</f>
        <v>0</v>
      </c>
      <c r="AQ38" s="13">
        <f>IF(OR(J38="",Results!J6=""),"",IF(AND(J38=Results!J6,Results!J6&lt;&gt;Games!$C$26),1,0))</f>
        <v>0</v>
      </c>
      <c r="AR38" s="13">
        <f>IF(OR(K38="",Results!K6=""),"",IF(AND(K38=Results!K6,Results!K6&lt;&gt;Games!$C$27),1,0))</f>
        <v>0</v>
      </c>
      <c r="AS38" s="13">
        <f>IF(OR(L38="",Results!L6=""),"",IF(AND(L38=Results!L6,Results!L6&lt;&gt;Games!$C$28),1,0))</f>
        <v>0</v>
      </c>
      <c r="AT38" s="13">
        <f>IF(OR(M38="",Results!M6=""),"",IF(AND(M38=Results!M6,Results!M6&lt;&gt;Games!$C$29),1,0))</f>
        <v>0</v>
      </c>
      <c r="AU38" s="13">
        <f>IF(OR(N38="",Results!N6=""),"",IF(AND(N38=Results!N6,Results!N6&lt;&gt;Games!$C$30),1,0))</f>
        <v>0</v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 t="s">
        <v>196</v>
      </c>
      <c r="C39" s="5" t="s">
        <v>230</v>
      </c>
      <c r="D39" s="5" t="s">
        <v>232</v>
      </c>
      <c r="E39" s="5" t="s">
        <v>235</v>
      </c>
      <c r="F39" s="5" t="s">
        <v>237</v>
      </c>
      <c r="G39" s="5" t="s">
        <v>239</v>
      </c>
      <c r="H39" s="5" t="s">
        <v>242</v>
      </c>
      <c r="I39" s="5" t="s">
        <v>199</v>
      </c>
      <c r="J39" s="5" t="s">
        <v>245</v>
      </c>
      <c r="K39" s="5" t="s">
        <v>247</v>
      </c>
      <c r="L39" s="5" t="s">
        <v>249</v>
      </c>
      <c r="M39" s="5" t="s">
        <v>251</v>
      </c>
      <c r="N39" s="5" t="s">
        <v>253</v>
      </c>
      <c r="O39" s="5">
        <v>5</v>
      </c>
      <c r="P39" s="5">
        <v>6</v>
      </c>
      <c r="Q39" s="5">
        <v>7</v>
      </c>
      <c r="R39" s="5">
        <v>50</v>
      </c>
      <c r="S39" s="4">
        <f>IF(OR(B39="",Results!B6=""),"",IF(B39=Results!B6,1+IF(OR($O39=1,$P39=1,$Q39=1),1,0),0))</f>
        <v>1</v>
      </c>
      <c r="T39" s="4">
        <f>IF(OR(C39="",Results!C6=""),"",IF(C39=Results!C6,1+IF(OR($O39=2,$P39=2,$Q39=2),1,0),0))</f>
        <v>1</v>
      </c>
      <c r="U39" s="4">
        <f>IF(OR(D39="",Results!D6=""),"",IF(D39=Results!D6,1+IF(OR($O39=3,$P39=3,$Q39=3),1,0),0))</f>
        <v>0</v>
      </c>
      <c r="V39" s="4">
        <f>IF(OR(E39="",Results!E6=""),"",IF(E39=Results!E6,1+IF(OR($O39=4,$P39=4,$Q39=4),1,0),0))</f>
        <v>0</v>
      </c>
      <c r="W39" s="4">
        <f>IF(OR(F39="",Results!F6=""),"",IF(F39=Results!F6,1+IF(OR($O39=5,$P39=5,$Q39=5),1,0),0))</f>
        <v>0</v>
      </c>
      <c r="X39" s="4">
        <f>IF(OR(G39="",Results!G6=""),"",IF(G39=Results!G6,1+IF(OR($O39=6,$P39=6,$Q39=6),1,0),0))</f>
        <v>2</v>
      </c>
      <c r="Y39" s="4">
        <f>IF(OR(H39="",Results!H6=""),"",IF(H39=Results!H6,1+IF(OR($O39=7,$P39=7,$Q39=7),1,0),0))</f>
        <v>0</v>
      </c>
      <c r="Z39" s="4">
        <f>IF(OR(I39="",Results!I6=""),"",IF(I39=Results!I6,1+IF(OR($O39=8,$P39=8,$Q39=8),1,0),0))</f>
        <v>1</v>
      </c>
      <c r="AA39" s="4">
        <f>IF(OR(J39="",Results!J6=""),"",IF(J39=Results!J6,1+IF(OR($O39=9,$P39=9,$Q39=9),1,0),0))</f>
        <v>1</v>
      </c>
      <c r="AB39" s="4">
        <f>IF(OR(K39="",Results!K6=""),"",IF(K39=Results!K6,1+IF(OR($O39=10,$P39=10,$Q39=10),1,0),0))</f>
        <v>1</v>
      </c>
      <c r="AC39" s="4">
        <f>IF(OR(L39="",Results!L6=""),"",IF(L39=Results!L6,1+IF(OR($O39=11,$P39=11,$Q39=11),1,0),0))</f>
        <v>0</v>
      </c>
      <c r="AD39" s="4">
        <f>IF(OR(M39="",Results!M6=""),"",IF(M39=Results!M6,1+IF(OR($O39=12,$P39=12,$Q39=12),1,0),0))</f>
        <v>1</v>
      </c>
      <c r="AE39" s="4">
        <f>IF(OR(N39="",Results!N6=""),"",IF(N39=Results!N6,1+IF(OR($O39=13,$P39=13,$Q39=13),1,0),0))</f>
        <v>1</v>
      </c>
      <c r="AF39" s="11">
        <f t="shared" si="2"/>
        <v>9</v>
      </c>
      <c r="AG39" s="4" t="str">
        <f>IF(OR($R39="",Results!O6=""),"",ABS($R39-Results!O6))</f>
        <v/>
      </c>
      <c r="AH39" s="12">
        <v>50</v>
      </c>
      <c r="AI39" s="13">
        <f>IF(OR(B39="",Results!B6=""),"",IF(AND(B39=Results!B6,Results!B6&lt;&gt;Games!$C$18),1,0))</f>
        <v>0</v>
      </c>
      <c r="AJ39" s="13">
        <f>IF(OR(C39="",Results!C6=""),"",IF(AND(C39=Results!C6,Results!C6&lt;&gt;Games!$C$19),1,0))</f>
        <v>0</v>
      </c>
      <c r="AK39" s="13">
        <f>IF(OR(D39="",Results!D6=""),"",IF(AND(D39=Results!D6,Results!D6&lt;&gt;Games!$C$20),1,0))</f>
        <v>0</v>
      </c>
      <c r="AL39" s="13">
        <f>IF(OR(E39="",Results!E6=""),"",IF(AND(E39=Results!E6,Results!E6&lt;&gt;Games!$C$21),1,0))</f>
        <v>0</v>
      </c>
      <c r="AM39" s="13">
        <f>IF(OR(F39="",Results!F6=""),"",IF(AND(F39=Results!F6,Results!F6&lt;&gt;Games!$C$22),1,0))</f>
        <v>0</v>
      </c>
      <c r="AN39" s="13">
        <f>IF(OR(G39="",Results!G6=""),"",IF(AND(G39=Results!G6,Results!G6&lt;&gt;Games!$C$23),1,0))</f>
        <v>0</v>
      </c>
      <c r="AO39" s="13">
        <f>IF(OR(H39="",Results!H6=""),"",IF(AND(H39=Results!H6,Results!H6&lt;&gt;Games!$C$24),1,0))</f>
        <v>0</v>
      </c>
      <c r="AP39" s="13">
        <f>IF(OR(I39="",Results!I6=""),"",IF(AND(I39=Results!I6,Results!I6&lt;&gt;Games!$C$25),1,0))</f>
        <v>1</v>
      </c>
      <c r="AQ39" s="13">
        <f>IF(OR(J39="",Results!J6=""),"",IF(AND(J39=Results!J6,Results!J6&lt;&gt;Games!$C$26),1,0))</f>
        <v>0</v>
      </c>
      <c r="AR39" s="13">
        <f>IF(OR(K39="",Results!K6=""),"",IF(AND(K39=Results!K6,Results!K6&lt;&gt;Games!$C$27),1,0))</f>
        <v>0</v>
      </c>
      <c r="AS39" s="13">
        <f>IF(OR(L39="",Results!L6=""),"",IF(AND(L39=Results!L6,Results!L6&lt;&gt;Games!$C$28),1,0))</f>
        <v>0</v>
      </c>
      <c r="AT39" s="13">
        <f>IF(OR(M39="",Results!M6=""),"",IF(AND(M39=Results!M6,Results!M6&lt;&gt;Games!$C$29),1,0))</f>
        <v>0</v>
      </c>
      <c r="AU39" s="13">
        <f>IF(OR(N39="",Results!N6=""),"",IF(AND(N39=Results!N6,Results!N6&lt;&gt;Games!$C$30),1,0))</f>
        <v>0</v>
      </c>
      <c r="AV39" s="14">
        <f t="shared" si="3"/>
        <v>1</v>
      </c>
    </row>
    <row r="40" spans="1:48" ht="15" customHeight="1" x14ac:dyDescent="0.25">
      <c r="A40" s="4" t="str">
        <f>INDEX(Players!$D$6:$D$69,MATCH(19,Players!$A$6:$A$69,0))</f>
        <v>Lauren C.</v>
      </c>
      <c r="B40" s="5" t="s">
        <v>196</v>
      </c>
      <c r="C40" s="5" t="s">
        <v>230</v>
      </c>
      <c r="D40" s="5" t="s">
        <v>232</v>
      </c>
      <c r="E40" s="5" t="s">
        <v>234</v>
      </c>
      <c r="F40" s="5" t="s">
        <v>237</v>
      </c>
      <c r="G40" s="5" t="s">
        <v>239</v>
      </c>
      <c r="H40" s="5" t="s">
        <v>242</v>
      </c>
      <c r="I40" s="5" t="s">
        <v>244</v>
      </c>
      <c r="J40" s="5" t="s">
        <v>245</v>
      </c>
      <c r="K40" s="5" t="s">
        <v>247</v>
      </c>
      <c r="L40" s="5" t="s">
        <v>249</v>
      </c>
      <c r="M40" s="5" t="s">
        <v>252</v>
      </c>
      <c r="N40" s="5" t="s">
        <v>253</v>
      </c>
      <c r="O40" s="5">
        <v>3</v>
      </c>
      <c r="P40" s="5">
        <v>9</v>
      </c>
      <c r="Q40" s="5">
        <v>10</v>
      </c>
      <c r="R40" s="5">
        <v>57</v>
      </c>
      <c r="S40" s="4">
        <f>IF(OR(B40="",Results!B6=""),"",IF(B40=Results!B6,1+IF(OR($O40=1,$P40=1,$Q40=1),1,0),0))</f>
        <v>1</v>
      </c>
      <c r="T40" s="4">
        <f>IF(OR(C40="",Results!C6=""),"",IF(C40=Results!C6,1+IF(OR($O40=2,$P40=2,$Q40=2),1,0),0))</f>
        <v>1</v>
      </c>
      <c r="U40" s="4">
        <f>IF(OR(D40="",Results!D6=""),"",IF(D40=Results!D6,1+IF(OR($O40=3,$P40=3,$Q40=3),1,0),0))</f>
        <v>0</v>
      </c>
      <c r="V40" s="4">
        <f>IF(OR(E40="",Results!E6=""),"",IF(E40=Results!E6,1+IF(OR($O40=4,$P40=4,$Q40=4),1,0),0))</f>
        <v>1</v>
      </c>
      <c r="W40" s="4">
        <f>IF(OR(F40="",Results!F6=""),"",IF(F40=Results!F6,1+IF(OR($O40=5,$P40=5,$Q40=5),1,0),0))</f>
        <v>0</v>
      </c>
      <c r="X40" s="4">
        <f>IF(OR(G40="",Results!G6=""),"",IF(G40=Results!G6,1+IF(OR($O40=6,$P40=6,$Q40=6),1,0),0))</f>
        <v>1</v>
      </c>
      <c r="Y40" s="4">
        <f>IF(OR(H40="",Results!H6=""),"",IF(H40=Results!H6,1+IF(OR($O40=7,$P40=7,$Q40=7),1,0),0))</f>
        <v>0</v>
      </c>
      <c r="Z40" s="4">
        <f>IF(OR(I40="",Results!I6=""),"",IF(I40=Results!I6,1+IF(OR($O40=8,$P40=8,$Q40=8),1,0),0))</f>
        <v>0</v>
      </c>
      <c r="AA40" s="4">
        <f>IF(OR(J40="",Results!J6=""),"",IF(J40=Results!J6,1+IF(OR($O40=9,$P40=9,$Q40=9),1,0),0))</f>
        <v>2</v>
      </c>
      <c r="AB40" s="4">
        <f>IF(OR(K40="",Results!K6=""),"",IF(K40=Results!K6,1+IF(OR($O40=10,$P40=10,$Q40=10),1,0),0))</f>
        <v>2</v>
      </c>
      <c r="AC40" s="4">
        <f>IF(OR(L40="",Results!L6=""),"",IF(L40=Results!L6,1+IF(OR($O40=11,$P40=11,$Q40=11),1,0),0))</f>
        <v>0</v>
      </c>
      <c r="AD40" s="4">
        <f>IF(OR(M40="",Results!M6=""),"",IF(M40=Results!M6,1+IF(OR($O40=12,$P40=12,$Q40=12),1,0),0))</f>
        <v>0</v>
      </c>
      <c r="AE40" s="4">
        <f>IF(OR(N40="",Results!N6=""),"",IF(N40=Results!N6,1+IF(OR($O40=13,$P40=13,$Q40=13),1,0),0))</f>
        <v>1</v>
      </c>
      <c r="AF40" s="11">
        <f t="shared" si="2"/>
        <v>9</v>
      </c>
      <c r="AG40" s="4" t="str">
        <f>IF(OR($R40="",Results!O6=""),"",ABS($R40-Results!O6))</f>
        <v/>
      </c>
      <c r="AH40" s="12">
        <v>19</v>
      </c>
      <c r="AI40" s="13">
        <f>IF(OR(B40="",Results!B6=""),"",IF(AND(B40=Results!B6,Results!B6&lt;&gt;Games!$C$18),1,0))</f>
        <v>0</v>
      </c>
      <c r="AJ40" s="13">
        <f>IF(OR(C40="",Results!C6=""),"",IF(AND(C40=Results!C6,Results!C6&lt;&gt;Games!$C$19),1,0))</f>
        <v>0</v>
      </c>
      <c r="AK40" s="13">
        <f>IF(OR(D40="",Results!D6=""),"",IF(AND(D40=Results!D6,Results!D6&lt;&gt;Games!$C$20),1,0))</f>
        <v>0</v>
      </c>
      <c r="AL40" s="13">
        <f>IF(OR(E40="",Results!E6=""),"",IF(AND(E40=Results!E6,Results!E6&lt;&gt;Games!$C$21),1,0))</f>
        <v>0</v>
      </c>
      <c r="AM40" s="13">
        <f>IF(OR(F40="",Results!F6=""),"",IF(AND(F40=Results!F6,Results!F6&lt;&gt;Games!$C$22),1,0))</f>
        <v>0</v>
      </c>
      <c r="AN40" s="13">
        <f>IF(OR(G40="",Results!G6=""),"",IF(AND(G40=Results!G6,Results!G6&lt;&gt;Games!$C$23),1,0))</f>
        <v>0</v>
      </c>
      <c r="AO40" s="13">
        <f>IF(OR(H40="",Results!H6=""),"",IF(AND(H40=Results!H6,Results!H6&lt;&gt;Games!$C$24),1,0))</f>
        <v>0</v>
      </c>
      <c r="AP40" s="13">
        <f>IF(OR(I40="",Results!I6=""),"",IF(AND(I40=Results!I6,Results!I6&lt;&gt;Games!$C$25),1,0))</f>
        <v>0</v>
      </c>
      <c r="AQ40" s="13">
        <f>IF(OR(J40="",Results!J6=""),"",IF(AND(J40=Results!J6,Results!J6&lt;&gt;Games!$C$26),1,0))</f>
        <v>0</v>
      </c>
      <c r="AR40" s="13">
        <f>IF(OR(K40="",Results!K6=""),"",IF(AND(K40=Results!K6,Results!K6&lt;&gt;Games!$C$27),1,0))</f>
        <v>0</v>
      </c>
      <c r="AS40" s="13">
        <f>IF(OR(L40="",Results!L6=""),"",IF(AND(L40=Results!L6,Results!L6&lt;&gt;Games!$C$28),1,0))</f>
        <v>0</v>
      </c>
      <c r="AT40" s="13">
        <f>IF(OR(M40="",Results!M6=""),"",IF(AND(M40=Results!M6,Results!M6&lt;&gt;Games!$C$29),1,0))</f>
        <v>0</v>
      </c>
      <c r="AU40" s="13">
        <f>IF(OR(N40="",Results!N6=""),"",IF(AND(N40=Results!N6,Results!N6&lt;&gt;Games!$C$30),1,0))</f>
        <v>0</v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 t="s">
        <v>196</v>
      </c>
      <c r="C41" s="5" t="s">
        <v>230</v>
      </c>
      <c r="D41" s="5" t="s">
        <v>232</v>
      </c>
      <c r="E41" s="5" t="s">
        <v>235</v>
      </c>
      <c r="F41" s="5" t="s">
        <v>237</v>
      </c>
      <c r="G41" s="5" t="s">
        <v>240</v>
      </c>
      <c r="H41" s="5" t="s">
        <v>242</v>
      </c>
      <c r="I41" s="5" t="s">
        <v>244</v>
      </c>
      <c r="J41" s="5" t="s">
        <v>246</v>
      </c>
      <c r="K41" s="5" t="s">
        <v>247</v>
      </c>
      <c r="L41" s="5" t="s">
        <v>249</v>
      </c>
      <c r="M41" s="5" t="s">
        <v>251</v>
      </c>
      <c r="N41" s="5" t="s">
        <v>253</v>
      </c>
      <c r="O41" s="5">
        <v>3</v>
      </c>
      <c r="P41" s="5">
        <v>4</v>
      </c>
      <c r="Q41" s="5">
        <v>8</v>
      </c>
      <c r="R41" s="5">
        <v>62</v>
      </c>
      <c r="S41" s="4">
        <f>IF(OR(B41="",Results!B6=""),"",IF(B41=Results!B6,1+IF(OR($O41=1,$P41=1,$Q41=1),1,0),0))</f>
        <v>1</v>
      </c>
      <c r="T41" s="4">
        <f>IF(OR(C41="",Results!C6=""),"",IF(C41=Results!C6,1+IF(OR($O41=2,$P41=2,$Q41=2),1,0),0))</f>
        <v>1</v>
      </c>
      <c r="U41" s="4">
        <f>IF(OR(D41="",Results!D6=""),"",IF(D41=Results!D6,1+IF(OR($O41=3,$P41=3,$Q41=3),1,0),0))</f>
        <v>0</v>
      </c>
      <c r="V41" s="4">
        <f>IF(OR(E41="",Results!E6=""),"",IF(E41=Results!E6,1+IF(OR($O41=4,$P41=4,$Q41=4),1,0),0))</f>
        <v>0</v>
      </c>
      <c r="W41" s="4">
        <f>IF(OR(F41="",Results!F6=""),"",IF(F41=Results!F6,1+IF(OR($O41=5,$P41=5,$Q41=5),1,0),0))</f>
        <v>0</v>
      </c>
      <c r="X41" s="4">
        <f>IF(OR(G41="",Results!G6=""),"",IF(G41=Results!G6,1+IF(OR($O41=6,$P41=6,$Q41=6),1,0),0))</f>
        <v>0</v>
      </c>
      <c r="Y41" s="4">
        <f>IF(OR(H41="",Results!H6=""),"",IF(H41=Results!H6,1+IF(OR($O41=7,$P41=7,$Q41=7),1,0),0))</f>
        <v>0</v>
      </c>
      <c r="Z41" s="4">
        <f>IF(OR(I41="",Results!I6=""),"",IF(I41=Results!I6,1+IF(OR($O41=8,$P41=8,$Q41=8),1,0),0))</f>
        <v>0</v>
      </c>
      <c r="AA41" s="4">
        <f>IF(OR(J41="",Results!J6=""),"",IF(J41=Results!J6,1+IF(OR($O41=9,$P41=9,$Q41=9),1,0),0))</f>
        <v>0</v>
      </c>
      <c r="AB41" s="4">
        <f>IF(OR(K41="",Results!K6=""),"",IF(K41=Results!K6,1+IF(OR($O41=10,$P41=10,$Q41=10),1,0),0))</f>
        <v>1</v>
      </c>
      <c r="AC41" s="4">
        <f>IF(OR(L41="",Results!L6=""),"",IF(L41=Results!L6,1+IF(OR($O41=11,$P41=11,$Q41=11),1,0),0))</f>
        <v>0</v>
      </c>
      <c r="AD41" s="4">
        <f>IF(OR(M41="",Results!M6=""),"",IF(M41=Results!M6,1+IF(OR($O41=12,$P41=12,$Q41=12),1,0),0))</f>
        <v>1</v>
      </c>
      <c r="AE41" s="4">
        <f>IF(OR(N41="",Results!N6=""),"",IF(N41=Results!N6,1+IF(OR($O41=13,$P41=13,$Q41=13),1,0),0))</f>
        <v>1</v>
      </c>
      <c r="AF41" s="11">
        <f t="shared" si="2"/>
        <v>5</v>
      </c>
      <c r="AG41" s="4" t="str">
        <f>IF(OR($R41="",Results!O6=""),"",ABS($R41-Results!O6))</f>
        <v/>
      </c>
      <c r="AH41" s="12">
        <v>20</v>
      </c>
      <c r="AI41" s="13">
        <f>IF(OR(B41="",Results!B6=""),"",IF(AND(B41=Results!B6,Results!B6&lt;&gt;Games!$C$18),1,0))</f>
        <v>0</v>
      </c>
      <c r="AJ41" s="13">
        <f>IF(OR(C41="",Results!C6=""),"",IF(AND(C41=Results!C6,Results!C6&lt;&gt;Games!$C$19),1,0))</f>
        <v>0</v>
      </c>
      <c r="AK41" s="13">
        <f>IF(OR(D41="",Results!D6=""),"",IF(AND(D41=Results!D6,Results!D6&lt;&gt;Games!$C$20),1,0))</f>
        <v>0</v>
      </c>
      <c r="AL41" s="13">
        <f>IF(OR(E41="",Results!E6=""),"",IF(AND(E41=Results!E6,Results!E6&lt;&gt;Games!$C$21),1,0))</f>
        <v>0</v>
      </c>
      <c r="AM41" s="13">
        <f>IF(OR(F41="",Results!F6=""),"",IF(AND(F41=Results!F6,Results!F6&lt;&gt;Games!$C$22),1,0))</f>
        <v>0</v>
      </c>
      <c r="AN41" s="13">
        <f>IF(OR(G41="",Results!G6=""),"",IF(AND(G41=Results!G6,Results!G6&lt;&gt;Games!$C$23),1,0))</f>
        <v>0</v>
      </c>
      <c r="AO41" s="13">
        <f>IF(OR(H41="",Results!H6=""),"",IF(AND(H41=Results!H6,Results!H6&lt;&gt;Games!$C$24),1,0))</f>
        <v>0</v>
      </c>
      <c r="AP41" s="13">
        <f>IF(OR(I41="",Results!I6=""),"",IF(AND(I41=Results!I6,Results!I6&lt;&gt;Games!$C$25),1,0))</f>
        <v>0</v>
      </c>
      <c r="AQ41" s="13">
        <f>IF(OR(J41="",Results!J6=""),"",IF(AND(J41=Results!J6,Results!J6&lt;&gt;Games!$C$26),1,0))</f>
        <v>0</v>
      </c>
      <c r="AR41" s="13">
        <f>IF(OR(K41="",Results!K6=""),"",IF(AND(K41=Results!K6,Results!K6&lt;&gt;Games!$C$27),1,0))</f>
        <v>0</v>
      </c>
      <c r="AS41" s="13">
        <f>IF(OR(L41="",Results!L6=""),"",IF(AND(L41=Results!L6,Results!L6&lt;&gt;Games!$C$28),1,0))</f>
        <v>0</v>
      </c>
      <c r="AT41" s="13">
        <f>IF(OR(M41="",Results!M6=""),"",IF(AND(M41=Results!M6,Results!M6&lt;&gt;Games!$C$29),1,0))</f>
        <v>0</v>
      </c>
      <c r="AU41" s="13">
        <f>IF(OR(N41="",Results!N6=""),"",IF(AND(N41=Results!N6,Results!N6&lt;&gt;Games!$C$30),1,0))</f>
        <v>0</v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 t="s">
        <v>196</v>
      </c>
      <c r="C42" s="5" t="s">
        <v>230</v>
      </c>
      <c r="D42" s="5" t="s">
        <v>232</v>
      </c>
      <c r="E42" s="5" t="s">
        <v>235</v>
      </c>
      <c r="F42" s="5" t="s">
        <v>238</v>
      </c>
      <c r="G42" s="5" t="s">
        <v>239</v>
      </c>
      <c r="H42" s="5" t="s">
        <v>242</v>
      </c>
      <c r="I42" s="5" t="s">
        <v>244</v>
      </c>
      <c r="J42" s="5" t="s">
        <v>245</v>
      </c>
      <c r="K42" s="5" t="s">
        <v>247</v>
      </c>
      <c r="L42" s="5" t="s">
        <v>249</v>
      </c>
      <c r="M42" s="5" t="s">
        <v>251</v>
      </c>
      <c r="N42" s="5" t="s">
        <v>253</v>
      </c>
      <c r="O42" s="5">
        <v>3</v>
      </c>
      <c r="P42" s="5">
        <v>8</v>
      </c>
      <c r="Q42" s="5">
        <v>10</v>
      </c>
      <c r="R42" s="5">
        <v>61</v>
      </c>
      <c r="S42" s="4">
        <f>IF(OR(B42="",Results!B6=""),"",IF(B42=Results!B6,1+IF(OR($O42=1,$P42=1,$Q42=1),1,0),0))</f>
        <v>1</v>
      </c>
      <c r="T42" s="4">
        <f>IF(OR(C42="",Results!C6=""),"",IF(C42=Results!C6,1+IF(OR($O42=2,$P42=2,$Q42=2),1,0),0))</f>
        <v>1</v>
      </c>
      <c r="U42" s="4">
        <f>IF(OR(D42="",Results!D6=""),"",IF(D42=Results!D6,1+IF(OR($O42=3,$P42=3,$Q42=3),1,0),0))</f>
        <v>0</v>
      </c>
      <c r="V42" s="4">
        <f>IF(OR(E42="",Results!E6=""),"",IF(E42=Results!E6,1+IF(OR($O42=4,$P42=4,$Q42=4),1,0),0))</f>
        <v>0</v>
      </c>
      <c r="W42" s="4">
        <f>IF(OR(F42="",Results!F6=""),"",IF(F42=Results!F6,1+IF(OR($O42=5,$P42=5,$Q42=5),1,0),0))</f>
        <v>1</v>
      </c>
      <c r="X42" s="4">
        <f>IF(OR(G42="",Results!G6=""),"",IF(G42=Results!G6,1+IF(OR($O42=6,$P42=6,$Q42=6),1,0),0))</f>
        <v>1</v>
      </c>
      <c r="Y42" s="4">
        <f>IF(OR(H42="",Results!H6=""),"",IF(H42=Results!H6,1+IF(OR($O42=7,$P42=7,$Q42=7),1,0),0))</f>
        <v>0</v>
      </c>
      <c r="Z42" s="4">
        <f>IF(OR(I42="",Results!I6=""),"",IF(I42=Results!I6,1+IF(OR($O42=8,$P42=8,$Q42=8),1,0),0))</f>
        <v>0</v>
      </c>
      <c r="AA42" s="4">
        <f>IF(OR(J42="",Results!J6=""),"",IF(J42=Results!J6,1+IF(OR($O42=9,$P42=9,$Q42=9),1,0),0))</f>
        <v>1</v>
      </c>
      <c r="AB42" s="4">
        <f>IF(OR(K42="",Results!K6=""),"",IF(K42=Results!K6,1+IF(OR($O42=10,$P42=10,$Q42=10),1,0),0))</f>
        <v>2</v>
      </c>
      <c r="AC42" s="4">
        <f>IF(OR(L42="",Results!L6=""),"",IF(L42=Results!L6,1+IF(OR($O42=11,$P42=11,$Q42=11),1,0),0))</f>
        <v>0</v>
      </c>
      <c r="AD42" s="4">
        <f>IF(OR(M42="",Results!M6=""),"",IF(M42=Results!M6,1+IF(OR($O42=12,$P42=12,$Q42=12),1,0),0))</f>
        <v>1</v>
      </c>
      <c r="AE42" s="4">
        <f>IF(OR(N42="",Results!N6=""),"",IF(N42=Results!N6,1+IF(OR($O42=13,$P42=13,$Q42=13),1,0),0))</f>
        <v>1</v>
      </c>
      <c r="AF42" s="11">
        <f t="shared" si="2"/>
        <v>9</v>
      </c>
      <c r="AG42" s="4" t="str">
        <f>IF(OR($R42="",Results!O6=""),"",ABS($R42-Results!O6))</f>
        <v/>
      </c>
      <c r="AH42" s="12">
        <v>21</v>
      </c>
      <c r="AI42" s="13">
        <f>IF(OR(B42="",Results!B6=""),"",IF(AND(B42=Results!B6,Results!B6&lt;&gt;Games!$C$18),1,0))</f>
        <v>0</v>
      </c>
      <c r="AJ42" s="13">
        <f>IF(OR(C42="",Results!C6=""),"",IF(AND(C42=Results!C6,Results!C6&lt;&gt;Games!$C$19),1,0))</f>
        <v>0</v>
      </c>
      <c r="AK42" s="13">
        <f>IF(OR(D42="",Results!D6=""),"",IF(AND(D42=Results!D6,Results!D6&lt;&gt;Games!$C$20),1,0))</f>
        <v>0</v>
      </c>
      <c r="AL42" s="13">
        <f>IF(OR(E42="",Results!E6=""),"",IF(AND(E42=Results!E6,Results!E6&lt;&gt;Games!$C$21),1,0))</f>
        <v>0</v>
      </c>
      <c r="AM42" s="13">
        <f>IF(OR(F42="",Results!F6=""),"",IF(AND(F42=Results!F6,Results!F6&lt;&gt;Games!$C$22),1,0))</f>
        <v>1</v>
      </c>
      <c r="AN42" s="13">
        <f>IF(OR(G42="",Results!G6=""),"",IF(AND(G42=Results!G6,Results!G6&lt;&gt;Games!$C$23),1,0))</f>
        <v>0</v>
      </c>
      <c r="AO42" s="13">
        <f>IF(OR(H42="",Results!H6=""),"",IF(AND(H42=Results!H6,Results!H6&lt;&gt;Games!$C$24),1,0))</f>
        <v>0</v>
      </c>
      <c r="AP42" s="13">
        <f>IF(OR(I42="",Results!I6=""),"",IF(AND(I42=Results!I6,Results!I6&lt;&gt;Games!$C$25),1,0))</f>
        <v>0</v>
      </c>
      <c r="AQ42" s="13">
        <f>IF(OR(J42="",Results!J6=""),"",IF(AND(J42=Results!J6,Results!J6&lt;&gt;Games!$C$26),1,0))</f>
        <v>0</v>
      </c>
      <c r="AR42" s="13">
        <f>IF(OR(K42="",Results!K6=""),"",IF(AND(K42=Results!K6,Results!K6&lt;&gt;Games!$C$27),1,0))</f>
        <v>0</v>
      </c>
      <c r="AS42" s="13">
        <f>IF(OR(L42="",Results!L6=""),"",IF(AND(L42=Results!L6,Results!L6&lt;&gt;Games!$C$28),1,0))</f>
        <v>0</v>
      </c>
      <c r="AT42" s="13">
        <f>IF(OR(M42="",Results!M6=""),"",IF(AND(M42=Results!M6,Results!M6&lt;&gt;Games!$C$29),1,0))</f>
        <v>0</v>
      </c>
      <c r="AU42" s="13">
        <f>IF(OR(N42="",Results!N6=""),"",IF(AND(N42=Results!N6,Results!N6&lt;&gt;Games!$C$30),1,0))</f>
        <v>0</v>
      </c>
      <c r="AV42" s="14">
        <f t="shared" si="3"/>
        <v>1</v>
      </c>
    </row>
    <row r="43" spans="1:48" ht="15" customHeight="1" x14ac:dyDescent="0.25">
      <c r="A43" s="4" t="str">
        <f>INDEX(Players!$D$6:$D$69,MATCH(22,Players!$A$6:$A$69,0))</f>
        <v>Lynn P.</v>
      </c>
      <c r="B43" s="5" t="s">
        <v>196</v>
      </c>
      <c r="C43" s="5" t="s">
        <v>230</v>
      </c>
      <c r="D43" s="5" t="s">
        <v>232</v>
      </c>
      <c r="E43" s="5" t="s">
        <v>234</v>
      </c>
      <c r="F43" s="5" t="s">
        <v>237</v>
      </c>
      <c r="G43" s="5" t="s">
        <v>240</v>
      </c>
      <c r="H43" s="5" t="s">
        <v>242</v>
      </c>
      <c r="I43" s="5" t="s">
        <v>244</v>
      </c>
      <c r="J43" s="5" t="s">
        <v>245</v>
      </c>
      <c r="K43" s="5" t="s">
        <v>247</v>
      </c>
      <c r="L43" s="5" t="s">
        <v>249</v>
      </c>
      <c r="M43" s="5" t="s">
        <v>252</v>
      </c>
      <c r="N43" s="5" t="s">
        <v>253</v>
      </c>
      <c r="O43" s="5">
        <v>8</v>
      </c>
      <c r="P43" s="5">
        <v>10</v>
      </c>
      <c r="Q43" s="5">
        <v>11</v>
      </c>
      <c r="R43" s="5">
        <v>53</v>
      </c>
      <c r="S43" s="4">
        <f>IF(OR(B43="",Results!B6=""),"",IF(B43=Results!B6,1+IF(OR($O43=1,$P43=1,$Q43=1),1,0),0))</f>
        <v>1</v>
      </c>
      <c r="T43" s="4">
        <f>IF(OR(C43="",Results!C6=""),"",IF(C43=Results!C6,1+IF(OR($O43=2,$P43=2,$Q43=2),1,0),0))</f>
        <v>1</v>
      </c>
      <c r="U43" s="4">
        <f>IF(OR(D43="",Results!D6=""),"",IF(D43=Results!D6,1+IF(OR($O43=3,$P43=3,$Q43=3),1,0),0))</f>
        <v>0</v>
      </c>
      <c r="V43" s="4">
        <f>IF(OR(E43="",Results!E6=""),"",IF(E43=Results!E6,1+IF(OR($O43=4,$P43=4,$Q43=4),1,0),0))</f>
        <v>1</v>
      </c>
      <c r="W43" s="4">
        <f>IF(OR(F43="",Results!F6=""),"",IF(F43=Results!F6,1+IF(OR($O43=5,$P43=5,$Q43=5),1,0),0))</f>
        <v>0</v>
      </c>
      <c r="X43" s="4">
        <f>IF(OR(G43="",Results!G6=""),"",IF(G43=Results!G6,1+IF(OR($O43=6,$P43=6,$Q43=6),1,0),0))</f>
        <v>0</v>
      </c>
      <c r="Y43" s="4">
        <f>IF(OR(H43="",Results!H6=""),"",IF(H43=Results!H6,1+IF(OR($O43=7,$P43=7,$Q43=7),1,0),0))</f>
        <v>0</v>
      </c>
      <c r="Z43" s="4">
        <f>IF(OR(I43="",Results!I6=""),"",IF(I43=Results!I6,1+IF(OR($O43=8,$P43=8,$Q43=8),1,0),0))</f>
        <v>0</v>
      </c>
      <c r="AA43" s="4">
        <f>IF(OR(J43="",Results!J6=""),"",IF(J43=Results!J6,1+IF(OR($O43=9,$P43=9,$Q43=9),1,0),0))</f>
        <v>1</v>
      </c>
      <c r="AB43" s="4">
        <f>IF(OR(K43="",Results!K6=""),"",IF(K43=Results!K6,1+IF(OR($O43=10,$P43=10,$Q43=10),1,0),0))</f>
        <v>2</v>
      </c>
      <c r="AC43" s="4">
        <f>IF(OR(L43="",Results!L6=""),"",IF(L43=Results!L6,1+IF(OR($O43=11,$P43=11,$Q43=11),1,0),0))</f>
        <v>0</v>
      </c>
      <c r="AD43" s="4">
        <f>IF(OR(M43="",Results!M6=""),"",IF(M43=Results!M6,1+IF(OR($O43=12,$P43=12,$Q43=12),1,0),0))</f>
        <v>0</v>
      </c>
      <c r="AE43" s="4">
        <f>IF(OR(N43="",Results!N6=""),"",IF(N43=Results!N6,1+IF(OR($O43=13,$P43=13,$Q43=13),1,0),0))</f>
        <v>1</v>
      </c>
      <c r="AF43" s="11">
        <f t="shared" si="2"/>
        <v>7</v>
      </c>
      <c r="AG43" s="4" t="str">
        <f>IF(OR($R43="",Results!O6=""),"",ABS($R43-Results!O6))</f>
        <v/>
      </c>
      <c r="AH43" s="12">
        <v>22</v>
      </c>
      <c r="AI43" s="13">
        <f>IF(OR(B43="",Results!B6=""),"",IF(AND(B43=Results!B6,Results!B6&lt;&gt;Games!$C$18),1,0))</f>
        <v>0</v>
      </c>
      <c r="AJ43" s="13">
        <f>IF(OR(C43="",Results!C6=""),"",IF(AND(C43=Results!C6,Results!C6&lt;&gt;Games!$C$19),1,0))</f>
        <v>0</v>
      </c>
      <c r="AK43" s="13">
        <f>IF(OR(D43="",Results!D6=""),"",IF(AND(D43=Results!D6,Results!D6&lt;&gt;Games!$C$20),1,0))</f>
        <v>0</v>
      </c>
      <c r="AL43" s="13">
        <f>IF(OR(E43="",Results!E6=""),"",IF(AND(E43=Results!E6,Results!E6&lt;&gt;Games!$C$21),1,0))</f>
        <v>0</v>
      </c>
      <c r="AM43" s="13">
        <f>IF(OR(F43="",Results!F6=""),"",IF(AND(F43=Results!F6,Results!F6&lt;&gt;Games!$C$22),1,0))</f>
        <v>0</v>
      </c>
      <c r="AN43" s="13">
        <f>IF(OR(G43="",Results!G6=""),"",IF(AND(G43=Results!G6,Results!G6&lt;&gt;Games!$C$23),1,0))</f>
        <v>0</v>
      </c>
      <c r="AO43" s="13">
        <f>IF(OR(H43="",Results!H6=""),"",IF(AND(H43=Results!H6,Results!H6&lt;&gt;Games!$C$24),1,0))</f>
        <v>0</v>
      </c>
      <c r="AP43" s="13">
        <f>IF(OR(I43="",Results!I6=""),"",IF(AND(I43=Results!I6,Results!I6&lt;&gt;Games!$C$25),1,0))</f>
        <v>0</v>
      </c>
      <c r="AQ43" s="13">
        <f>IF(OR(J43="",Results!J6=""),"",IF(AND(J43=Results!J6,Results!J6&lt;&gt;Games!$C$26),1,0))</f>
        <v>0</v>
      </c>
      <c r="AR43" s="13">
        <f>IF(OR(K43="",Results!K6=""),"",IF(AND(K43=Results!K6,Results!K6&lt;&gt;Games!$C$27),1,0))</f>
        <v>0</v>
      </c>
      <c r="AS43" s="13">
        <f>IF(OR(L43="",Results!L6=""),"",IF(AND(L43=Results!L6,Results!L6&lt;&gt;Games!$C$28),1,0))</f>
        <v>0</v>
      </c>
      <c r="AT43" s="13">
        <f>IF(OR(M43="",Results!M6=""),"",IF(AND(M43=Results!M6,Results!M6&lt;&gt;Games!$C$29),1,0))</f>
        <v>0</v>
      </c>
      <c r="AU43" s="13">
        <f>IF(OR(N43="",Results!N6=""),"",IF(AND(N43=Results!N6,Results!N6&lt;&gt;Games!$C$30),1,0))</f>
        <v>0</v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 t="s">
        <v>196</v>
      </c>
      <c r="C44" s="5" t="s">
        <v>230</v>
      </c>
      <c r="D44" s="5" t="s">
        <v>232</v>
      </c>
      <c r="E44" s="5" t="s">
        <v>234</v>
      </c>
      <c r="F44" s="5" t="s">
        <v>237</v>
      </c>
      <c r="G44" s="5" t="s">
        <v>239</v>
      </c>
      <c r="H44" s="5" t="s">
        <v>242</v>
      </c>
      <c r="I44" s="5" t="s">
        <v>244</v>
      </c>
      <c r="J44" s="5" t="s">
        <v>245</v>
      </c>
      <c r="K44" s="5" t="s">
        <v>247</v>
      </c>
      <c r="L44" s="5" t="s">
        <v>249</v>
      </c>
      <c r="M44" s="5" t="s">
        <v>251</v>
      </c>
      <c r="N44" s="5" t="s">
        <v>253</v>
      </c>
      <c r="O44" s="5">
        <v>3</v>
      </c>
      <c r="P44" s="5">
        <v>9</v>
      </c>
      <c r="Q44" s="5">
        <v>10</v>
      </c>
      <c r="R44" s="5">
        <v>57</v>
      </c>
      <c r="S44" s="4">
        <f>IF(OR(B44="",Results!B6=""),"",IF(B44=Results!B6,1+IF(OR($O44=1,$P44=1,$Q44=1),1,0),0))</f>
        <v>1</v>
      </c>
      <c r="T44" s="4">
        <f>IF(OR(C44="",Results!C6=""),"",IF(C44=Results!C6,1+IF(OR($O44=2,$P44=2,$Q44=2),1,0),0))</f>
        <v>1</v>
      </c>
      <c r="U44" s="4">
        <f>IF(OR(D44="",Results!D6=""),"",IF(D44=Results!D6,1+IF(OR($O44=3,$P44=3,$Q44=3),1,0),0))</f>
        <v>0</v>
      </c>
      <c r="V44" s="4">
        <f>IF(OR(E44="",Results!E6=""),"",IF(E44=Results!E6,1+IF(OR($O44=4,$P44=4,$Q44=4),1,0),0))</f>
        <v>1</v>
      </c>
      <c r="W44" s="4">
        <f>IF(OR(F44="",Results!F6=""),"",IF(F44=Results!F6,1+IF(OR($O44=5,$P44=5,$Q44=5),1,0),0))</f>
        <v>0</v>
      </c>
      <c r="X44" s="4">
        <f>IF(OR(G44="",Results!G6=""),"",IF(G44=Results!G6,1+IF(OR($O44=6,$P44=6,$Q44=6),1,0),0))</f>
        <v>1</v>
      </c>
      <c r="Y44" s="4">
        <f>IF(OR(H44="",Results!H6=""),"",IF(H44=Results!H6,1+IF(OR($O44=7,$P44=7,$Q44=7),1,0),0))</f>
        <v>0</v>
      </c>
      <c r="Z44" s="4">
        <f>IF(OR(I44="",Results!I6=""),"",IF(I44=Results!I6,1+IF(OR($O44=8,$P44=8,$Q44=8),1,0),0))</f>
        <v>0</v>
      </c>
      <c r="AA44" s="4">
        <f>IF(OR(J44="",Results!J6=""),"",IF(J44=Results!J6,1+IF(OR($O44=9,$P44=9,$Q44=9),1,0),0))</f>
        <v>2</v>
      </c>
      <c r="AB44" s="4">
        <f>IF(OR(K44="",Results!K6=""),"",IF(K44=Results!K6,1+IF(OR($O44=10,$P44=10,$Q44=10),1,0),0))</f>
        <v>2</v>
      </c>
      <c r="AC44" s="4">
        <f>IF(OR(L44="",Results!L6=""),"",IF(L44=Results!L6,1+IF(OR($O44=11,$P44=11,$Q44=11),1,0),0))</f>
        <v>0</v>
      </c>
      <c r="AD44" s="4">
        <f>IF(OR(M44="",Results!M6=""),"",IF(M44=Results!M6,1+IF(OR($O44=12,$P44=12,$Q44=12),1,0),0))</f>
        <v>1</v>
      </c>
      <c r="AE44" s="4">
        <f>IF(OR(N44="",Results!N6=""),"",IF(N44=Results!N6,1+IF(OR($O44=13,$P44=13,$Q44=13),1,0),0))</f>
        <v>1</v>
      </c>
      <c r="AF44" s="11">
        <f t="shared" si="2"/>
        <v>10</v>
      </c>
      <c r="AG44" s="4" t="str">
        <f>IF(OR($R44="",Results!O6=""),"",ABS($R44-Results!O6))</f>
        <v/>
      </c>
      <c r="AH44" s="12">
        <v>23</v>
      </c>
      <c r="AI44" s="13">
        <f>IF(OR(B44="",Results!B6=""),"",IF(AND(B44=Results!B6,Results!B6&lt;&gt;Games!$C$18),1,0))</f>
        <v>0</v>
      </c>
      <c r="AJ44" s="13">
        <f>IF(OR(C44="",Results!C6=""),"",IF(AND(C44=Results!C6,Results!C6&lt;&gt;Games!$C$19),1,0))</f>
        <v>0</v>
      </c>
      <c r="AK44" s="13">
        <f>IF(OR(D44="",Results!D6=""),"",IF(AND(D44=Results!D6,Results!D6&lt;&gt;Games!$C$20),1,0))</f>
        <v>0</v>
      </c>
      <c r="AL44" s="13">
        <f>IF(OR(E44="",Results!E6=""),"",IF(AND(E44=Results!E6,Results!E6&lt;&gt;Games!$C$21),1,0))</f>
        <v>0</v>
      </c>
      <c r="AM44" s="13">
        <f>IF(OR(F44="",Results!F6=""),"",IF(AND(F44=Results!F6,Results!F6&lt;&gt;Games!$C$22),1,0))</f>
        <v>0</v>
      </c>
      <c r="AN44" s="13">
        <f>IF(OR(G44="",Results!G6=""),"",IF(AND(G44=Results!G6,Results!G6&lt;&gt;Games!$C$23),1,0))</f>
        <v>0</v>
      </c>
      <c r="AO44" s="13">
        <f>IF(OR(H44="",Results!H6=""),"",IF(AND(H44=Results!H6,Results!H6&lt;&gt;Games!$C$24),1,0))</f>
        <v>0</v>
      </c>
      <c r="AP44" s="13">
        <f>IF(OR(I44="",Results!I6=""),"",IF(AND(I44=Results!I6,Results!I6&lt;&gt;Games!$C$25),1,0))</f>
        <v>0</v>
      </c>
      <c r="AQ44" s="13">
        <f>IF(OR(J44="",Results!J6=""),"",IF(AND(J44=Results!J6,Results!J6&lt;&gt;Games!$C$26),1,0))</f>
        <v>0</v>
      </c>
      <c r="AR44" s="13">
        <f>IF(OR(K44="",Results!K6=""),"",IF(AND(K44=Results!K6,Results!K6&lt;&gt;Games!$C$27),1,0))</f>
        <v>0</v>
      </c>
      <c r="AS44" s="13">
        <f>IF(OR(L44="",Results!L6=""),"",IF(AND(L44=Results!L6,Results!L6&lt;&gt;Games!$C$28),1,0))</f>
        <v>0</v>
      </c>
      <c r="AT44" s="13">
        <f>IF(OR(M44="",Results!M6=""),"",IF(AND(M44=Results!M6,Results!M6&lt;&gt;Games!$C$29),1,0))</f>
        <v>0</v>
      </c>
      <c r="AU44" s="13">
        <f>IF(OR(N44="",Results!N6=""),"",IF(AND(N44=Results!N6,Results!N6&lt;&gt;Games!$C$30),1,0))</f>
        <v>0</v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 t="s">
        <v>196</v>
      </c>
      <c r="C45" s="5" t="s">
        <v>230</v>
      </c>
      <c r="D45" s="5" t="s">
        <v>232</v>
      </c>
      <c r="E45" s="5" t="s">
        <v>234</v>
      </c>
      <c r="F45" s="5" t="s">
        <v>237</v>
      </c>
      <c r="G45" s="5" t="s">
        <v>239</v>
      </c>
      <c r="H45" s="5" t="s">
        <v>242</v>
      </c>
      <c r="I45" s="5" t="s">
        <v>244</v>
      </c>
      <c r="J45" s="5" t="s">
        <v>245</v>
      </c>
      <c r="K45" s="5" t="s">
        <v>247</v>
      </c>
      <c r="L45" s="5" t="s">
        <v>249</v>
      </c>
      <c r="M45" s="5" t="s">
        <v>251</v>
      </c>
      <c r="N45" s="5" t="s">
        <v>253</v>
      </c>
      <c r="O45" s="5">
        <v>2</v>
      </c>
      <c r="P45" s="5">
        <v>3</v>
      </c>
      <c r="Q45" s="5">
        <v>8</v>
      </c>
      <c r="R45" s="5">
        <v>57</v>
      </c>
      <c r="S45" s="4">
        <f>IF(OR(B45="",Results!B6=""),"",IF(B45=Results!B6,1+IF(OR($O45=1,$P45=1,$Q45=1),1,0),0))</f>
        <v>1</v>
      </c>
      <c r="T45" s="4">
        <f>IF(OR(C45="",Results!C6=""),"",IF(C45=Results!C6,1+IF(OR($O45=2,$P45=2,$Q45=2),1,0),0))</f>
        <v>2</v>
      </c>
      <c r="U45" s="4">
        <f>IF(OR(D45="",Results!D6=""),"",IF(D45=Results!D6,1+IF(OR($O45=3,$P45=3,$Q45=3),1,0),0))</f>
        <v>0</v>
      </c>
      <c r="V45" s="4">
        <f>IF(OR(E45="",Results!E6=""),"",IF(E45=Results!E6,1+IF(OR($O45=4,$P45=4,$Q45=4),1,0),0))</f>
        <v>1</v>
      </c>
      <c r="W45" s="4">
        <f>IF(OR(F45="",Results!F6=""),"",IF(F45=Results!F6,1+IF(OR($O45=5,$P45=5,$Q45=5),1,0),0))</f>
        <v>0</v>
      </c>
      <c r="X45" s="4">
        <f>IF(OR(G45="",Results!G6=""),"",IF(G45=Results!G6,1+IF(OR($O45=6,$P45=6,$Q45=6),1,0),0))</f>
        <v>1</v>
      </c>
      <c r="Y45" s="4">
        <f>IF(OR(H45="",Results!H6=""),"",IF(H45=Results!H6,1+IF(OR($O45=7,$P45=7,$Q45=7),1,0),0))</f>
        <v>0</v>
      </c>
      <c r="Z45" s="4">
        <f>IF(OR(I45="",Results!I6=""),"",IF(I45=Results!I6,1+IF(OR($O45=8,$P45=8,$Q45=8),1,0),0))</f>
        <v>0</v>
      </c>
      <c r="AA45" s="4">
        <f>IF(OR(J45="",Results!J6=""),"",IF(J45=Results!J6,1+IF(OR($O45=9,$P45=9,$Q45=9),1,0),0))</f>
        <v>1</v>
      </c>
      <c r="AB45" s="4">
        <f>IF(OR(K45="",Results!K6=""),"",IF(K45=Results!K6,1+IF(OR($O45=10,$P45=10,$Q45=10),1,0),0))</f>
        <v>1</v>
      </c>
      <c r="AC45" s="4">
        <f>IF(OR(L45="",Results!L6=""),"",IF(L45=Results!L6,1+IF(OR($O45=11,$P45=11,$Q45=11),1,0),0))</f>
        <v>0</v>
      </c>
      <c r="AD45" s="4">
        <f>IF(OR(M45="",Results!M6=""),"",IF(M45=Results!M6,1+IF(OR($O45=12,$P45=12,$Q45=12),1,0),0))</f>
        <v>1</v>
      </c>
      <c r="AE45" s="4">
        <f>IF(OR(N45="",Results!N6=""),"",IF(N45=Results!N6,1+IF(OR($O45=13,$P45=13,$Q45=13),1,0),0))</f>
        <v>1</v>
      </c>
      <c r="AF45" s="11">
        <f t="shared" si="2"/>
        <v>9</v>
      </c>
      <c r="AG45" s="4" t="str">
        <f>IF(OR($R45="",Results!O6=""),"",ABS($R45-Results!O6))</f>
        <v/>
      </c>
      <c r="AH45" s="12">
        <v>24</v>
      </c>
      <c r="AI45" s="13">
        <f>IF(OR(B45="",Results!B6=""),"",IF(AND(B45=Results!B6,Results!B6&lt;&gt;Games!$C$18),1,0))</f>
        <v>0</v>
      </c>
      <c r="AJ45" s="13">
        <f>IF(OR(C45="",Results!C6=""),"",IF(AND(C45=Results!C6,Results!C6&lt;&gt;Games!$C$19),1,0))</f>
        <v>0</v>
      </c>
      <c r="AK45" s="13">
        <f>IF(OR(D45="",Results!D6=""),"",IF(AND(D45=Results!D6,Results!D6&lt;&gt;Games!$C$20),1,0))</f>
        <v>0</v>
      </c>
      <c r="AL45" s="13">
        <f>IF(OR(E45="",Results!E6=""),"",IF(AND(E45=Results!E6,Results!E6&lt;&gt;Games!$C$21),1,0))</f>
        <v>0</v>
      </c>
      <c r="AM45" s="13">
        <f>IF(OR(F45="",Results!F6=""),"",IF(AND(F45=Results!F6,Results!F6&lt;&gt;Games!$C$22),1,0))</f>
        <v>0</v>
      </c>
      <c r="AN45" s="13">
        <f>IF(OR(G45="",Results!G6=""),"",IF(AND(G45=Results!G6,Results!G6&lt;&gt;Games!$C$23),1,0))</f>
        <v>0</v>
      </c>
      <c r="AO45" s="13">
        <f>IF(OR(H45="",Results!H6=""),"",IF(AND(H45=Results!H6,Results!H6&lt;&gt;Games!$C$24),1,0))</f>
        <v>0</v>
      </c>
      <c r="AP45" s="13">
        <f>IF(OR(I45="",Results!I6=""),"",IF(AND(I45=Results!I6,Results!I6&lt;&gt;Games!$C$25),1,0))</f>
        <v>0</v>
      </c>
      <c r="AQ45" s="13">
        <f>IF(OR(J45="",Results!J6=""),"",IF(AND(J45=Results!J6,Results!J6&lt;&gt;Games!$C$26),1,0))</f>
        <v>0</v>
      </c>
      <c r="AR45" s="13">
        <f>IF(OR(K45="",Results!K6=""),"",IF(AND(K45=Results!K6,Results!K6&lt;&gt;Games!$C$27),1,0))</f>
        <v>0</v>
      </c>
      <c r="AS45" s="13">
        <f>IF(OR(L45="",Results!L6=""),"",IF(AND(L45=Results!L6,Results!L6&lt;&gt;Games!$C$28),1,0))</f>
        <v>0</v>
      </c>
      <c r="AT45" s="13">
        <f>IF(OR(M45="",Results!M6=""),"",IF(AND(M45=Results!M6,Results!M6&lt;&gt;Games!$C$29),1,0))</f>
        <v>0</v>
      </c>
      <c r="AU45" s="13">
        <f>IF(OR(N45="",Results!N6=""),"",IF(AND(N45=Results!N6,Results!N6&lt;&gt;Games!$C$30),1,0))</f>
        <v>0</v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 t="s">
        <v>196</v>
      </c>
      <c r="C46" s="5" t="s">
        <v>230</v>
      </c>
      <c r="D46" s="5" t="s">
        <v>232</v>
      </c>
      <c r="E46" s="5" t="s">
        <v>235</v>
      </c>
      <c r="F46" s="5" t="s">
        <v>238</v>
      </c>
      <c r="G46" s="5" t="s">
        <v>239</v>
      </c>
      <c r="H46" s="5" t="s">
        <v>242</v>
      </c>
      <c r="I46" s="5" t="s">
        <v>244</v>
      </c>
      <c r="J46" s="5" t="s">
        <v>245</v>
      </c>
      <c r="K46" s="5" t="s">
        <v>247</v>
      </c>
      <c r="L46" s="5" t="s">
        <v>249</v>
      </c>
      <c r="M46" s="5" t="s">
        <v>252</v>
      </c>
      <c r="N46" s="5" t="s">
        <v>254</v>
      </c>
      <c r="O46" s="5">
        <v>3</v>
      </c>
      <c r="P46" s="5">
        <v>9</v>
      </c>
      <c r="Q46" s="5">
        <v>10</v>
      </c>
      <c r="R46" s="5">
        <v>62</v>
      </c>
      <c r="S46" s="4">
        <f>IF(OR(B46="",Results!B6=""),"",IF(B46=Results!B6,1+IF(OR($O46=1,$P46=1,$Q46=1),1,0),0))</f>
        <v>1</v>
      </c>
      <c r="T46" s="4">
        <f>IF(OR(C46="",Results!C6=""),"",IF(C46=Results!C6,1+IF(OR($O46=2,$P46=2,$Q46=2),1,0),0))</f>
        <v>1</v>
      </c>
      <c r="U46" s="4">
        <f>IF(OR(D46="",Results!D6=""),"",IF(D46=Results!D6,1+IF(OR($O46=3,$P46=3,$Q46=3),1,0),0))</f>
        <v>0</v>
      </c>
      <c r="V46" s="4">
        <f>IF(OR(E46="",Results!E6=""),"",IF(E46=Results!E6,1+IF(OR($O46=4,$P46=4,$Q46=4),1,0),0))</f>
        <v>0</v>
      </c>
      <c r="W46" s="4">
        <f>IF(OR(F46="",Results!F6=""),"",IF(F46=Results!F6,1+IF(OR($O46=5,$P46=5,$Q46=5),1,0),0))</f>
        <v>1</v>
      </c>
      <c r="X46" s="4">
        <f>IF(OR(G46="",Results!G6=""),"",IF(G46=Results!G6,1+IF(OR($O46=6,$P46=6,$Q46=6),1,0),0))</f>
        <v>1</v>
      </c>
      <c r="Y46" s="4">
        <f>IF(OR(H46="",Results!H6=""),"",IF(H46=Results!H6,1+IF(OR($O46=7,$P46=7,$Q46=7),1,0),0))</f>
        <v>0</v>
      </c>
      <c r="Z46" s="4">
        <f>IF(OR(I46="",Results!I6=""),"",IF(I46=Results!I6,1+IF(OR($O46=8,$P46=8,$Q46=8),1,0),0))</f>
        <v>0</v>
      </c>
      <c r="AA46" s="4">
        <f>IF(OR(J46="",Results!J6=""),"",IF(J46=Results!J6,1+IF(OR($O46=9,$P46=9,$Q46=9),1,0),0))</f>
        <v>2</v>
      </c>
      <c r="AB46" s="4">
        <f>IF(OR(K46="",Results!K6=""),"",IF(K46=Results!K6,1+IF(OR($O46=10,$P46=10,$Q46=10),1,0),0))</f>
        <v>2</v>
      </c>
      <c r="AC46" s="4">
        <f>IF(OR(L46="",Results!L6=""),"",IF(L46=Results!L6,1+IF(OR($O46=11,$P46=11,$Q46=11),1,0),0))</f>
        <v>0</v>
      </c>
      <c r="AD46" s="4">
        <f>IF(OR(M46="",Results!M6=""),"",IF(M46=Results!M6,1+IF(OR($O46=12,$P46=12,$Q46=12),1,0),0))</f>
        <v>0</v>
      </c>
      <c r="AE46" s="4">
        <f>IF(OR(N46="",Results!N6=""),"",IF(N46=Results!N6,1+IF(OR($O46=13,$P46=13,$Q46=13),1,0),0))</f>
        <v>0</v>
      </c>
      <c r="AF46" s="11">
        <f t="shared" si="2"/>
        <v>8</v>
      </c>
      <c r="AG46" s="4" t="str">
        <f>IF(OR($R46="",Results!O6=""),"",ABS($R46-Results!O6))</f>
        <v/>
      </c>
      <c r="AH46" s="12">
        <v>36</v>
      </c>
      <c r="AI46" s="13">
        <f>IF(OR(B46="",Results!B6=""),"",IF(AND(B46=Results!B6,Results!B6&lt;&gt;Games!$C$18),1,0))</f>
        <v>0</v>
      </c>
      <c r="AJ46" s="13">
        <f>IF(OR(C46="",Results!C6=""),"",IF(AND(C46=Results!C6,Results!C6&lt;&gt;Games!$C$19),1,0))</f>
        <v>0</v>
      </c>
      <c r="AK46" s="13">
        <f>IF(OR(D46="",Results!D6=""),"",IF(AND(D46=Results!D6,Results!D6&lt;&gt;Games!$C$20),1,0))</f>
        <v>0</v>
      </c>
      <c r="AL46" s="13">
        <f>IF(OR(E46="",Results!E6=""),"",IF(AND(E46=Results!E6,Results!E6&lt;&gt;Games!$C$21),1,0))</f>
        <v>0</v>
      </c>
      <c r="AM46" s="13">
        <f>IF(OR(F46="",Results!F6=""),"",IF(AND(F46=Results!F6,Results!F6&lt;&gt;Games!$C$22),1,0))</f>
        <v>1</v>
      </c>
      <c r="AN46" s="13">
        <f>IF(OR(G46="",Results!G6=""),"",IF(AND(G46=Results!G6,Results!G6&lt;&gt;Games!$C$23),1,0))</f>
        <v>0</v>
      </c>
      <c r="AO46" s="13">
        <f>IF(OR(H46="",Results!H6=""),"",IF(AND(H46=Results!H6,Results!H6&lt;&gt;Games!$C$24),1,0))</f>
        <v>0</v>
      </c>
      <c r="AP46" s="13">
        <f>IF(OR(I46="",Results!I6=""),"",IF(AND(I46=Results!I6,Results!I6&lt;&gt;Games!$C$25),1,0))</f>
        <v>0</v>
      </c>
      <c r="AQ46" s="13">
        <f>IF(OR(J46="",Results!J6=""),"",IF(AND(J46=Results!J6,Results!J6&lt;&gt;Games!$C$26),1,0))</f>
        <v>0</v>
      </c>
      <c r="AR46" s="13">
        <f>IF(OR(K46="",Results!K6=""),"",IF(AND(K46=Results!K6,Results!K6&lt;&gt;Games!$C$27),1,0))</f>
        <v>0</v>
      </c>
      <c r="AS46" s="13">
        <f>IF(OR(L46="",Results!L6=""),"",IF(AND(L46=Results!L6,Results!L6&lt;&gt;Games!$C$28),1,0))</f>
        <v>0</v>
      </c>
      <c r="AT46" s="13">
        <f>IF(OR(M46="",Results!M6=""),"",IF(AND(M46=Results!M6,Results!M6&lt;&gt;Games!$C$29),1,0))</f>
        <v>0</v>
      </c>
      <c r="AU46" s="13">
        <f>IF(OR(N46="",Results!N6=""),"",IF(AND(N46=Results!N6,Results!N6&lt;&gt;Games!$C$30),1,0))</f>
        <v>0</v>
      </c>
      <c r="AV46" s="14">
        <f t="shared" si="3"/>
        <v>1</v>
      </c>
    </row>
    <row r="47" spans="1:48" ht="15" customHeight="1" x14ac:dyDescent="0.25">
      <c r="A47" s="4" t="str">
        <f>INDEX(Players!$D$6:$D$69,MATCH(25,Players!$A$6:$A$69,0))</f>
        <v>Max R.</v>
      </c>
      <c r="B47" s="5" t="s">
        <v>196</v>
      </c>
      <c r="C47" s="5" t="s">
        <v>230</v>
      </c>
      <c r="D47" s="5" t="s">
        <v>232</v>
      </c>
      <c r="E47" s="5" t="s">
        <v>235</v>
      </c>
      <c r="F47" s="5" t="s">
        <v>238</v>
      </c>
      <c r="G47" s="5" t="s">
        <v>239</v>
      </c>
      <c r="H47" s="5" t="s">
        <v>242</v>
      </c>
      <c r="I47" s="5" t="s">
        <v>199</v>
      </c>
      <c r="J47" s="5" t="s">
        <v>245</v>
      </c>
      <c r="K47" s="5" t="s">
        <v>247</v>
      </c>
      <c r="L47" s="5" t="s">
        <v>249</v>
      </c>
      <c r="M47" s="5" t="s">
        <v>252</v>
      </c>
      <c r="N47" s="5" t="s">
        <v>253</v>
      </c>
      <c r="O47" s="5">
        <v>3</v>
      </c>
      <c r="P47" s="5">
        <v>10</v>
      </c>
      <c r="Q47" s="5">
        <v>12</v>
      </c>
      <c r="R47" s="5">
        <v>55</v>
      </c>
      <c r="S47" s="4">
        <f>IF(OR(B47="",Results!B6=""),"",IF(B47=Results!B6,1+IF(OR($O47=1,$P47=1,$Q47=1),1,0),0))</f>
        <v>1</v>
      </c>
      <c r="T47" s="4">
        <f>IF(OR(C47="",Results!C6=""),"",IF(C47=Results!C6,1+IF(OR($O47=2,$P47=2,$Q47=2),1,0),0))</f>
        <v>1</v>
      </c>
      <c r="U47" s="4">
        <f>IF(OR(D47="",Results!D6=""),"",IF(D47=Results!D6,1+IF(OR($O47=3,$P47=3,$Q47=3),1,0),0))</f>
        <v>0</v>
      </c>
      <c r="V47" s="4">
        <f>IF(OR(E47="",Results!E6=""),"",IF(E47=Results!E6,1+IF(OR($O47=4,$P47=4,$Q47=4),1,0),0))</f>
        <v>0</v>
      </c>
      <c r="W47" s="4">
        <f>IF(OR(F47="",Results!F6=""),"",IF(F47=Results!F6,1+IF(OR($O47=5,$P47=5,$Q47=5),1,0),0))</f>
        <v>1</v>
      </c>
      <c r="X47" s="4">
        <f>IF(OR(G47="",Results!G6=""),"",IF(G47=Results!G6,1+IF(OR($O47=6,$P47=6,$Q47=6),1,0),0))</f>
        <v>1</v>
      </c>
      <c r="Y47" s="4">
        <f>IF(OR(H47="",Results!H6=""),"",IF(H47=Results!H6,1+IF(OR($O47=7,$P47=7,$Q47=7),1,0),0))</f>
        <v>0</v>
      </c>
      <c r="Z47" s="4">
        <f>IF(OR(I47="",Results!I6=""),"",IF(I47=Results!I6,1+IF(OR($O47=8,$P47=8,$Q47=8),1,0),0))</f>
        <v>1</v>
      </c>
      <c r="AA47" s="4">
        <f>IF(OR(J47="",Results!J6=""),"",IF(J47=Results!J6,1+IF(OR($O47=9,$P47=9,$Q47=9),1,0),0))</f>
        <v>1</v>
      </c>
      <c r="AB47" s="4">
        <f>IF(OR(K47="",Results!K6=""),"",IF(K47=Results!K6,1+IF(OR($O47=10,$P47=10,$Q47=10),1,0),0))</f>
        <v>2</v>
      </c>
      <c r="AC47" s="4">
        <f>IF(OR(L47="",Results!L6=""),"",IF(L47=Results!L6,1+IF(OR($O47=11,$P47=11,$Q47=11),1,0),0))</f>
        <v>0</v>
      </c>
      <c r="AD47" s="4">
        <f>IF(OR(M47="",Results!M6=""),"",IF(M47=Results!M6,1+IF(OR($O47=12,$P47=12,$Q47=12),1,0),0))</f>
        <v>0</v>
      </c>
      <c r="AE47" s="4">
        <f>IF(OR(N47="",Results!N6=""),"",IF(N47=Results!N6,1+IF(OR($O47=13,$P47=13,$Q47=13),1,0),0))</f>
        <v>1</v>
      </c>
      <c r="AF47" s="11">
        <f t="shared" si="2"/>
        <v>9</v>
      </c>
      <c r="AG47" s="4" t="str">
        <f>IF(OR($R47="",Results!O6=""),"",ABS($R47-Results!O6))</f>
        <v/>
      </c>
      <c r="AH47" s="12">
        <v>25</v>
      </c>
      <c r="AI47" s="13">
        <f>IF(OR(B47="",Results!B6=""),"",IF(AND(B47=Results!B6,Results!B6&lt;&gt;Games!$C$18),1,0))</f>
        <v>0</v>
      </c>
      <c r="AJ47" s="13">
        <f>IF(OR(C47="",Results!C6=""),"",IF(AND(C47=Results!C6,Results!C6&lt;&gt;Games!$C$19),1,0))</f>
        <v>0</v>
      </c>
      <c r="AK47" s="13">
        <f>IF(OR(D47="",Results!D6=""),"",IF(AND(D47=Results!D6,Results!D6&lt;&gt;Games!$C$20),1,0))</f>
        <v>0</v>
      </c>
      <c r="AL47" s="13">
        <f>IF(OR(E47="",Results!E6=""),"",IF(AND(E47=Results!E6,Results!E6&lt;&gt;Games!$C$21),1,0))</f>
        <v>0</v>
      </c>
      <c r="AM47" s="13">
        <f>IF(OR(F47="",Results!F6=""),"",IF(AND(F47=Results!F6,Results!F6&lt;&gt;Games!$C$22),1,0))</f>
        <v>1</v>
      </c>
      <c r="AN47" s="13">
        <f>IF(OR(G47="",Results!G6=""),"",IF(AND(G47=Results!G6,Results!G6&lt;&gt;Games!$C$23),1,0))</f>
        <v>0</v>
      </c>
      <c r="AO47" s="13">
        <f>IF(OR(H47="",Results!H6=""),"",IF(AND(H47=Results!H6,Results!H6&lt;&gt;Games!$C$24),1,0))</f>
        <v>0</v>
      </c>
      <c r="AP47" s="13">
        <f>IF(OR(I47="",Results!I6=""),"",IF(AND(I47=Results!I6,Results!I6&lt;&gt;Games!$C$25),1,0))</f>
        <v>1</v>
      </c>
      <c r="AQ47" s="13">
        <f>IF(OR(J47="",Results!J6=""),"",IF(AND(J47=Results!J6,Results!J6&lt;&gt;Games!$C$26),1,0))</f>
        <v>0</v>
      </c>
      <c r="AR47" s="13">
        <f>IF(OR(K47="",Results!K6=""),"",IF(AND(K47=Results!K6,Results!K6&lt;&gt;Games!$C$27),1,0))</f>
        <v>0</v>
      </c>
      <c r="AS47" s="13">
        <f>IF(OR(L47="",Results!L6=""),"",IF(AND(L47=Results!L6,Results!L6&lt;&gt;Games!$C$28),1,0))</f>
        <v>0</v>
      </c>
      <c r="AT47" s="13">
        <f>IF(OR(M47="",Results!M6=""),"",IF(AND(M47=Results!M6,Results!M6&lt;&gt;Games!$C$29),1,0))</f>
        <v>0</v>
      </c>
      <c r="AU47" s="13">
        <f>IF(OR(N47="",Results!N6=""),"",IF(AND(N47=Results!N6,Results!N6&lt;&gt;Games!$C$30),1,0))</f>
        <v>0</v>
      </c>
      <c r="AV47" s="14">
        <f t="shared" si="3"/>
        <v>2</v>
      </c>
    </row>
    <row r="48" spans="1:48" ht="15" customHeight="1" x14ac:dyDescent="0.25">
      <c r="A48" s="4" t="str">
        <f>INDEX(Players!$D$6:$D$69,MATCH(56,Players!$A$6:$A$69,0))</f>
        <v>Merritt E.</v>
      </c>
      <c r="B48" s="5" t="s">
        <v>196</v>
      </c>
      <c r="C48" s="5" t="s">
        <v>230</v>
      </c>
      <c r="D48" s="5" t="s">
        <v>232</v>
      </c>
      <c r="E48" s="5" t="s">
        <v>235</v>
      </c>
      <c r="F48" s="5" t="s">
        <v>238</v>
      </c>
      <c r="G48" s="5" t="s">
        <v>239</v>
      </c>
      <c r="H48" s="5" t="s">
        <v>242</v>
      </c>
      <c r="I48" s="5" t="s">
        <v>199</v>
      </c>
      <c r="J48" s="5" t="s">
        <v>245</v>
      </c>
      <c r="K48" s="5" t="s">
        <v>247</v>
      </c>
      <c r="L48" s="5" t="s">
        <v>250</v>
      </c>
      <c r="M48" s="5" t="s">
        <v>251</v>
      </c>
      <c r="N48" s="5" t="s">
        <v>254</v>
      </c>
      <c r="O48" s="5">
        <v>2</v>
      </c>
      <c r="P48" s="5">
        <v>3</v>
      </c>
      <c r="Q48" s="5">
        <v>12</v>
      </c>
      <c r="R48" s="5">
        <v>64</v>
      </c>
      <c r="S48" s="4">
        <f>IF(OR(B48="",Results!B6=""),"",IF(B48=Results!B6,1+IF(OR($O48=1,$P48=1,$Q48=1),1,0),0))</f>
        <v>1</v>
      </c>
      <c r="T48" s="4">
        <f>IF(OR(C48="",Results!C6=""),"",IF(C48=Results!C6,1+IF(OR($O48=2,$P48=2,$Q48=2),1,0),0))</f>
        <v>2</v>
      </c>
      <c r="U48" s="4">
        <f>IF(OR(D48="",Results!D6=""),"",IF(D48=Results!D6,1+IF(OR($O48=3,$P48=3,$Q48=3),1,0),0))</f>
        <v>0</v>
      </c>
      <c r="V48" s="4">
        <f>IF(OR(E48="",Results!E6=""),"",IF(E48=Results!E6,1+IF(OR($O48=4,$P48=4,$Q48=4),1,0),0))</f>
        <v>0</v>
      </c>
      <c r="W48" s="4">
        <f>IF(OR(F48="",Results!F6=""),"",IF(F48=Results!F6,1+IF(OR($O48=5,$P48=5,$Q48=5),1,0),0))</f>
        <v>1</v>
      </c>
      <c r="X48" s="4">
        <f>IF(OR(G48="",Results!G6=""),"",IF(G48=Results!G6,1+IF(OR($O48=6,$P48=6,$Q48=6),1,0),0))</f>
        <v>1</v>
      </c>
      <c r="Y48" s="4">
        <f>IF(OR(H48="",Results!H6=""),"",IF(H48=Results!H6,1+IF(OR($O48=7,$P48=7,$Q48=7),1,0),0))</f>
        <v>0</v>
      </c>
      <c r="Z48" s="4">
        <f>IF(OR(I48="",Results!I6=""),"",IF(I48=Results!I6,1+IF(OR($O48=8,$P48=8,$Q48=8),1,0),0))</f>
        <v>1</v>
      </c>
      <c r="AA48" s="4">
        <f>IF(OR(J48="",Results!J6=""),"",IF(J48=Results!J6,1+IF(OR($O48=9,$P48=9,$Q48=9),1,0),0))</f>
        <v>1</v>
      </c>
      <c r="AB48" s="4">
        <f>IF(OR(K48="",Results!K6=""),"",IF(K48=Results!K6,1+IF(OR($O48=10,$P48=10,$Q48=10),1,0),0))</f>
        <v>1</v>
      </c>
      <c r="AC48" s="4">
        <f>IF(OR(L48="",Results!L6=""),"",IF(L48=Results!L6,1+IF(OR($O48=11,$P48=11,$Q48=11),1,0),0))</f>
        <v>1</v>
      </c>
      <c r="AD48" s="4">
        <f>IF(OR(M48="",Results!M6=""),"",IF(M48=Results!M6,1+IF(OR($O48=12,$P48=12,$Q48=12),1,0),0))</f>
        <v>2</v>
      </c>
      <c r="AE48" s="4">
        <f>IF(OR(N48="",Results!N6=""),"",IF(N48=Results!N6,1+IF(OR($O48=13,$P48=13,$Q48=13),1,0),0))</f>
        <v>0</v>
      </c>
      <c r="AF48" s="11">
        <f t="shared" si="2"/>
        <v>11</v>
      </c>
      <c r="AG48" s="4" t="str">
        <f>IF(OR($R48="",Results!O6=""),"",ABS($R48-Results!O6))</f>
        <v/>
      </c>
      <c r="AH48" s="12">
        <v>56</v>
      </c>
      <c r="AI48" s="13">
        <f>IF(OR(B48="",Results!B6=""),"",IF(AND(B48=Results!B6,Results!B6&lt;&gt;Games!$C$18),1,0))</f>
        <v>0</v>
      </c>
      <c r="AJ48" s="13">
        <f>IF(OR(C48="",Results!C6=""),"",IF(AND(C48=Results!C6,Results!C6&lt;&gt;Games!$C$19),1,0))</f>
        <v>0</v>
      </c>
      <c r="AK48" s="13">
        <f>IF(OR(D48="",Results!D6=""),"",IF(AND(D48=Results!D6,Results!D6&lt;&gt;Games!$C$20),1,0))</f>
        <v>0</v>
      </c>
      <c r="AL48" s="13">
        <f>IF(OR(E48="",Results!E6=""),"",IF(AND(E48=Results!E6,Results!E6&lt;&gt;Games!$C$21),1,0))</f>
        <v>0</v>
      </c>
      <c r="AM48" s="13">
        <f>IF(OR(F48="",Results!F6=""),"",IF(AND(F48=Results!F6,Results!F6&lt;&gt;Games!$C$22),1,0))</f>
        <v>1</v>
      </c>
      <c r="AN48" s="13">
        <f>IF(OR(G48="",Results!G6=""),"",IF(AND(G48=Results!G6,Results!G6&lt;&gt;Games!$C$23),1,0))</f>
        <v>0</v>
      </c>
      <c r="AO48" s="13">
        <f>IF(OR(H48="",Results!H6=""),"",IF(AND(H48=Results!H6,Results!H6&lt;&gt;Games!$C$24),1,0))</f>
        <v>0</v>
      </c>
      <c r="AP48" s="13">
        <f>IF(OR(I48="",Results!I6=""),"",IF(AND(I48=Results!I6,Results!I6&lt;&gt;Games!$C$25),1,0))</f>
        <v>1</v>
      </c>
      <c r="AQ48" s="13">
        <f>IF(OR(J48="",Results!J6=""),"",IF(AND(J48=Results!J6,Results!J6&lt;&gt;Games!$C$26),1,0))</f>
        <v>0</v>
      </c>
      <c r="AR48" s="13">
        <f>IF(OR(K48="",Results!K6=""),"",IF(AND(K48=Results!K6,Results!K6&lt;&gt;Games!$C$27),1,0))</f>
        <v>0</v>
      </c>
      <c r="AS48" s="13">
        <f>IF(OR(L48="",Results!L6=""),"",IF(AND(L48=Results!L6,Results!L6&lt;&gt;Games!$C$28),1,0))</f>
        <v>1</v>
      </c>
      <c r="AT48" s="13">
        <f>IF(OR(M48="",Results!M6=""),"",IF(AND(M48=Results!M6,Results!M6&lt;&gt;Games!$C$29),1,0))</f>
        <v>0</v>
      </c>
      <c r="AU48" s="13">
        <f>IF(OR(N48="",Results!N6=""),"",IF(AND(N48=Results!N6,Results!N6&lt;&gt;Games!$C$30),1,0))</f>
        <v>0</v>
      </c>
      <c r="AV48" s="14">
        <f t="shared" si="3"/>
        <v>3</v>
      </c>
    </row>
    <row r="49" spans="1:48" ht="15" customHeight="1" x14ac:dyDescent="0.25">
      <c r="A49" s="4" t="str">
        <f>INDEX(Players!$D$6:$D$69,MATCH(34,Players!$A$6:$A$69,0))</f>
        <v>Mike B.</v>
      </c>
      <c r="B49" s="5" t="s">
        <v>196</v>
      </c>
      <c r="C49" s="5" t="s">
        <v>230</v>
      </c>
      <c r="D49" s="5" t="s">
        <v>232</v>
      </c>
      <c r="E49" s="5" t="s">
        <v>234</v>
      </c>
      <c r="F49" s="5" t="s">
        <v>237</v>
      </c>
      <c r="G49" s="5" t="s">
        <v>239</v>
      </c>
      <c r="H49" s="5" t="s">
        <v>242</v>
      </c>
      <c r="I49" s="5" t="s">
        <v>244</v>
      </c>
      <c r="J49" s="5" t="s">
        <v>245</v>
      </c>
      <c r="K49" s="5" t="s">
        <v>247</v>
      </c>
      <c r="L49" s="5" t="s">
        <v>249</v>
      </c>
      <c r="M49" s="5" t="s">
        <v>251</v>
      </c>
      <c r="N49" s="5" t="s">
        <v>253</v>
      </c>
      <c r="O49" s="5">
        <v>5</v>
      </c>
      <c r="P49" s="5">
        <v>10</v>
      </c>
      <c r="Q49" s="5">
        <v>8</v>
      </c>
      <c r="R49" s="5">
        <v>62</v>
      </c>
      <c r="S49" s="4">
        <f>IF(OR(B49="",Results!B6=""),"",IF(B49=Results!B6,1+IF(OR($O49=1,$P49=1,$Q49=1),1,0),0))</f>
        <v>1</v>
      </c>
      <c r="T49" s="4">
        <f>IF(OR(C49="",Results!C6=""),"",IF(C49=Results!C6,1+IF(OR($O49=2,$P49=2,$Q49=2),1,0),0))</f>
        <v>1</v>
      </c>
      <c r="U49" s="4">
        <f>IF(OR(D49="",Results!D6=""),"",IF(D49=Results!D6,1+IF(OR($O49=3,$P49=3,$Q49=3),1,0),0))</f>
        <v>0</v>
      </c>
      <c r="V49" s="4">
        <f>IF(OR(E49="",Results!E6=""),"",IF(E49=Results!E6,1+IF(OR($O49=4,$P49=4,$Q49=4),1,0),0))</f>
        <v>1</v>
      </c>
      <c r="W49" s="4">
        <f>IF(OR(F49="",Results!F6=""),"",IF(F49=Results!F6,1+IF(OR($O49=5,$P49=5,$Q49=5),1,0),0))</f>
        <v>0</v>
      </c>
      <c r="X49" s="4">
        <f>IF(OR(G49="",Results!G6=""),"",IF(G49=Results!G6,1+IF(OR($O49=6,$P49=6,$Q49=6),1,0),0))</f>
        <v>1</v>
      </c>
      <c r="Y49" s="4">
        <f>IF(OR(H49="",Results!H6=""),"",IF(H49=Results!H6,1+IF(OR($O49=7,$P49=7,$Q49=7),1,0),0))</f>
        <v>0</v>
      </c>
      <c r="Z49" s="4">
        <f>IF(OR(I49="",Results!I6=""),"",IF(I49=Results!I6,1+IF(OR($O49=8,$P49=8,$Q49=8),1,0),0))</f>
        <v>0</v>
      </c>
      <c r="AA49" s="4">
        <f>IF(OR(J49="",Results!J6=""),"",IF(J49=Results!J6,1+IF(OR($O49=9,$P49=9,$Q49=9),1,0),0))</f>
        <v>1</v>
      </c>
      <c r="AB49" s="4">
        <f>IF(OR(K49="",Results!K6=""),"",IF(K49=Results!K6,1+IF(OR($O49=10,$P49=10,$Q49=10),1,0),0))</f>
        <v>2</v>
      </c>
      <c r="AC49" s="4">
        <f>IF(OR(L49="",Results!L6=""),"",IF(L49=Results!L6,1+IF(OR($O49=11,$P49=11,$Q49=11),1,0),0))</f>
        <v>0</v>
      </c>
      <c r="AD49" s="4">
        <f>IF(OR(M49="",Results!M6=""),"",IF(M49=Results!M6,1+IF(OR($O49=12,$P49=12,$Q49=12),1,0),0))</f>
        <v>1</v>
      </c>
      <c r="AE49" s="4">
        <f>IF(OR(N49="",Results!N6=""),"",IF(N49=Results!N6,1+IF(OR($O49=13,$P49=13,$Q49=13),1,0),0))</f>
        <v>1</v>
      </c>
      <c r="AF49" s="11">
        <f t="shared" si="2"/>
        <v>9</v>
      </c>
      <c r="AG49" s="4" t="str">
        <f>IF(OR($R49="",Results!O6=""),"",ABS($R49-Results!O6))</f>
        <v/>
      </c>
      <c r="AH49" s="12">
        <v>34</v>
      </c>
      <c r="AI49" s="13">
        <f>IF(OR(B49="",Results!B6=""),"",IF(AND(B49=Results!B6,Results!B6&lt;&gt;Games!$C$18),1,0))</f>
        <v>0</v>
      </c>
      <c r="AJ49" s="13">
        <f>IF(OR(C49="",Results!C6=""),"",IF(AND(C49=Results!C6,Results!C6&lt;&gt;Games!$C$19),1,0))</f>
        <v>0</v>
      </c>
      <c r="AK49" s="13">
        <f>IF(OR(D49="",Results!D6=""),"",IF(AND(D49=Results!D6,Results!D6&lt;&gt;Games!$C$20),1,0))</f>
        <v>0</v>
      </c>
      <c r="AL49" s="13">
        <f>IF(OR(E49="",Results!E6=""),"",IF(AND(E49=Results!E6,Results!E6&lt;&gt;Games!$C$21),1,0))</f>
        <v>0</v>
      </c>
      <c r="AM49" s="13">
        <f>IF(OR(F49="",Results!F6=""),"",IF(AND(F49=Results!F6,Results!F6&lt;&gt;Games!$C$22),1,0))</f>
        <v>0</v>
      </c>
      <c r="AN49" s="13">
        <f>IF(OR(G49="",Results!G6=""),"",IF(AND(G49=Results!G6,Results!G6&lt;&gt;Games!$C$23),1,0))</f>
        <v>0</v>
      </c>
      <c r="AO49" s="13">
        <f>IF(OR(H49="",Results!H6=""),"",IF(AND(H49=Results!H6,Results!H6&lt;&gt;Games!$C$24),1,0))</f>
        <v>0</v>
      </c>
      <c r="AP49" s="13">
        <f>IF(OR(I49="",Results!I6=""),"",IF(AND(I49=Results!I6,Results!I6&lt;&gt;Games!$C$25),1,0))</f>
        <v>0</v>
      </c>
      <c r="AQ49" s="13">
        <f>IF(OR(J49="",Results!J6=""),"",IF(AND(J49=Results!J6,Results!J6&lt;&gt;Games!$C$26),1,0))</f>
        <v>0</v>
      </c>
      <c r="AR49" s="13">
        <f>IF(OR(K49="",Results!K6=""),"",IF(AND(K49=Results!K6,Results!K6&lt;&gt;Games!$C$27),1,0))</f>
        <v>0</v>
      </c>
      <c r="AS49" s="13">
        <f>IF(OR(L49="",Results!L6=""),"",IF(AND(L49=Results!L6,Results!L6&lt;&gt;Games!$C$28),1,0))</f>
        <v>0</v>
      </c>
      <c r="AT49" s="13">
        <f>IF(OR(M49="",Results!M6=""),"",IF(AND(M49=Results!M6,Results!M6&lt;&gt;Games!$C$29),1,0))</f>
        <v>0</v>
      </c>
      <c r="AU49" s="13">
        <f>IF(OR(N49="",Results!N6=""),"",IF(AND(N49=Results!N6,Results!N6&lt;&gt;Games!$C$30),1,0))</f>
        <v>0</v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 t="s">
        <v>228</v>
      </c>
      <c r="C50" s="5" t="s">
        <v>230</v>
      </c>
      <c r="D50" s="5" t="s">
        <v>232</v>
      </c>
      <c r="E50" s="5" t="s">
        <v>235</v>
      </c>
      <c r="F50" s="5" t="s">
        <v>237</v>
      </c>
      <c r="G50" s="5" t="s">
        <v>240</v>
      </c>
      <c r="H50" s="5" t="s">
        <v>218</v>
      </c>
      <c r="I50" s="5" t="s">
        <v>244</v>
      </c>
      <c r="J50" s="5" t="s">
        <v>245</v>
      </c>
      <c r="K50" s="5" t="s">
        <v>247</v>
      </c>
      <c r="L50" s="5" t="s">
        <v>249</v>
      </c>
      <c r="M50" s="5" t="s">
        <v>251</v>
      </c>
      <c r="N50" s="5" t="s">
        <v>253</v>
      </c>
      <c r="O50" s="5">
        <v>2</v>
      </c>
      <c r="P50" s="5">
        <v>9</v>
      </c>
      <c r="Q50" s="5">
        <v>10</v>
      </c>
      <c r="R50" s="5">
        <v>63</v>
      </c>
      <c r="S50" s="4">
        <f>IF(OR(B50="",Results!B6=""),"",IF(B50=Results!B6,1+IF(OR($O50=1,$P50=1,$Q50=1),1,0),0))</f>
        <v>0</v>
      </c>
      <c r="T50" s="4">
        <f>IF(OR(C50="",Results!C6=""),"",IF(C50=Results!C6,1+IF(OR($O50=2,$P50=2,$Q50=2),1,0),0))</f>
        <v>2</v>
      </c>
      <c r="U50" s="4">
        <f>IF(OR(D50="",Results!D6=""),"",IF(D50=Results!D6,1+IF(OR($O50=3,$P50=3,$Q50=3),1,0),0))</f>
        <v>0</v>
      </c>
      <c r="V50" s="4">
        <f>IF(OR(E50="",Results!E6=""),"",IF(E50=Results!E6,1+IF(OR($O50=4,$P50=4,$Q50=4),1,0),0))</f>
        <v>0</v>
      </c>
      <c r="W50" s="4">
        <f>IF(OR(F50="",Results!F6=""),"",IF(F50=Results!F6,1+IF(OR($O50=5,$P50=5,$Q50=5),1,0),0))</f>
        <v>0</v>
      </c>
      <c r="X50" s="4">
        <f>IF(OR(G50="",Results!G6=""),"",IF(G50=Results!G6,1+IF(OR($O50=6,$P50=6,$Q50=6),1,0),0))</f>
        <v>0</v>
      </c>
      <c r="Y50" s="4">
        <f>IF(OR(H50="",Results!H6=""),"",IF(H50=Results!H6,1+IF(OR($O50=7,$P50=7,$Q50=7),1,0),0))</f>
        <v>1</v>
      </c>
      <c r="Z50" s="4">
        <f>IF(OR(I50="",Results!I6=""),"",IF(I50=Results!I6,1+IF(OR($O50=8,$P50=8,$Q50=8),1,0),0))</f>
        <v>0</v>
      </c>
      <c r="AA50" s="4">
        <f>IF(OR(J50="",Results!J6=""),"",IF(J50=Results!J6,1+IF(OR($O50=9,$P50=9,$Q50=9),1,0),0))</f>
        <v>2</v>
      </c>
      <c r="AB50" s="4">
        <f>IF(OR(K50="",Results!K6=""),"",IF(K50=Results!K6,1+IF(OR($O50=10,$P50=10,$Q50=10),1,0),0))</f>
        <v>2</v>
      </c>
      <c r="AC50" s="4">
        <f>IF(OR(L50="",Results!L6=""),"",IF(L50=Results!L6,1+IF(OR($O50=11,$P50=11,$Q50=11),1,0),0))</f>
        <v>0</v>
      </c>
      <c r="AD50" s="4">
        <f>IF(OR(M50="",Results!M6=""),"",IF(M50=Results!M6,1+IF(OR($O50=12,$P50=12,$Q50=12),1,0),0))</f>
        <v>1</v>
      </c>
      <c r="AE50" s="4">
        <f>IF(OR(N50="",Results!N6=""),"",IF(N50=Results!N6,1+IF(OR($O50=13,$P50=13,$Q50=13),1,0),0))</f>
        <v>1</v>
      </c>
      <c r="AF50" s="11">
        <f t="shared" si="2"/>
        <v>9</v>
      </c>
      <c r="AG50" s="4" t="str">
        <f>IF(OR($R50="",Results!O6=""),"",ABS($R50-Results!O6))</f>
        <v/>
      </c>
      <c r="AH50" s="12">
        <v>40</v>
      </c>
      <c r="AI50" s="13">
        <f>IF(OR(B50="",Results!B6=""),"",IF(AND(B50=Results!B6,Results!B6&lt;&gt;Games!$C$18),1,0))</f>
        <v>0</v>
      </c>
      <c r="AJ50" s="13">
        <f>IF(OR(C50="",Results!C6=""),"",IF(AND(C50=Results!C6,Results!C6&lt;&gt;Games!$C$19),1,0))</f>
        <v>0</v>
      </c>
      <c r="AK50" s="13">
        <f>IF(OR(D50="",Results!D6=""),"",IF(AND(D50=Results!D6,Results!D6&lt;&gt;Games!$C$20),1,0))</f>
        <v>0</v>
      </c>
      <c r="AL50" s="13">
        <f>IF(OR(E50="",Results!E6=""),"",IF(AND(E50=Results!E6,Results!E6&lt;&gt;Games!$C$21),1,0))</f>
        <v>0</v>
      </c>
      <c r="AM50" s="13">
        <f>IF(OR(F50="",Results!F6=""),"",IF(AND(F50=Results!F6,Results!F6&lt;&gt;Games!$C$22),1,0))</f>
        <v>0</v>
      </c>
      <c r="AN50" s="13">
        <f>IF(OR(G50="",Results!G6=""),"",IF(AND(G50=Results!G6,Results!G6&lt;&gt;Games!$C$23),1,0))</f>
        <v>0</v>
      </c>
      <c r="AO50" s="13">
        <f>IF(OR(H50="",Results!H6=""),"",IF(AND(H50=Results!H6,Results!H6&lt;&gt;Games!$C$24),1,0))</f>
        <v>1</v>
      </c>
      <c r="AP50" s="13">
        <f>IF(OR(I50="",Results!I6=""),"",IF(AND(I50=Results!I6,Results!I6&lt;&gt;Games!$C$25),1,0))</f>
        <v>0</v>
      </c>
      <c r="AQ50" s="13">
        <f>IF(OR(J50="",Results!J6=""),"",IF(AND(J50=Results!J6,Results!J6&lt;&gt;Games!$C$26),1,0))</f>
        <v>0</v>
      </c>
      <c r="AR50" s="13">
        <f>IF(OR(K50="",Results!K6=""),"",IF(AND(K50=Results!K6,Results!K6&lt;&gt;Games!$C$27),1,0))</f>
        <v>0</v>
      </c>
      <c r="AS50" s="13">
        <f>IF(OR(L50="",Results!L6=""),"",IF(AND(L50=Results!L6,Results!L6&lt;&gt;Games!$C$28),1,0))</f>
        <v>0</v>
      </c>
      <c r="AT50" s="13">
        <f>IF(OR(M50="",Results!M6=""),"",IF(AND(M50=Results!M6,Results!M6&lt;&gt;Games!$C$29),1,0))</f>
        <v>0</v>
      </c>
      <c r="AU50" s="13">
        <f>IF(OR(N50="",Results!N6=""),"",IF(AND(N50=Results!N6,Results!N6&lt;&gt;Games!$C$30),1,0))</f>
        <v>0</v>
      </c>
      <c r="AV50" s="14">
        <f t="shared" si="3"/>
        <v>1</v>
      </c>
    </row>
    <row r="51" spans="1:48" ht="15" customHeight="1" x14ac:dyDescent="0.25">
      <c r="A51" s="4" t="str">
        <f>INDEX(Players!$D$6:$D$69,MATCH(42,Players!$A$6:$A$69,0))</f>
        <v>Nathan P.</v>
      </c>
      <c r="B51" s="5" t="s">
        <v>228</v>
      </c>
      <c r="C51" s="5" t="s">
        <v>230</v>
      </c>
      <c r="D51" s="5" t="s">
        <v>232</v>
      </c>
      <c r="E51" s="5" t="s">
        <v>234</v>
      </c>
      <c r="F51" s="5" t="s">
        <v>237</v>
      </c>
      <c r="G51" s="5" t="s">
        <v>239</v>
      </c>
      <c r="H51" s="5" t="s">
        <v>242</v>
      </c>
      <c r="I51" s="5" t="s">
        <v>244</v>
      </c>
      <c r="J51" s="5" t="s">
        <v>245</v>
      </c>
      <c r="K51" s="5" t="s">
        <v>247</v>
      </c>
      <c r="L51" s="5" t="s">
        <v>249</v>
      </c>
      <c r="M51" s="5" t="s">
        <v>251</v>
      </c>
      <c r="N51" s="5" t="s">
        <v>253</v>
      </c>
      <c r="O51" s="5">
        <v>3</v>
      </c>
      <c r="P51" s="5">
        <v>6</v>
      </c>
      <c r="Q51" s="5">
        <v>9</v>
      </c>
      <c r="R51" s="5">
        <v>63</v>
      </c>
      <c r="S51" s="4">
        <f>IF(OR(B51="",Results!B6=""),"",IF(B51=Results!B6,1+IF(OR($O51=1,$P51=1,$Q51=1),1,0),0))</f>
        <v>0</v>
      </c>
      <c r="T51" s="4">
        <f>IF(OR(C51="",Results!C6=""),"",IF(C51=Results!C6,1+IF(OR($O51=2,$P51=2,$Q51=2),1,0),0))</f>
        <v>1</v>
      </c>
      <c r="U51" s="4">
        <f>IF(OR(D51="",Results!D6=""),"",IF(D51=Results!D6,1+IF(OR($O51=3,$P51=3,$Q51=3),1,0),0))</f>
        <v>0</v>
      </c>
      <c r="V51" s="4">
        <f>IF(OR(E51="",Results!E6=""),"",IF(E51=Results!E6,1+IF(OR($O51=4,$P51=4,$Q51=4),1,0),0))</f>
        <v>1</v>
      </c>
      <c r="W51" s="4">
        <f>IF(OR(F51="",Results!F6=""),"",IF(F51=Results!F6,1+IF(OR($O51=5,$P51=5,$Q51=5),1,0),0))</f>
        <v>0</v>
      </c>
      <c r="X51" s="4">
        <f>IF(OR(G51="",Results!G6=""),"",IF(G51=Results!G6,1+IF(OR($O51=6,$P51=6,$Q51=6),1,0),0))</f>
        <v>2</v>
      </c>
      <c r="Y51" s="4">
        <f>IF(OR(H51="",Results!H6=""),"",IF(H51=Results!H6,1+IF(OR($O51=7,$P51=7,$Q51=7),1,0),0))</f>
        <v>0</v>
      </c>
      <c r="Z51" s="4">
        <f>IF(OR(I51="",Results!I6=""),"",IF(I51=Results!I6,1+IF(OR($O51=8,$P51=8,$Q51=8),1,0),0))</f>
        <v>0</v>
      </c>
      <c r="AA51" s="4">
        <f>IF(OR(J51="",Results!J6=""),"",IF(J51=Results!J6,1+IF(OR($O51=9,$P51=9,$Q51=9),1,0),0))</f>
        <v>2</v>
      </c>
      <c r="AB51" s="4">
        <f>IF(OR(K51="",Results!K6=""),"",IF(K51=Results!K6,1+IF(OR($O51=10,$P51=10,$Q51=10),1,0),0))</f>
        <v>1</v>
      </c>
      <c r="AC51" s="4">
        <f>IF(OR(L51="",Results!L6=""),"",IF(L51=Results!L6,1+IF(OR($O51=11,$P51=11,$Q51=11),1,0),0))</f>
        <v>0</v>
      </c>
      <c r="AD51" s="4">
        <f>IF(OR(M51="",Results!M6=""),"",IF(M51=Results!M6,1+IF(OR($O51=12,$P51=12,$Q51=12),1,0),0))</f>
        <v>1</v>
      </c>
      <c r="AE51" s="4">
        <f>IF(OR(N51="",Results!N6=""),"",IF(N51=Results!N6,1+IF(OR($O51=13,$P51=13,$Q51=13),1,0),0))</f>
        <v>1</v>
      </c>
      <c r="AF51" s="11">
        <f t="shared" si="2"/>
        <v>9</v>
      </c>
      <c r="AG51" s="4" t="str">
        <f>IF(OR($R51="",Results!O6=""),"",ABS($R51-Results!O6))</f>
        <v/>
      </c>
      <c r="AH51" s="12">
        <v>42</v>
      </c>
      <c r="AI51" s="13">
        <f>IF(OR(B51="",Results!B6=""),"",IF(AND(B51=Results!B6,Results!B6&lt;&gt;Games!$C$18),1,0))</f>
        <v>0</v>
      </c>
      <c r="AJ51" s="13">
        <f>IF(OR(C51="",Results!C6=""),"",IF(AND(C51=Results!C6,Results!C6&lt;&gt;Games!$C$19),1,0))</f>
        <v>0</v>
      </c>
      <c r="AK51" s="13">
        <f>IF(OR(D51="",Results!D6=""),"",IF(AND(D51=Results!D6,Results!D6&lt;&gt;Games!$C$20),1,0))</f>
        <v>0</v>
      </c>
      <c r="AL51" s="13">
        <f>IF(OR(E51="",Results!E6=""),"",IF(AND(E51=Results!E6,Results!E6&lt;&gt;Games!$C$21),1,0))</f>
        <v>0</v>
      </c>
      <c r="AM51" s="13">
        <f>IF(OR(F51="",Results!F6=""),"",IF(AND(F51=Results!F6,Results!F6&lt;&gt;Games!$C$22),1,0))</f>
        <v>0</v>
      </c>
      <c r="AN51" s="13">
        <f>IF(OR(G51="",Results!G6=""),"",IF(AND(G51=Results!G6,Results!G6&lt;&gt;Games!$C$23),1,0))</f>
        <v>0</v>
      </c>
      <c r="AO51" s="13">
        <f>IF(OR(H51="",Results!H6=""),"",IF(AND(H51=Results!H6,Results!H6&lt;&gt;Games!$C$24),1,0))</f>
        <v>0</v>
      </c>
      <c r="AP51" s="13">
        <f>IF(OR(I51="",Results!I6=""),"",IF(AND(I51=Results!I6,Results!I6&lt;&gt;Games!$C$25),1,0))</f>
        <v>0</v>
      </c>
      <c r="AQ51" s="13">
        <f>IF(OR(J51="",Results!J6=""),"",IF(AND(J51=Results!J6,Results!J6&lt;&gt;Games!$C$26),1,0))</f>
        <v>0</v>
      </c>
      <c r="AR51" s="13">
        <f>IF(OR(K51="",Results!K6=""),"",IF(AND(K51=Results!K6,Results!K6&lt;&gt;Games!$C$27),1,0))</f>
        <v>0</v>
      </c>
      <c r="AS51" s="13">
        <f>IF(OR(L51="",Results!L6=""),"",IF(AND(L51=Results!L6,Results!L6&lt;&gt;Games!$C$28),1,0))</f>
        <v>0</v>
      </c>
      <c r="AT51" s="13">
        <f>IF(OR(M51="",Results!M6=""),"",IF(AND(M51=Results!M6,Results!M6&lt;&gt;Games!$C$29),1,0))</f>
        <v>0</v>
      </c>
      <c r="AU51" s="13">
        <f>IF(OR(N51="",Results!N6=""),"",IF(AND(N51=Results!N6,Results!N6&lt;&gt;Games!$C$30),1,0))</f>
        <v>0</v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 t="s">
        <v>196</v>
      </c>
      <c r="C52" s="5" t="s">
        <v>231</v>
      </c>
      <c r="D52" s="5" t="s">
        <v>232</v>
      </c>
      <c r="E52" s="5" t="s">
        <v>234</v>
      </c>
      <c r="F52" s="5" t="s">
        <v>237</v>
      </c>
      <c r="G52" s="5" t="s">
        <v>240</v>
      </c>
      <c r="H52" s="5" t="s">
        <v>242</v>
      </c>
      <c r="I52" s="5" t="s">
        <v>199</v>
      </c>
      <c r="J52" s="5" t="s">
        <v>245</v>
      </c>
      <c r="K52" s="5" t="s">
        <v>247</v>
      </c>
      <c r="L52" s="5" t="s">
        <v>249</v>
      </c>
      <c r="M52" s="5" t="s">
        <v>251</v>
      </c>
      <c r="N52" s="5" t="s">
        <v>253</v>
      </c>
      <c r="O52" s="5">
        <v>3</v>
      </c>
      <c r="P52" s="5">
        <v>10</v>
      </c>
      <c r="Q52" s="5">
        <v>13</v>
      </c>
      <c r="R52" s="5">
        <v>58</v>
      </c>
      <c r="S52" s="4">
        <f>IF(OR(B52="",Results!B6=""),"",IF(B52=Results!B6,1+IF(OR($O52=1,$P52=1,$Q52=1),1,0),0))</f>
        <v>1</v>
      </c>
      <c r="T52" s="4">
        <f>IF(OR(C52="",Results!C6=""),"",IF(C52=Results!C6,1+IF(OR($O52=2,$P52=2,$Q52=2),1,0),0))</f>
        <v>0</v>
      </c>
      <c r="U52" s="4">
        <f>IF(OR(D52="",Results!D6=""),"",IF(D52=Results!D6,1+IF(OR($O52=3,$P52=3,$Q52=3),1,0),0))</f>
        <v>0</v>
      </c>
      <c r="V52" s="4">
        <f>IF(OR(E52="",Results!E6=""),"",IF(E52=Results!E6,1+IF(OR($O52=4,$P52=4,$Q52=4),1,0),0))</f>
        <v>1</v>
      </c>
      <c r="W52" s="4">
        <f>IF(OR(F52="",Results!F6=""),"",IF(F52=Results!F6,1+IF(OR($O52=5,$P52=5,$Q52=5),1,0),0))</f>
        <v>0</v>
      </c>
      <c r="X52" s="4">
        <f>IF(OR(G52="",Results!G6=""),"",IF(G52=Results!G6,1+IF(OR($O52=6,$P52=6,$Q52=6),1,0),0))</f>
        <v>0</v>
      </c>
      <c r="Y52" s="4">
        <f>IF(OR(H52="",Results!H6=""),"",IF(H52=Results!H6,1+IF(OR($O52=7,$P52=7,$Q52=7),1,0),0))</f>
        <v>0</v>
      </c>
      <c r="Z52" s="4">
        <f>IF(OR(I52="",Results!I6=""),"",IF(I52=Results!I6,1+IF(OR($O52=8,$P52=8,$Q52=8),1,0),0))</f>
        <v>1</v>
      </c>
      <c r="AA52" s="4">
        <f>IF(OR(J52="",Results!J6=""),"",IF(J52=Results!J6,1+IF(OR($O52=9,$P52=9,$Q52=9),1,0),0))</f>
        <v>1</v>
      </c>
      <c r="AB52" s="4">
        <f>IF(OR(K52="",Results!K6=""),"",IF(K52=Results!K6,1+IF(OR($O52=10,$P52=10,$Q52=10),1,0),0))</f>
        <v>2</v>
      </c>
      <c r="AC52" s="4">
        <f>IF(OR(L52="",Results!L6=""),"",IF(L52=Results!L6,1+IF(OR($O52=11,$P52=11,$Q52=11),1,0),0))</f>
        <v>0</v>
      </c>
      <c r="AD52" s="4">
        <f>IF(OR(M52="",Results!M6=""),"",IF(M52=Results!M6,1+IF(OR($O52=12,$P52=12,$Q52=12),1,0),0))</f>
        <v>1</v>
      </c>
      <c r="AE52" s="4">
        <f>IF(OR(N52="",Results!N6=""),"",IF(N52=Results!N6,1+IF(OR($O52=13,$P52=13,$Q52=13),1,0),0))</f>
        <v>2</v>
      </c>
      <c r="AF52" s="11">
        <f t="shared" si="2"/>
        <v>9</v>
      </c>
      <c r="AG52" s="4" t="str">
        <f>IF(OR($R52="",Results!O6=""),"",ABS($R52-Results!O6))</f>
        <v/>
      </c>
      <c r="AH52" s="12">
        <v>27</v>
      </c>
      <c r="AI52" s="13">
        <f>IF(OR(B52="",Results!B6=""),"",IF(AND(B52=Results!B6,Results!B6&lt;&gt;Games!$C$18),1,0))</f>
        <v>0</v>
      </c>
      <c r="AJ52" s="13">
        <f>IF(OR(C52="",Results!C6=""),"",IF(AND(C52=Results!C6,Results!C6&lt;&gt;Games!$C$19),1,0))</f>
        <v>0</v>
      </c>
      <c r="AK52" s="13">
        <f>IF(OR(D52="",Results!D6=""),"",IF(AND(D52=Results!D6,Results!D6&lt;&gt;Games!$C$20),1,0))</f>
        <v>0</v>
      </c>
      <c r="AL52" s="13">
        <f>IF(OR(E52="",Results!E6=""),"",IF(AND(E52=Results!E6,Results!E6&lt;&gt;Games!$C$21),1,0))</f>
        <v>0</v>
      </c>
      <c r="AM52" s="13">
        <f>IF(OR(F52="",Results!F6=""),"",IF(AND(F52=Results!F6,Results!F6&lt;&gt;Games!$C$22),1,0))</f>
        <v>0</v>
      </c>
      <c r="AN52" s="13">
        <f>IF(OR(G52="",Results!G6=""),"",IF(AND(G52=Results!G6,Results!G6&lt;&gt;Games!$C$23),1,0))</f>
        <v>0</v>
      </c>
      <c r="AO52" s="13">
        <f>IF(OR(H52="",Results!H6=""),"",IF(AND(H52=Results!H6,Results!H6&lt;&gt;Games!$C$24),1,0))</f>
        <v>0</v>
      </c>
      <c r="AP52" s="13">
        <f>IF(OR(I52="",Results!I6=""),"",IF(AND(I52=Results!I6,Results!I6&lt;&gt;Games!$C$25),1,0))</f>
        <v>1</v>
      </c>
      <c r="AQ52" s="13">
        <f>IF(OR(J52="",Results!J6=""),"",IF(AND(J52=Results!J6,Results!J6&lt;&gt;Games!$C$26),1,0))</f>
        <v>0</v>
      </c>
      <c r="AR52" s="13">
        <f>IF(OR(K52="",Results!K6=""),"",IF(AND(K52=Results!K6,Results!K6&lt;&gt;Games!$C$27),1,0))</f>
        <v>0</v>
      </c>
      <c r="AS52" s="13">
        <f>IF(OR(L52="",Results!L6=""),"",IF(AND(L52=Results!L6,Results!L6&lt;&gt;Games!$C$28),1,0))</f>
        <v>0</v>
      </c>
      <c r="AT52" s="13">
        <f>IF(OR(M52="",Results!M6=""),"",IF(AND(M52=Results!M6,Results!M6&lt;&gt;Games!$C$29),1,0))</f>
        <v>0</v>
      </c>
      <c r="AU52" s="13">
        <f>IF(OR(N52="",Results!N6=""),"",IF(AND(N52=Results!N6,Results!N6&lt;&gt;Games!$C$30),1,0))</f>
        <v>0</v>
      </c>
      <c r="AV52" s="14">
        <f t="shared" si="3"/>
        <v>1</v>
      </c>
    </row>
    <row r="53" spans="1:48" ht="15" customHeight="1" x14ac:dyDescent="0.25">
      <c r="A53" s="4" t="str">
        <f>INDEX(Players!$D$6:$D$69,MATCH(35,Players!$A$6:$A$69,0))</f>
        <v>Oliver W.</v>
      </c>
      <c r="B53" s="5" t="s">
        <v>196</v>
      </c>
      <c r="C53" s="5" t="s">
        <v>230</v>
      </c>
      <c r="D53" s="5" t="s">
        <v>232</v>
      </c>
      <c r="E53" s="5" t="s">
        <v>235</v>
      </c>
      <c r="F53" s="5" t="s">
        <v>237</v>
      </c>
      <c r="G53" s="5" t="s">
        <v>240</v>
      </c>
      <c r="H53" s="5" t="s">
        <v>242</v>
      </c>
      <c r="I53" s="5" t="s">
        <v>244</v>
      </c>
      <c r="J53" s="5" t="s">
        <v>245</v>
      </c>
      <c r="K53" s="5" t="s">
        <v>247</v>
      </c>
      <c r="L53" s="5" t="s">
        <v>249</v>
      </c>
      <c r="M53" s="5" t="s">
        <v>251</v>
      </c>
      <c r="N53" s="5" t="s">
        <v>254</v>
      </c>
      <c r="O53" s="5">
        <v>1</v>
      </c>
      <c r="P53" s="5">
        <v>3</v>
      </c>
      <c r="Q53" s="5">
        <v>9</v>
      </c>
      <c r="R53" s="5">
        <v>63</v>
      </c>
      <c r="S53" s="4">
        <f>IF(OR(B53="",Results!B6=""),"",IF(B53=Results!B6,1+IF(OR($O53=1,$P53=1,$Q53=1),1,0),0))</f>
        <v>2</v>
      </c>
      <c r="T53" s="4">
        <f>IF(OR(C53="",Results!C6=""),"",IF(C53=Results!C6,1+IF(OR($O53=2,$P53=2,$Q53=2),1,0),0))</f>
        <v>1</v>
      </c>
      <c r="U53" s="4">
        <f>IF(OR(D53="",Results!D6=""),"",IF(D53=Results!D6,1+IF(OR($O53=3,$P53=3,$Q53=3),1,0),0))</f>
        <v>0</v>
      </c>
      <c r="V53" s="4">
        <f>IF(OR(E53="",Results!E6=""),"",IF(E53=Results!E6,1+IF(OR($O53=4,$P53=4,$Q53=4),1,0),0))</f>
        <v>0</v>
      </c>
      <c r="W53" s="4">
        <f>IF(OR(F53="",Results!F6=""),"",IF(F53=Results!F6,1+IF(OR($O53=5,$P53=5,$Q53=5),1,0),0))</f>
        <v>0</v>
      </c>
      <c r="X53" s="4">
        <f>IF(OR(G53="",Results!G6=""),"",IF(G53=Results!G6,1+IF(OR($O53=6,$P53=6,$Q53=6),1,0),0))</f>
        <v>0</v>
      </c>
      <c r="Y53" s="4">
        <f>IF(OR(H53="",Results!H6=""),"",IF(H53=Results!H6,1+IF(OR($O53=7,$P53=7,$Q53=7),1,0),0))</f>
        <v>0</v>
      </c>
      <c r="Z53" s="4">
        <f>IF(OR(I53="",Results!I6=""),"",IF(I53=Results!I6,1+IF(OR($O53=8,$P53=8,$Q53=8),1,0),0))</f>
        <v>0</v>
      </c>
      <c r="AA53" s="4">
        <f>IF(OR(J53="",Results!J6=""),"",IF(J53=Results!J6,1+IF(OR($O53=9,$P53=9,$Q53=9),1,0),0))</f>
        <v>2</v>
      </c>
      <c r="AB53" s="4">
        <f>IF(OR(K53="",Results!K6=""),"",IF(K53=Results!K6,1+IF(OR($O53=10,$P53=10,$Q53=10),1,0),0))</f>
        <v>1</v>
      </c>
      <c r="AC53" s="4">
        <f>IF(OR(L53="",Results!L6=""),"",IF(L53=Results!L6,1+IF(OR($O53=11,$P53=11,$Q53=11),1,0),0))</f>
        <v>0</v>
      </c>
      <c r="AD53" s="4">
        <f>IF(OR(M53="",Results!M6=""),"",IF(M53=Results!M6,1+IF(OR($O53=12,$P53=12,$Q53=12),1,0),0))</f>
        <v>1</v>
      </c>
      <c r="AE53" s="4">
        <f>IF(OR(N53="",Results!N6=""),"",IF(N53=Results!N6,1+IF(OR($O53=13,$P53=13,$Q53=13),1,0),0))</f>
        <v>0</v>
      </c>
      <c r="AF53" s="11">
        <f t="shared" si="2"/>
        <v>7</v>
      </c>
      <c r="AG53" s="4" t="str">
        <f>IF(OR($R53="",Results!O6=""),"",ABS($R53-Results!O6))</f>
        <v/>
      </c>
      <c r="AH53" s="12">
        <v>35</v>
      </c>
      <c r="AI53" s="13">
        <f>IF(OR(B53="",Results!B6=""),"",IF(AND(B53=Results!B6,Results!B6&lt;&gt;Games!$C$18),1,0))</f>
        <v>0</v>
      </c>
      <c r="AJ53" s="13">
        <f>IF(OR(C53="",Results!C6=""),"",IF(AND(C53=Results!C6,Results!C6&lt;&gt;Games!$C$19),1,0))</f>
        <v>0</v>
      </c>
      <c r="AK53" s="13">
        <f>IF(OR(D53="",Results!D6=""),"",IF(AND(D53=Results!D6,Results!D6&lt;&gt;Games!$C$20),1,0))</f>
        <v>0</v>
      </c>
      <c r="AL53" s="13">
        <f>IF(OR(E53="",Results!E6=""),"",IF(AND(E53=Results!E6,Results!E6&lt;&gt;Games!$C$21),1,0))</f>
        <v>0</v>
      </c>
      <c r="AM53" s="13">
        <f>IF(OR(F53="",Results!F6=""),"",IF(AND(F53=Results!F6,Results!F6&lt;&gt;Games!$C$22),1,0))</f>
        <v>0</v>
      </c>
      <c r="AN53" s="13">
        <f>IF(OR(G53="",Results!G6=""),"",IF(AND(G53=Results!G6,Results!G6&lt;&gt;Games!$C$23),1,0))</f>
        <v>0</v>
      </c>
      <c r="AO53" s="13">
        <f>IF(OR(H53="",Results!H6=""),"",IF(AND(H53=Results!H6,Results!H6&lt;&gt;Games!$C$24),1,0))</f>
        <v>0</v>
      </c>
      <c r="AP53" s="13">
        <f>IF(OR(I53="",Results!I6=""),"",IF(AND(I53=Results!I6,Results!I6&lt;&gt;Games!$C$25),1,0))</f>
        <v>0</v>
      </c>
      <c r="AQ53" s="13">
        <f>IF(OR(J53="",Results!J6=""),"",IF(AND(J53=Results!J6,Results!J6&lt;&gt;Games!$C$26),1,0))</f>
        <v>0</v>
      </c>
      <c r="AR53" s="13">
        <f>IF(OR(K53="",Results!K6=""),"",IF(AND(K53=Results!K6,Results!K6&lt;&gt;Games!$C$27),1,0))</f>
        <v>0</v>
      </c>
      <c r="AS53" s="13">
        <f>IF(OR(L53="",Results!L6=""),"",IF(AND(L53=Results!L6,Results!L6&lt;&gt;Games!$C$28),1,0))</f>
        <v>0</v>
      </c>
      <c r="AT53" s="13">
        <f>IF(OR(M53="",Results!M6=""),"",IF(AND(M53=Results!M6,Results!M6&lt;&gt;Games!$C$29),1,0))</f>
        <v>0</v>
      </c>
      <c r="AU53" s="13">
        <f>IF(OR(N53="",Results!N6=""),"",IF(AND(N53=Results!N6,Results!N6&lt;&gt;Games!$C$30),1,0))</f>
        <v>0</v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 t="s">
        <v>196</v>
      </c>
      <c r="C54" s="5" t="s">
        <v>230</v>
      </c>
      <c r="D54" s="5" t="s">
        <v>232</v>
      </c>
      <c r="E54" s="5" t="s">
        <v>235</v>
      </c>
      <c r="F54" s="5" t="s">
        <v>237</v>
      </c>
      <c r="G54" s="5" t="s">
        <v>239</v>
      </c>
      <c r="H54" s="5" t="s">
        <v>242</v>
      </c>
      <c r="I54" s="5" t="s">
        <v>244</v>
      </c>
      <c r="J54" s="5" t="s">
        <v>246</v>
      </c>
      <c r="K54" s="5" t="s">
        <v>247</v>
      </c>
      <c r="L54" s="5" t="s">
        <v>250</v>
      </c>
      <c r="M54" s="5" t="s">
        <v>252</v>
      </c>
      <c r="N54" s="5" t="s">
        <v>253</v>
      </c>
      <c r="O54" s="5">
        <v>7</v>
      </c>
      <c r="P54" s="5">
        <v>8</v>
      </c>
      <c r="Q54" s="5">
        <v>13</v>
      </c>
      <c r="R54" s="5">
        <v>56</v>
      </c>
      <c r="S54" s="4">
        <f>IF(OR(B54="",Results!B6=""),"",IF(B54=Results!B6,1+IF(OR($O54=1,$P54=1,$Q54=1),1,0),0))</f>
        <v>1</v>
      </c>
      <c r="T54" s="4">
        <f>IF(OR(C54="",Results!C6=""),"",IF(C54=Results!C6,1+IF(OR($O54=2,$P54=2,$Q54=2),1,0),0))</f>
        <v>1</v>
      </c>
      <c r="U54" s="4">
        <f>IF(OR(D54="",Results!D6=""),"",IF(D54=Results!D6,1+IF(OR($O54=3,$P54=3,$Q54=3),1,0),0))</f>
        <v>0</v>
      </c>
      <c r="V54" s="4">
        <f>IF(OR(E54="",Results!E6=""),"",IF(E54=Results!E6,1+IF(OR($O54=4,$P54=4,$Q54=4),1,0),0))</f>
        <v>0</v>
      </c>
      <c r="W54" s="4">
        <f>IF(OR(F54="",Results!F6=""),"",IF(F54=Results!F6,1+IF(OR($O54=5,$P54=5,$Q54=5),1,0),0))</f>
        <v>0</v>
      </c>
      <c r="X54" s="4">
        <f>IF(OR(G54="",Results!G6=""),"",IF(G54=Results!G6,1+IF(OR($O54=6,$P54=6,$Q54=6),1,0),0))</f>
        <v>1</v>
      </c>
      <c r="Y54" s="4">
        <f>IF(OR(H54="",Results!H6=""),"",IF(H54=Results!H6,1+IF(OR($O54=7,$P54=7,$Q54=7),1,0),0))</f>
        <v>0</v>
      </c>
      <c r="Z54" s="4">
        <f>IF(OR(I54="",Results!I6=""),"",IF(I54=Results!I6,1+IF(OR($O54=8,$P54=8,$Q54=8),1,0),0))</f>
        <v>0</v>
      </c>
      <c r="AA54" s="4">
        <f>IF(OR(J54="",Results!J6=""),"",IF(J54=Results!J6,1+IF(OR($O54=9,$P54=9,$Q54=9),1,0),0))</f>
        <v>0</v>
      </c>
      <c r="AB54" s="4">
        <f>IF(OR(K54="",Results!K6=""),"",IF(K54=Results!K6,1+IF(OR($O54=10,$P54=10,$Q54=10),1,0),0))</f>
        <v>1</v>
      </c>
      <c r="AC54" s="4">
        <f>IF(OR(L54="",Results!L6=""),"",IF(L54=Results!L6,1+IF(OR($O54=11,$P54=11,$Q54=11),1,0),0))</f>
        <v>1</v>
      </c>
      <c r="AD54" s="4">
        <f>IF(OR(M54="",Results!M6=""),"",IF(M54=Results!M6,1+IF(OR($O54=12,$P54=12,$Q54=12),1,0),0))</f>
        <v>0</v>
      </c>
      <c r="AE54" s="4">
        <f>IF(OR(N54="",Results!N6=""),"",IF(N54=Results!N6,1+IF(OR($O54=13,$P54=13,$Q54=13),1,0),0))</f>
        <v>2</v>
      </c>
      <c r="AF54" s="11">
        <f t="shared" si="2"/>
        <v>7</v>
      </c>
      <c r="AG54" s="4" t="str">
        <f>IF(OR($R54="",Results!O6=""),"",ABS($R54-Results!O6))</f>
        <v/>
      </c>
      <c r="AH54" s="12">
        <v>43</v>
      </c>
      <c r="AI54" s="13">
        <f>IF(OR(B54="",Results!B6=""),"",IF(AND(B54=Results!B6,Results!B6&lt;&gt;Games!$C$18),1,0))</f>
        <v>0</v>
      </c>
      <c r="AJ54" s="13">
        <f>IF(OR(C54="",Results!C6=""),"",IF(AND(C54=Results!C6,Results!C6&lt;&gt;Games!$C$19),1,0))</f>
        <v>0</v>
      </c>
      <c r="AK54" s="13">
        <f>IF(OR(D54="",Results!D6=""),"",IF(AND(D54=Results!D6,Results!D6&lt;&gt;Games!$C$20),1,0))</f>
        <v>0</v>
      </c>
      <c r="AL54" s="13">
        <f>IF(OR(E54="",Results!E6=""),"",IF(AND(E54=Results!E6,Results!E6&lt;&gt;Games!$C$21),1,0))</f>
        <v>0</v>
      </c>
      <c r="AM54" s="13">
        <f>IF(OR(F54="",Results!F6=""),"",IF(AND(F54=Results!F6,Results!F6&lt;&gt;Games!$C$22),1,0))</f>
        <v>0</v>
      </c>
      <c r="AN54" s="13">
        <f>IF(OR(G54="",Results!G6=""),"",IF(AND(G54=Results!G6,Results!G6&lt;&gt;Games!$C$23),1,0))</f>
        <v>0</v>
      </c>
      <c r="AO54" s="13">
        <f>IF(OR(H54="",Results!H6=""),"",IF(AND(H54=Results!H6,Results!H6&lt;&gt;Games!$C$24),1,0))</f>
        <v>0</v>
      </c>
      <c r="AP54" s="13">
        <f>IF(OR(I54="",Results!I6=""),"",IF(AND(I54=Results!I6,Results!I6&lt;&gt;Games!$C$25),1,0))</f>
        <v>0</v>
      </c>
      <c r="AQ54" s="13">
        <f>IF(OR(J54="",Results!J6=""),"",IF(AND(J54=Results!J6,Results!J6&lt;&gt;Games!$C$26),1,0))</f>
        <v>0</v>
      </c>
      <c r="AR54" s="13">
        <f>IF(OR(K54="",Results!K6=""),"",IF(AND(K54=Results!K6,Results!K6&lt;&gt;Games!$C$27),1,0))</f>
        <v>0</v>
      </c>
      <c r="AS54" s="13">
        <f>IF(OR(L54="",Results!L6=""),"",IF(AND(L54=Results!L6,Results!L6&lt;&gt;Games!$C$28),1,0))</f>
        <v>1</v>
      </c>
      <c r="AT54" s="13">
        <f>IF(OR(M54="",Results!M6=""),"",IF(AND(M54=Results!M6,Results!M6&lt;&gt;Games!$C$29),1,0))</f>
        <v>0</v>
      </c>
      <c r="AU54" s="13">
        <f>IF(OR(N54="",Results!N6=""),"",IF(AND(N54=Results!N6,Results!N6&lt;&gt;Games!$C$30),1,0))</f>
        <v>0</v>
      </c>
      <c r="AV54" s="14">
        <f t="shared" si="3"/>
        <v>1</v>
      </c>
    </row>
    <row r="55" spans="1:48" ht="15" customHeight="1" x14ac:dyDescent="0.25">
      <c r="A55" s="4" t="str">
        <f>INDEX(Players!$D$6:$D$69,MATCH(44,Players!$A$6:$A$69,0))</f>
        <v>Richie C.</v>
      </c>
      <c r="B55" s="5" t="s">
        <v>196</v>
      </c>
      <c r="C55" s="5" t="s">
        <v>231</v>
      </c>
      <c r="D55" s="5" t="s">
        <v>232</v>
      </c>
      <c r="E55" s="5" t="s">
        <v>235</v>
      </c>
      <c r="F55" s="5" t="s">
        <v>237</v>
      </c>
      <c r="G55" s="5" t="s">
        <v>240</v>
      </c>
      <c r="H55" s="5" t="s">
        <v>218</v>
      </c>
      <c r="I55" s="5" t="s">
        <v>199</v>
      </c>
      <c r="J55" s="5" t="s">
        <v>246</v>
      </c>
      <c r="K55" s="5" t="s">
        <v>247</v>
      </c>
      <c r="L55" s="5" t="s">
        <v>249</v>
      </c>
      <c r="M55" s="5" t="s">
        <v>252</v>
      </c>
      <c r="N55" s="5" t="s">
        <v>254</v>
      </c>
      <c r="O55" s="5">
        <v>1</v>
      </c>
      <c r="P55" s="5">
        <v>4</v>
      </c>
      <c r="Q55" s="5">
        <v>12</v>
      </c>
      <c r="R55" s="5">
        <v>46</v>
      </c>
      <c r="S55" s="4">
        <f>IF(OR(B55="",Results!B6=""),"",IF(B55=Results!B6,1+IF(OR($O55=1,$P55=1,$Q55=1),1,0),0))</f>
        <v>2</v>
      </c>
      <c r="T55" s="4">
        <f>IF(OR(C55="",Results!C6=""),"",IF(C55=Results!C6,1+IF(OR($O55=2,$P55=2,$Q55=2),1,0),0))</f>
        <v>0</v>
      </c>
      <c r="U55" s="4">
        <f>IF(OR(D55="",Results!D6=""),"",IF(D55=Results!D6,1+IF(OR($O55=3,$P55=3,$Q55=3),1,0),0))</f>
        <v>0</v>
      </c>
      <c r="V55" s="4">
        <f>IF(OR(E55="",Results!E6=""),"",IF(E55=Results!E6,1+IF(OR($O55=4,$P55=4,$Q55=4),1,0),0))</f>
        <v>0</v>
      </c>
      <c r="W55" s="4">
        <f>IF(OR(F55="",Results!F6=""),"",IF(F55=Results!F6,1+IF(OR($O55=5,$P55=5,$Q55=5),1,0),0))</f>
        <v>0</v>
      </c>
      <c r="X55" s="4">
        <f>IF(OR(G55="",Results!G6=""),"",IF(G55=Results!G6,1+IF(OR($O55=6,$P55=6,$Q55=6),1,0),0))</f>
        <v>0</v>
      </c>
      <c r="Y55" s="4">
        <f>IF(OR(H55="",Results!H6=""),"",IF(H55=Results!H6,1+IF(OR($O55=7,$P55=7,$Q55=7),1,0),0))</f>
        <v>1</v>
      </c>
      <c r="Z55" s="4">
        <f>IF(OR(I55="",Results!I6=""),"",IF(I55=Results!I6,1+IF(OR($O55=8,$P55=8,$Q55=8),1,0),0))</f>
        <v>1</v>
      </c>
      <c r="AA55" s="4">
        <f>IF(OR(J55="",Results!J6=""),"",IF(J55=Results!J6,1+IF(OR($O55=9,$P55=9,$Q55=9),1,0),0))</f>
        <v>0</v>
      </c>
      <c r="AB55" s="4">
        <f>IF(OR(K55="",Results!K6=""),"",IF(K55=Results!K6,1+IF(OR($O55=10,$P55=10,$Q55=10),1,0),0))</f>
        <v>1</v>
      </c>
      <c r="AC55" s="4">
        <f>IF(OR(L55="",Results!L6=""),"",IF(L55=Results!L6,1+IF(OR($O55=11,$P55=11,$Q55=11),1,0),0))</f>
        <v>0</v>
      </c>
      <c r="AD55" s="4">
        <f>IF(OR(M55="",Results!M6=""),"",IF(M55=Results!M6,1+IF(OR($O55=12,$P55=12,$Q55=12),1,0),0))</f>
        <v>0</v>
      </c>
      <c r="AE55" s="4">
        <f>IF(OR(N55="",Results!N6=""),"",IF(N55=Results!N6,1+IF(OR($O55=13,$P55=13,$Q55=13),1,0),0))</f>
        <v>0</v>
      </c>
      <c r="AF55" s="11">
        <f t="shared" si="2"/>
        <v>5</v>
      </c>
      <c r="AG55" s="4" t="str">
        <f>IF(OR($R55="",Results!O6=""),"",ABS($R55-Results!O6))</f>
        <v/>
      </c>
      <c r="AH55" s="12">
        <v>44</v>
      </c>
      <c r="AI55" s="13">
        <f>IF(OR(B55="",Results!B6=""),"",IF(AND(B55=Results!B6,Results!B6&lt;&gt;Games!$C$18),1,0))</f>
        <v>0</v>
      </c>
      <c r="AJ55" s="13">
        <f>IF(OR(C55="",Results!C6=""),"",IF(AND(C55=Results!C6,Results!C6&lt;&gt;Games!$C$19),1,0))</f>
        <v>0</v>
      </c>
      <c r="AK55" s="13">
        <f>IF(OR(D55="",Results!D6=""),"",IF(AND(D55=Results!D6,Results!D6&lt;&gt;Games!$C$20),1,0))</f>
        <v>0</v>
      </c>
      <c r="AL55" s="13">
        <f>IF(OR(E55="",Results!E6=""),"",IF(AND(E55=Results!E6,Results!E6&lt;&gt;Games!$C$21),1,0))</f>
        <v>0</v>
      </c>
      <c r="AM55" s="13">
        <f>IF(OR(F55="",Results!F6=""),"",IF(AND(F55=Results!F6,Results!F6&lt;&gt;Games!$C$22),1,0))</f>
        <v>0</v>
      </c>
      <c r="AN55" s="13">
        <f>IF(OR(G55="",Results!G6=""),"",IF(AND(G55=Results!G6,Results!G6&lt;&gt;Games!$C$23),1,0))</f>
        <v>0</v>
      </c>
      <c r="AO55" s="13">
        <f>IF(OR(H55="",Results!H6=""),"",IF(AND(H55=Results!H6,Results!H6&lt;&gt;Games!$C$24),1,0))</f>
        <v>1</v>
      </c>
      <c r="AP55" s="13">
        <f>IF(OR(I55="",Results!I6=""),"",IF(AND(I55=Results!I6,Results!I6&lt;&gt;Games!$C$25),1,0))</f>
        <v>1</v>
      </c>
      <c r="AQ55" s="13">
        <f>IF(OR(J55="",Results!J6=""),"",IF(AND(J55=Results!J6,Results!J6&lt;&gt;Games!$C$26),1,0))</f>
        <v>0</v>
      </c>
      <c r="AR55" s="13">
        <f>IF(OR(K55="",Results!K6=""),"",IF(AND(K55=Results!K6,Results!K6&lt;&gt;Games!$C$27),1,0))</f>
        <v>0</v>
      </c>
      <c r="AS55" s="13">
        <f>IF(OR(L55="",Results!L6=""),"",IF(AND(L55=Results!L6,Results!L6&lt;&gt;Games!$C$28),1,0))</f>
        <v>0</v>
      </c>
      <c r="AT55" s="13">
        <f>IF(OR(M55="",Results!M6=""),"",IF(AND(M55=Results!M6,Results!M6&lt;&gt;Games!$C$29),1,0))</f>
        <v>0</v>
      </c>
      <c r="AU55" s="13">
        <f>IF(OR(N55="",Results!N6=""),"",IF(AND(N55=Results!N6,Results!N6&lt;&gt;Games!$C$30),1,0))</f>
        <v>0</v>
      </c>
      <c r="AV55" s="14">
        <f t="shared" si="3"/>
        <v>2</v>
      </c>
    </row>
    <row r="56" spans="1:48" ht="15" customHeight="1" x14ac:dyDescent="0.25">
      <c r="A56" s="4" t="str">
        <f>INDEX(Players!$D$6:$D$69,MATCH(59,Players!$A$6:$A$69,0))</f>
        <v>Roger L.</v>
      </c>
      <c r="B56" s="5" t="s">
        <v>228</v>
      </c>
      <c r="C56" s="5" t="s">
        <v>230</v>
      </c>
      <c r="D56" s="5" t="s">
        <v>232</v>
      </c>
      <c r="E56" s="5" t="s">
        <v>235</v>
      </c>
      <c r="F56" s="5" t="s">
        <v>238</v>
      </c>
      <c r="G56" s="5" t="s">
        <v>239</v>
      </c>
      <c r="H56" s="5" t="s">
        <v>218</v>
      </c>
      <c r="I56" s="5" t="s">
        <v>199</v>
      </c>
      <c r="J56" s="5" t="s">
        <v>246</v>
      </c>
      <c r="K56" s="5" t="s">
        <v>247</v>
      </c>
      <c r="L56" s="5" t="s">
        <v>249</v>
      </c>
      <c r="M56" s="5" t="s">
        <v>252</v>
      </c>
      <c r="N56" s="5" t="s">
        <v>253</v>
      </c>
      <c r="O56" s="5">
        <v>1</v>
      </c>
      <c r="P56" s="5">
        <v>2</v>
      </c>
      <c r="Q56" s="5">
        <v>5</v>
      </c>
      <c r="R56" s="5">
        <v>47</v>
      </c>
      <c r="S56" s="4">
        <f>IF(OR(B56="",Results!B6=""),"",IF(B56=Results!B6,1+IF(OR($O56=1,$P56=1,$Q56=1),1,0),0))</f>
        <v>0</v>
      </c>
      <c r="T56" s="4">
        <f>IF(OR(C56="",Results!C6=""),"",IF(C56=Results!C6,1+IF(OR($O56=2,$P56=2,$Q56=2),1,0),0))</f>
        <v>2</v>
      </c>
      <c r="U56" s="4">
        <f>IF(OR(D56="",Results!D6=""),"",IF(D56=Results!D6,1+IF(OR($O56=3,$P56=3,$Q56=3),1,0),0))</f>
        <v>0</v>
      </c>
      <c r="V56" s="4">
        <f>IF(OR(E56="",Results!E6=""),"",IF(E56=Results!E6,1+IF(OR($O56=4,$P56=4,$Q56=4),1,0),0))</f>
        <v>0</v>
      </c>
      <c r="W56" s="4">
        <f>IF(OR(F56="",Results!F6=""),"",IF(F56=Results!F6,1+IF(OR($O56=5,$P56=5,$Q56=5),1,0),0))</f>
        <v>2</v>
      </c>
      <c r="X56" s="4">
        <f>IF(OR(G56="",Results!G6=""),"",IF(G56=Results!G6,1+IF(OR($O56=6,$P56=6,$Q56=6),1,0),0))</f>
        <v>1</v>
      </c>
      <c r="Y56" s="4">
        <f>IF(OR(H56="",Results!H6=""),"",IF(H56=Results!H6,1+IF(OR($O56=7,$P56=7,$Q56=7),1,0),0))</f>
        <v>1</v>
      </c>
      <c r="Z56" s="4">
        <f>IF(OR(I56="",Results!I6=""),"",IF(I56=Results!I6,1+IF(OR($O56=8,$P56=8,$Q56=8),1,0),0))</f>
        <v>1</v>
      </c>
      <c r="AA56" s="4">
        <f>IF(OR(J56="",Results!J6=""),"",IF(J56=Results!J6,1+IF(OR($O56=9,$P56=9,$Q56=9),1,0),0))</f>
        <v>0</v>
      </c>
      <c r="AB56" s="4">
        <f>IF(OR(K56="",Results!K6=""),"",IF(K56=Results!K6,1+IF(OR($O56=10,$P56=10,$Q56=10),1,0),0))</f>
        <v>1</v>
      </c>
      <c r="AC56" s="4">
        <f>IF(OR(L56="",Results!L6=""),"",IF(L56=Results!L6,1+IF(OR($O56=11,$P56=11,$Q56=11),1,0),0))</f>
        <v>0</v>
      </c>
      <c r="AD56" s="4">
        <f>IF(OR(M56="",Results!M6=""),"",IF(M56=Results!M6,1+IF(OR($O56=12,$P56=12,$Q56=12),1,0),0))</f>
        <v>0</v>
      </c>
      <c r="AE56" s="4">
        <f>IF(OR(N56="",Results!N6=""),"",IF(N56=Results!N6,1+IF(OR($O56=13,$P56=13,$Q56=13),1,0),0))</f>
        <v>1</v>
      </c>
      <c r="AF56" s="11">
        <f t="shared" si="2"/>
        <v>9</v>
      </c>
      <c r="AG56" s="4" t="str">
        <f>IF(OR($R56="",Results!O6=""),"",ABS($R56-Results!O6))</f>
        <v/>
      </c>
      <c r="AH56" s="12">
        <v>59</v>
      </c>
      <c r="AI56" s="13">
        <f>IF(OR(B56="",Results!B6=""),"",IF(AND(B56=Results!B6,Results!B6&lt;&gt;Games!$C$18),1,0))</f>
        <v>0</v>
      </c>
      <c r="AJ56" s="13">
        <f>IF(OR(C56="",Results!C6=""),"",IF(AND(C56=Results!C6,Results!C6&lt;&gt;Games!$C$19),1,0))</f>
        <v>0</v>
      </c>
      <c r="AK56" s="13">
        <f>IF(OR(D56="",Results!D6=""),"",IF(AND(D56=Results!D6,Results!D6&lt;&gt;Games!$C$20),1,0))</f>
        <v>0</v>
      </c>
      <c r="AL56" s="13">
        <f>IF(OR(E56="",Results!E6=""),"",IF(AND(E56=Results!E6,Results!E6&lt;&gt;Games!$C$21),1,0))</f>
        <v>0</v>
      </c>
      <c r="AM56" s="13">
        <f>IF(OR(F56="",Results!F6=""),"",IF(AND(F56=Results!F6,Results!F6&lt;&gt;Games!$C$22),1,0))</f>
        <v>1</v>
      </c>
      <c r="AN56" s="13">
        <f>IF(OR(G56="",Results!G6=""),"",IF(AND(G56=Results!G6,Results!G6&lt;&gt;Games!$C$23),1,0))</f>
        <v>0</v>
      </c>
      <c r="AO56" s="13">
        <f>IF(OR(H56="",Results!H6=""),"",IF(AND(H56=Results!H6,Results!H6&lt;&gt;Games!$C$24),1,0))</f>
        <v>1</v>
      </c>
      <c r="AP56" s="13">
        <f>IF(OR(I56="",Results!I6=""),"",IF(AND(I56=Results!I6,Results!I6&lt;&gt;Games!$C$25),1,0))</f>
        <v>1</v>
      </c>
      <c r="AQ56" s="13">
        <f>IF(OR(J56="",Results!J6=""),"",IF(AND(J56=Results!J6,Results!J6&lt;&gt;Games!$C$26),1,0))</f>
        <v>0</v>
      </c>
      <c r="AR56" s="13">
        <f>IF(OR(K56="",Results!K6=""),"",IF(AND(K56=Results!K6,Results!K6&lt;&gt;Games!$C$27),1,0))</f>
        <v>0</v>
      </c>
      <c r="AS56" s="13">
        <f>IF(OR(L56="",Results!L6=""),"",IF(AND(L56=Results!L6,Results!L6&lt;&gt;Games!$C$28),1,0))</f>
        <v>0</v>
      </c>
      <c r="AT56" s="13">
        <f>IF(OR(M56="",Results!M6=""),"",IF(AND(M56=Results!M6,Results!M6&lt;&gt;Games!$C$29),1,0))</f>
        <v>0</v>
      </c>
      <c r="AU56" s="13">
        <f>IF(OR(N56="",Results!N6=""),"",IF(AND(N56=Results!N6,Results!N6&lt;&gt;Games!$C$30),1,0))</f>
        <v>0</v>
      </c>
      <c r="AV56" s="14">
        <f t="shared" si="3"/>
        <v>3</v>
      </c>
    </row>
    <row r="57" spans="1:48" ht="15" customHeight="1" x14ac:dyDescent="0.25">
      <c r="A57" s="4" t="str">
        <f>INDEX(Players!$D$6:$D$69,MATCH(28,Players!$A$6:$A$69,0))</f>
        <v>Ryan C.</v>
      </c>
      <c r="B57" s="5" t="s">
        <v>196</v>
      </c>
      <c r="C57" s="5" t="s">
        <v>230</v>
      </c>
      <c r="D57" s="5" t="s">
        <v>232</v>
      </c>
      <c r="E57" s="5" t="s">
        <v>235</v>
      </c>
      <c r="F57" s="5" t="s">
        <v>237</v>
      </c>
      <c r="G57" s="5" t="s">
        <v>239</v>
      </c>
      <c r="H57" s="5" t="s">
        <v>242</v>
      </c>
      <c r="I57" s="5" t="s">
        <v>244</v>
      </c>
      <c r="J57" s="5" t="s">
        <v>245</v>
      </c>
      <c r="K57" s="5" t="s">
        <v>247</v>
      </c>
      <c r="L57" s="5" t="s">
        <v>249</v>
      </c>
      <c r="M57" s="5" t="s">
        <v>252</v>
      </c>
      <c r="N57" s="5" t="s">
        <v>253</v>
      </c>
      <c r="O57" s="5">
        <v>2</v>
      </c>
      <c r="P57" s="5">
        <v>9</v>
      </c>
      <c r="Q57" s="5">
        <v>10</v>
      </c>
      <c r="R57" s="5">
        <v>52</v>
      </c>
      <c r="S57" s="4">
        <f>IF(OR(B57="",Results!B6=""),"",IF(B57=Results!B6,1+IF(OR($O57=1,$P57=1,$Q57=1),1,0),0))</f>
        <v>1</v>
      </c>
      <c r="T57" s="4">
        <f>IF(OR(C57="",Results!C6=""),"",IF(C57=Results!C6,1+IF(OR($O57=2,$P57=2,$Q57=2),1,0),0))</f>
        <v>2</v>
      </c>
      <c r="U57" s="4">
        <f>IF(OR(D57="",Results!D6=""),"",IF(D57=Results!D6,1+IF(OR($O57=3,$P57=3,$Q57=3),1,0),0))</f>
        <v>0</v>
      </c>
      <c r="V57" s="4">
        <f>IF(OR(E57="",Results!E6=""),"",IF(E57=Results!E6,1+IF(OR($O57=4,$P57=4,$Q57=4),1,0),0))</f>
        <v>0</v>
      </c>
      <c r="W57" s="4">
        <f>IF(OR(F57="",Results!F6=""),"",IF(F57=Results!F6,1+IF(OR($O57=5,$P57=5,$Q57=5),1,0),0))</f>
        <v>0</v>
      </c>
      <c r="X57" s="4">
        <f>IF(OR(G57="",Results!G6=""),"",IF(G57=Results!G6,1+IF(OR($O57=6,$P57=6,$Q57=6),1,0),0))</f>
        <v>1</v>
      </c>
      <c r="Y57" s="4">
        <f>IF(OR(H57="",Results!H6=""),"",IF(H57=Results!H6,1+IF(OR($O57=7,$P57=7,$Q57=7),1,0),0))</f>
        <v>0</v>
      </c>
      <c r="Z57" s="4">
        <f>IF(OR(I57="",Results!I6=""),"",IF(I57=Results!I6,1+IF(OR($O57=8,$P57=8,$Q57=8),1,0),0))</f>
        <v>0</v>
      </c>
      <c r="AA57" s="4">
        <f>IF(OR(J57="",Results!J6=""),"",IF(J57=Results!J6,1+IF(OR($O57=9,$P57=9,$Q57=9),1,0),0))</f>
        <v>2</v>
      </c>
      <c r="AB57" s="4">
        <f>IF(OR(K57="",Results!K6=""),"",IF(K57=Results!K6,1+IF(OR($O57=10,$P57=10,$Q57=10),1,0),0))</f>
        <v>2</v>
      </c>
      <c r="AC57" s="4">
        <f>IF(OR(L57="",Results!L6=""),"",IF(L57=Results!L6,1+IF(OR($O57=11,$P57=11,$Q57=11),1,0),0))</f>
        <v>0</v>
      </c>
      <c r="AD57" s="4">
        <f>IF(OR(M57="",Results!M6=""),"",IF(M57=Results!M6,1+IF(OR($O57=12,$P57=12,$Q57=12),1,0),0))</f>
        <v>0</v>
      </c>
      <c r="AE57" s="4">
        <f>IF(OR(N57="",Results!N6=""),"",IF(N57=Results!N6,1+IF(OR($O57=13,$P57=13,$Q57=13),1,0),0))</f>
        <v>1</v>
      </c>
      <c r="AF57" s="11">
        <f t="shared" si="2"/>
        <v>9</v>
      </c>
      <c r="AG57" s="4" t="str">
        <f>IF(OR($R57="",Results!O6=""),"",ABS($R57-Results!O6))</f>
        <v/>
      </c>
      <c r="AH57" s="12">
        <v>28</v>
      </c>
      <c r="AI57" s="13">
        <f>IF(OR(B57="",Results!B6=""),"",IF(AND(B57=Results!B6,Results!B6&lt;&gt;Games!$C$18),1,0))</f>
        <v>0</v>
      </c>
      <c r="AJ57" s="13">
        <f>IF(OR(C57="",Results!C6=""),"",IF(AND(C57=Results!C6,Results!C6&lt;&gt;Games!$C$19),1,0))</f>
        <v>0</v>
      </c>
      <c r="AK57" s="13">
        <f>IF(OR(D57="",Results!D6=""),"",IF(AND(D57=Results!D6,Results!D6&lt;&gt;Games!$C$20),1,0))</f>
        <v>0</v>
      </c>
      <c r="AL57" s="13">
        <f>IF(OR(E57="",Results!E6=""),"",IF(AND(E57=Results!E6,Results!E6&lt;&gt;Games!$C$21),1,0))</f>
        <v>0</v>
      </c>
      <c r="AM57" s="13">
        <f>IF(OR(F57="",Results!F6=""),"",IF(AND(F57=Results!F6,Results!F6&lt;&gt;Games!$C$22),1,0))</f>
        <v>0</v>
      </c>
      <c r="AN57" s="13">
        <f>IF(OR(G57="",Results!G6=""),"",IF(AND(G57=Results!G6,Results!G6&lt;&gt;Games!$C$23),1,0))</f>
        <v>0</v>
      </c>
      <c r="AO57" s="13">
        <f>IF(OR(H57="",Results!H6=""),"",IF(AND(H57=Results!H6,Results!H6&lt;&gt;Games!$C$24),1,0))</f>
        <v>0</v>
      </c>
      <c r="AP57" s="13">
        <f>IF(OR(I57="",Results!I6=""),"",IF(AND(I57=Results!I6,Results!I6&lt;&gt;Games!$C$25),1,0))</f>
        <v>0</v>
      </c>
      <c r="AQ57" s="13">
        <f>IF(OR(J57="",Results!J6=""),"",IF(AND(J57=Results!J6,Results!J6&lt;&gt;Games!$C$26),1,0))</f>
        <v>0</v>
      </c>
      <c r="AR57" s="13">
        <f>IF(OR(K57="",Results!K6=""),"",IF(AND(K57=Results!K6,Results!K6&lt;&gt;Games!$C$27),1,0))</f>
        <v>0</v>
      </c>
      <c r="AS57" s="13">
        <f>IF(OR(L57="",Results!L6=""),"",IF(AND(L57=Results!L6,Results!L6&lt;&gt;Games!$C$28),1,0))</f>
        <v>0</v>
      </c>
      <c r="AT57" s="13">
        <f>IF(OR(M57="",Results!M6=""),"",IF(AND(M57=Results!M6,Results!M6&lt;&gt;Games!$C$29),1,0))</f>
        <v>0</v>
      </c>
      <c r="AU57" s="13">
        <f>IF(OR(N57="",Results!N6=""),"",IF(AND(N57=Results!N6,Results!N6&lt;&gt;Games!$C$30),1,0))</f>
        <v>0</v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 t="s">
        <v>196</v>
      </c>
      <c r="C58" s="5" t="s">
        <v>230</v>
      </c>
      <c r="D58" s="5" t="s">
        <v>232</v>
      </c>
      <c r="E58" s="5" t="s">
        <v>234</v>
      </c>
      <c r="F58" s="5" t="s">
        <v>237</v>
      </c>
      <c r="G58" s="5" t="s">
        <v>239</v>
      </c>
      <c r="H58" s="5" t="s">
        <v>218</v>
      </c>
      <c r="I58" s="5" t="s">
        <v>244</v>
      </c>
      <c r="J58" s="5" t="s">
        <v>245</v>
      </c>
      <c r="K58" s="5" t="s">
        <v>247</v>
      </c>
      <c r="L58" s="5" t="s">
        <v>249</v>
      </c>
      <c r="M58" s="5" t="s">
        <v>252</v>
      </c>
      <c r="N58" s="5" t="s">
        <v>253</v>
      </c>
      <c r="O58" s="5">
        <v>3</v>
      </c>
      <c r="P58" s="5">
        <v>10</v>
      </c>
      <c r="Q58" s="5">
        <v>12</v>
      </c>
      <c r="R58" s="5">
        <v>55</v>
      </c>
      <c r="S58" s="4">
        <f>IF(OR(B58="",Results!B6=""),"",IF(B58=Results!B6,1+IF(OR($O58=1,$P58=1,$Q58=1),1,0),0))</f>
        <v>1</v>
      </c>
      <c r="T58" s="4">
        <f>IF(OR(C58="",Results!C6=""),"",IF(C58=Results!C6,1+IF(OR($O58=2,$P58=2,$Q58=2),1,0),0))</f>
        <v>1</v>
      </c>
      <c r="U58" s="4">
        <f>IF(OR(D58="",Results!D6=""),"",IF(D58=Results!D6,1+IF(OR($O58=3,$P58=3,$Q58=3),1,0),0))</f>
        <v>0</v>
      </c>
      <c r="V58" s="4">
        <f>IF(OR(E58="",Results!E6=""),"",IF(E58=Results!E6,1+IF(OR($O58=4,$P58=4,$Q58=4),1,0),0))</f>
        <v>1</v>
      </c>
      <c r="W58" s="4">
        <f>IF(OR(F58="",Results!F6=""),"",IF(F58=Results!F6,1+IF(OR($O58=5,$P58=5,$Q58=5),1,0),0))</f>
        <v>0</v>
      </c>
      <c r="X58" s="4">
        <f>IF(OR(G58="",Results!G6=""),"",IF(G58=Results!G6,1+IF(OR($O58=6,$P58=6,$Q58=6),1,0),0))</f>
        <v>1</v>
      </c>
      <c r="Y58" s="4">
        <f>IF(OR(H58="",Results!H6=""),"",IF(H58=Results!H6,1+IF(OR($O58=7,$P58=7,$Q58=7),1,0),0))</f>
        <v>1</v>
      </c>
      <c r="Z58" s="4">
        <f>IF(OR(I58="",Results!I6=""),"",IF(I58=Results!I6,1+IF(OR($O58=8,$P58=8,$Q58=8),1,0),0))</f>
        <v>0</v>
      </c>
      <c r="AA58" s="4">
        <f>IF(OR(J58="",Results!J6=""),"",IF(J58=Results!J6,1+IF(OR($O58=9,$P58=9,$Q58=9),1,0),0))</f>
        <v>1</v>
      </c>
      <c r="AB58" s="4">
        <f>IF(OR(K58="",Results!K6=""),"",IF(K58=Results!K6,1+IF(OR($O58=10,$P58=10,$Q58=10),1,0),0))</f>
        <v>2</v>
      </c>
      <c r="AC58" s="4">
        <f>IF(OR(L58="",Results!L6=""),"",IF(L58=Results!L6,1+IF(OR($O58=11,$P58=11,$Q58=11),1,0),0))</f>
        <v>0</v>
      </c>
      <c r="AD58" s="4">
        <f>IF(OR(M58="",Results!M6=""),"",IF(M58=Results!M6,1+IF(OR($O58=12,$P58=12,$Q58=12),1,0),0))</f>
        <v>0</v>
      </c>
      <c r="AE58" s="4">
        <f>IF(OR(N58="",Results!N6=""),"",IF(N58=Results!N6,1+IF(OR($O58=13,$P58=13,$Q58=13),1,0),0))</f>
        <v>1</v>
      </c>
      <c r="AF58" s="11">
        <f t="shared" si="2"/>
        <v>9</v>
      </c>
      <c r="AG58" s="4" t="str">
        <f>IF(OR($R58="",Results!O6=""),"",ABS($R58-Results!O6))</f>
        <v/>
      </c>
      <c r="AH58" s="12">
        <v>29</v>
      </c>
      <c r="AI58" s="13">
        <f>IF(OR(B58="",Results!B6=""),"",IF(AND(B58=Results!B6,Results!B6&lt;&gt;Games!$C$18),1,0))</f>
        <v>0</v>
      </c>
      <c r="AJ58" s="13">
        <f>IF(OR(C58="",Results!C6=""),"",IF(AND(C58=Results!C6,Results!C6&lt;&gt;Games!$C$19),1,0))</f>
        <v>0</v>
      </c>
      <c r="AK58" s="13">
        <f>IF(OR(D58="",Results!D6=""),"",IF(AND(D58=Results!D6,Results!D6&lt;&gt;Games!$C$20),1,0))</f>
        <v>0</v>
      </c>
      <c r="AL58" s="13">
        <f>IF(OR(E58="",Results!E6=""),"",IF(AND(E58=Results!E6,Results!E6&lt;&gt;Games!$C$21),1,0))</f>
        <v>0</v>
      </c>
      <c r="AM58" s="13">
        <f>IF(OR(F58="",Results!F6=""),"",IF(AND(F58=Results!F6,Results!F6&lt;&gt;Games!$C$22),1,0))</f>
        <v>0</v>
      </c>
      <c r="AN58" s="13">
        <f>IF(OR(G58="",Results!G6=""),"",IF(AND(G58=Results!G6,Results!G6&lt;&gt;Games!$C$23),1,0))</f>
        <v>0</v>
      </c>
      <c r="AO58" s="13">
        <f>IF(OR(H58="",Results!H6=""),"",IF(AND(H58=Results!H6,Results!H6&lt;&gt;Games!$C$24),1,0))</f>
        <v>1</v>
      </c>
      <c r="AP58" s="13">
        <f>IF(OR(I58="",Results!I6=""),"",IF(AND(I58=Results!I6,Results!I6&lt;&gt;Games!$C$25),1,0))</f>
        <v>0</v>
      </c>
      <c r="AQ58" s="13">
        <f>IF(OR(J58="",Results!J6=""),"",IF(AND(J58=Results!J6,Results!J6&lt;&gt;Games!$C$26),1,0))</f>
        <v>0</v>
      </c>
      <c r="AR58" s="13">
        <f>IF(OR(K58="",Results!K6=""),"",IF(AND(K58=Results!K6,Results!K6&lt;&gt;Games!$C$27),1,0))</f>
        <v>0</v>
      </c>
      <c r="AS58" s="13">
        <f>IF(OR(L58="",Results!L6=""),"",IF(AND(L58=Results!L6,Results!L6&lt;&gt;Games!$C$28),1,0))</f>
        <v>0</v>
      </c>
      <c r="AT58" s="13">
        <f>IF(OR(M58="",Results!M6=""),"",IF(AND(M58=Results!M6,Results!M6&lt;&gt;Games!$C$29),1,0))</f>
        <v>0</v>
      </c>
      <c r="AU58" s="13">
        <f>IF(OR(N58="",Results!N6=""),"",IF(AND(N58=Results!N6,Results!N6&lt;&gt;Games!$C$30),1,0))</f>
        <v>0</v>
      </c>
      <c r="AV58" s="14">
        <f t="shared" si="3"/>
        <v>1</v>
      </c>
    </row>
    <row r="59" spans="1:48" ht="15" customHeight="1" x14ac:dyDescent="0.25">
      <c r="A59" s="4" t="str">
        <f>INDEX(Players!$D$6:$D$69,MATCH(51,Players!$A$6:$A$69,0))</f>
        <v>Stephanie C.</v>
      </c>
      <c r="B59" s="5" t="s">
        <v>196</v>
      </c>
      <c r="C59" s="5" t="s">
        <v>230</v>
      </c>
      <c r="D59" s="5" t="s">
        <v>233</v>
      </c>
      <c r="E59" s="5" t="s">
        <v>235</v>
      </c>
      <c r="F59" s="5" t="s">
        <v>238</v>
      </c>
      <c r="G59" s="5" t="s">
        <v>240</v>
      </c>
      <c r="H59" s="5" t="s">
        <v>242</v>
      </c>
      <c r="I59" s="5" t="s">
        <v>199</v>
      </c>
      <c r="J59" s="5" t="s">
        <v>245</v>
      </c>
      <c r="K59" s="5" t="s">
        <v>247</v>
      </c>
      <c r="L59" s="5" t="s">
        <v>250</v>
      </c>
      <c r="M59" s="5" t="s">
        <v>251</v>
      </c>
      <c r="N59" s="5" t="s">
        <v>253</v>
      </c>
      <c r="O59" s="5">
        <v>2</v>
      </c>
      <c r="P59" s="5">
        <v>9</v>
      </c>
      <c r="Q59" s="5">
        <v>10</v>
      </c>
      <c r="R59" s="5">
        <v>64</v>
      </c>
      <c r="S59" s="4">
        <f>IF(OR(B59="",Results!B6=""),"",IF(B59=Results!B6,1+IF(OR($O59=1,$P59=1,$Q59=1),1,0),0))</f>
        <v>1</v>
      </c>
      <c r="T59" s="4">
        <f>IF(OR(C59="",Results!C6=""),"",IF(C59=Results!C6,1+IF(OR($O59=2,$P59=2,$Q59=2),1,0),0))</f>
        <v>2</v>
      </c>
      <c r="U59" s="4">
        <f>IF(OR(D59="",Results!D6=""),"",IF(D59=Results!D6,1+IF(OR($O59=3,$P59=3,$Q59=3),1,0),0))</f>
        <v>1</v>
      </c>
      <c r="V59" s="4">
        <f>IF(OR(E59="",Results!E6=""),"",IF(E59=Results!E6,1+IF(OR($O59=4,$P59=4,$Q59=4),1,0),0))</f>
        <v>0</v>
      </c>
      <c r="W59" s="4">
        <f>IF(OR(F59="",Results!F6=""),"",IF(F59=Results!F6,1+IF(OR($O59=5,$P59=5,$Q59=5),1,0),0))</f>
        <v>1</v>
      </c>
      <c r="X59" s="4">
        <f>IF(OR(G59="",Results!G6=""),"",IF(G59=Results!G6,1+IF(OR($O59=6,$P59=6,$Q59=6),1,0),0))</f>
        <v>0</v>
      </c>
      <c r="Y59" s="4">
        <f>IF(OR(H59="",Results!H6=""),"",IF(H59=Results!H6,1+IF(OR($O59=7,$P59=7,$Q59=7),1,0),0))</f>
        <v>0</v>
      </c>
      <c r="Z59" s="4">
        <f>IF(OR(I59="",Results!I6=""),"",IF(I59=Results!I6,1+IF(OR($O59=8,$P59=8,$Q59=8),1,0),0))</f>
        <v>1</v>
      </c>
      <c r="AA59" s="4">
        <f>IF(OR(J59="",Results!J6=""),"",IF(J59=Results!J6,1+IF(OR($O59=9,$P59=9,$Q59=9),1,0),0))</f>
        <v>2</v>
      </c>
      <c r="AB59" s="4">
        <f>IF(OR(K59="",Results!K6=""),"",IF(K59=Results!K6,1+IF(OR($O59=10,$P59=10,$Q59=10),1,0),0))</f>
        <v>2</v>
      </c>
      <c r="AC59" s="4">
        <f>IF(OR(L59="",Results!L6=""),"",IF(L59=Results!L6,1+IF(OR($O59=11,$P59=11,$Q59=11),1,0),0))</f>
        <v>1</v>
      </c>
      <c r="AD59" s="4">
        <f>IF(OR(M59="",Results!M6=""),"",IF(M59=Results!M6,1+IF(OR($O59=12,$P59=12,$Q59=12),1,0),0))</f>
        <v>1</v>
      </c>
      <c r="AE59" s="4">
        <f>IF(OR(N59="",Results!N6=""),"",IF(N59=Results!N6,1+IF(OR($O59=13,$P59=13,$Q59=13),1,0),0))</f>
        <v>1</v>
      </c>
      <c r="AF59" s="11">
        <f t="shared" si="2"/>
        <v>13</v>
      </c>
      <c r="AG59" s="4" t="str">
        <f>IF(OR($R59="",Results!O6=""),"",ABS($R59-Results!O6))</f>
        <v/>
      </c>
      <c r="AH59" s="12">
        <v>51</v>
      </c>
      <c r="AI59" s="13">
        <f>IF(OR(B59="",Results!B6=""),"",IF(AND(B59=Results!B6,Results!B6&lt;&gt;Games!$C$18),1,0))</f>
        <v>0</v>
      </c>
      <c r="AJ59" s="13">
        <f>IF(OR(C59="",Results!C6=""),"",IF(AND(C59=Results!C6,Results!C6&lt;&gt;Games!$C$19),1,0))</f>
        <v>0</v>
      </c>
      <c r="AK59" s="13">
        <f>IF(OR(D59="",Results!D6=""),"",IF(AND(D59=Results!D6,Results!D6&lt;&gt;Games!$C$20),1,0))</f>
        <v>1</v>
      </c>
      <c r="AL59" s="13">
        <f>IF(OR(E59="",Results!E6=""),"",IF(AND(E59=Results!E6,Results!E6&lt;&gt;Games!$C$21),1,0))</f>
        <v>0</v>
      </c>
      <c r="AM59" s="13">
        <f>IF(OR(F59="",Results!F6=""),"",IF(AND(F59=Results!F6,Results!F6&lt;&gt;Games!$C$22),1,0))</f>
        <v>1</v>
      </c>
      <c r="AN59" s="13">
        <f>IF(OR(G59="",Results!G6=""),"",IF(AND(G59=Results!G6,Results!G6&lt;&gt;Games!$C$23),1,0))</f>
        <v>0</v>
      </c>
      <c r="AO59" s="13">
        <f>IF(OR(H59="",Results!H6=""),"",IF(AND(H59=Results!H6,Results!H6&lt;&gt;Games!$C$24),1,0))</f>
        <v>0</v>
      </c>
      <c r="AP59" s="13">
        <f>IF(OR(I59="",Results!I6=""),"",IF(AND(I59=Results!I6,Results!I6&lt;&gt;Games!$C$25),1,0))</f>
        <v>1</v>
      </c>
      <c r="AQ59" s="13">
        <f>IF(OR(J59="",Results!J6=""),"",IF(AND(J59=Results!J6,Results!J6&lt;&gt;Games!$C$26),1,0))</f>
        <v>0</v>
      </c>
      <c r="AR59" s="13">
        <f>IF(OR(K59="",Results!K6=""),"",IF(AND(K59=Results!K6,Results!K6&lt;&gt;Games!$C$27),1,0))</f>
        <v>0</v>
      </c>
      <c r="AS59" s="13">
        <f>IF(OR(L59="",Results!L6=""),"",IF(AND(L59=Results!L6,Results!L6&lt;&gt;Games!$C$28),1,0))</f>
        <v>1</v>
      </c>
      <c r="AT59" s="13">
        <f>IF(OR(M59="",Results!M6=""),"",IF(AND(M59=Results!M6,Results!M6&lt;&gt;Games!$C$29),1,0))</f>
        <v>0</v>
      </c>
      <c r="AU59" s="13">
        <f>IF(OR(N59="",Results!N6=""),"",IF(AND(N59=Results!N6,Results!N6&lt;&gt;Games!$C$30),1,0))</f>
        <v>0</v>
      </c>
      <c r="AV59" s="14">
        <f t="shared" si="3"/>
        <v>4</v>
      </c>
    </row>
    <row r="60" spans="1:48" ht="15" customHeight="1" x14ac:dyDescent="0.25">
      <c r="A60" s="4" t="str">
        <f>INDEX(Players!$D$6:$D$69,MATCH(45,Players!$A$6:$A$69,0))</f>
        <v>Taylor M.</v>
      </c>
      <c r="B60" s="5" t="s">
        <v>196</v>
      </c>
      <c r="C60" s="5" t="s">
        <v>230</v>
      </c>
      <c r="D60" s="5" t="s">
        <v>233</v>
      </c>
      <c r="E60" s="5" t="s">
        <v>234</v>
      </c>
      <c r="F60" s="5" t="s">
        <v>238</v>
      </c>
      <c r="G60" s="5" t="s">
        <v>240</v>
      </c>
      <c r="H60" s="5" t="s">
        <v>242</v>
      </c>
      <c r="I60" s="5" t="s">
        <v>244</v>
      </c>
      <c r="J60" s="5" t="s">
        <v>245</v>
      </c>
      <c r="K60" s="5" t="s">
        <v>247</v>
      </c>
      <c r="L60" s="5" t="s">
        <v>249</v>
      </c>
      <c r="M60" s="5" t="s">
        <v>252</v>
      </c>
      <c r="N60" s="5" t="s">
        <v>253</v>
      </c>
      <c r="O60" s="5">
        <v>4</v>
      </c>
      <c r="P60" s="5">
        <v>9</v>
      </c>
      <c r="Q60" s="5">
        <v>10</v>
      </c>
      <c r="R60" s="5">
        <v>55</v>
      </c>
      <c r="S60" s="4">
        <f>IF(OR(B60="",Results!B6=""),"",IF(B60=Results!B6,1+IF(OR($O60=1,$P60=1,$Q60=1),1,0),0))</f>
        <v>1</v>
      </c>
      <c r="T60" s="4">
        <f>IF(OR(C60="",Results!C6=""),"",IF(C60=Results!C6,1+IF(OR($O60=2,$P60=2,$Q60=2),1,0),0))</f>
        <v>1</v>
      </c>
      <c r="U60" s="4">
        <f>IF(OR(D60="",Results!D6=""),"",IF(D60=Results!D6,1+IF(OR($O60=3,$P60=3,$Q60=3),1,0),0))</f>
        <v>1</v>
      </c>
      <c r="V60" s="4">
        <f>IF(OR(E60="",Results!E6=""),"",IF(E60=Results!E6,1+IF(OR($O60=4,$P60=4,$Q60=4),1,0),0))</f>
        <v>2</v>
      </c>
      <c r="W60" s="4">
        <f>IF(OR(F60="",Results!F6=""),"",IF(F60=Results!F6,1+IF(OR($O60=5,$P60=5,$Q60=5),1,0),0))</f>
        <v>1</v>
      </c>
      <c r="X60" s="4">
        <f>IF(OR(G60="",Results!G6=""),"",IF(G60=Results!G6,1+IF(OR($O60=6,$P60=6,$Q60=6),1,0),0))</f>
        <v>0</v>
      </c>
      <c r="Y60" s="4">
        <f>IF(OR(H60="",Results!H6=""),"",IF(H60=Results!H6,1+IF(OR($O60=7,$P60=7,$Q60=7),1,0),0))</f>
        <v>0</v>
      </c>
      <c r="Z60" s="4">
        <f>IF(OR(I60="",Results!I6=""),"",IF(I60=Results!I6,1+IF(OR($O60=8,$P60=8,$Q60=8),1,0),0))</f>
        <v>0</v>
      </c>
      <c r="AA60" s="4">
        <f>IF(OR(J60="",Results!J6=""),"",IF(J60=Results!J6,1+IF(OR($O60=9,$P60=9,$Q60=9),1,0),0))</f>
        <v>2</v>
      </c>
      <c r="AB60" s="4">
        <f>IF(OR(K60="",Results!K6=""),"",IF(K60=Results!K6,1+IF(OR($O60=10,$P60=10,$Q60=10),1,0),0))</f>
        <v>2</v>
      </c>
      <c r="AC60" s="4">
        <f>IF(OR(L60="",Results!L6=""),"",IF(L60=Results!L6,1+IF(OR($O60=11,$P60=11,$Q60=11),1,0),0))</f>
        <v>0</v>
      </c>
      <c r="AD60" s="4">
        <f>IF(OR(M60="",Results!M6=""),"",IF(M60=Results!M6,1+IF(OR($O60=12,$P60=12,$Q60=12),1,0),0))</f>
        <v>0</v>
      </c>
      <c r="AE60" s="4">
        <f>IF(OR(N60="",Results!N6=""),"",IF(N60=Results!N6,1+IF(OR($O60=13,$P60=13,$Q60=13),1,0),0))</f>
        <v>1</v>
      </c>
      <c r="AF60" s="11">
        <f t="shared" si="2"/>
        <v>11</v>
      </c>
      <c r="AG60" s="4" t="str">
        <f>IF(OR($R60="",Results!O6=""),"",ABS($R60-Results!O6))</f>
        <v/>
      </c>
      <c r="AH60" s="12">
        <v>45</v>
      </c>
      <c r="AI60" s="13">
        <f>IF(OR(B60="",Results!B6=""),"",IF(AND(B60=Results!B6,Results!B6&lt;&gt;Games!$C$18),1,0))</f>
        <v>0</v>
      </c>
      <c r="AJ60" s="13">
        <f>IF(OR(C60="",Results!C6=""),"",IF(AND(C60=Results!C6,Results!C6&lt;&gt;Games!$C$19),1,0))</f>
        <v>0</v>
      </c>
      <c r="AK60" s="13">
        <f>IF(OR(D60="",Results!D6=""),"",IF(AND(D60=Results!D6,Results!D6&lt;&gt;Games!$C$20),1,0))</f>
        <v>1</v>
      </c>
      <c r="AL60" s="13">
        <f>IF(OR(E60="",Results!E6=""),"",IF(AND(E60=Results!E6,Results!E6&lt;&gt;Games!$C$21),1,0))</f>
        <v>0</v>
      </c>
      <c r="AM60" s="13">
        <f>IF(OR(F60="",Results!F6=""),"",IF(AND(F60=Results!F6,Results!F6&lt;&gt;Games!$C$22),1,0))</f>
        <v>1</v>
      </c>
      <c r="AN60" s="13">
        <f>IF(OR(G60="",Results!G6=""),"",IF(AND(G60=Results!G6,Results!G6&lt;&gt;Games!$C$23),1,0))</f>
        <v>0</v>
      </c>
      <c r="AO60" s="13">
        <f>IF(OR(H60="",Results!H6=""),"",IF(AND(H60=Results!H6,Results!H6&lt;&gt;Games!$C$24),1,0))</f>
        <v>0</v>
      </c>
      <c r="AP60" s="13">
        <f>IF(OR(I60="",Results!I6=""),"",IF(AND(I60=Results!I6,Results!I6&lt;&gt;Games!$C$25),1,0))</f>
        <v>0</v>
      </c>
      <c r="AQ60" s="13">
        <f>IF(OR(J60="",Results!J6=""),"",IF(AND(J60=Results!J6,Results!J6&lt;&gt;Games!$C$26),1,0))</f>
        <v>0</v>
      </c>
      <c r="AR60" s="13">
        <f>IF(OR(K60="",Results!K6=""),"",IF(AND(K60=Results!K6,Results!K6&lt;&gt;Games!$C$27),1,0))</f>
        <v>0</v>
      </c>
      <c r="AS60" s="13">
        <f>IF(OR(L60="",Results!L6=""),"",IF(AND(L60=Results!L6,Results!L6&lt;&gt;Games!$C$28),1,0))</f>
        <v>0</v>
      </c>
      <c r="AT60" s="13">
        <f>IF(OR(M60="",Results!M6=""),"",IF(AND(M60=Results!M6,Results!M6&lt;&gt;Games!$C$29),1,0))</f>
        <v>0</v>
      </c>
      <c r="AU60" s="13">
        <f>IF(OR(N60="",Results!N6=""),"",IF(AND(N60=Results!N6,Results!N6&lt;&gt;Games!$C$30),1,0))</f>
        <v>0</v>
      </c>
      <c r="AV60" s="14">
        <f t="shared" si="3"/>
        <v>2</v>
      </c>
    </row>
    <row r="61" spans="1:48" ht="15" customHeight="1" x14ac:dyDescent="0.25">
      <c r="A61" s="4" t="str">
        <f>INDEX(Players!$D$6:$D$69,MATCH(30,Players!$A$6:$A$69,0))</f>
        <v>Tom B.</v>
      </c>
      <c r="B61" s="5" t="s">
        <v>196</v>
      </c>
      <c r="C61" s="5" t="s">
        <v>230</v>
      </c>
      <c r="D61" s="5" t="s">
        <v>232</v>
      </c>
      <c r="E61" s="5" t="s">
        <v>234</v>
      </c>
      <c r="F61" s="5" t="s">
        <v>237</v>
      </c>
      <c r="G61" s="5" t="s">
        <v>239</v>
      </c>
      <c r="H61" s="5" t="s">
        <v>242</v>
      </c>
      <c r="I61" s="5" t="s">
        <v>244</v>
      </c>
      <c r="J61" s="5" t="s">
        <v>245</v>
      </c>
      <c r="K61" s="5" t="s">
        <v>247</v>
      </c>
      <c r="L61" s="5" t="s">
        <v>249</v>
      </c>
      <c r="M61" s="5" t="s">
        <v>251</v>
      </c>
      <c r="N61" s="5" t="s">
        <v>253</v>
      </c>
      <c r="O61" s="5">
        <v>2</v>
      </c>
      <c r="P61" s="5">
        <v>3</v>
      </c>
      <c r="Q61" s="5">
        <v>11</v>
      </c>
      <c r="R61" s="5">
        <v>69</v>
      </c>
      <c r="S61" s="4">
        <f>IF(OR(B61="",Results!B6=""),"",IF(B61=Results!B6,1+IF(OR($O61=1,$P61=1,$Q61=1),1,0),0))</f>
        <v>1</v>
      </c>
      <c r="T61" s="4">
        <f>IF(OR(C61="",Results!C6=""),"",IF(C61=Results!C6,1+IF(OR($O61=2,$P61=2,$Q61=2),1,0),0))</f>
        <v>2</v>
      </c>
      <c r="U61" s="4">
        <f>IF(OR(D61="",Results!D6=""),"",IF(D61=Results!D6,1+IF(OR($O61=3,$P61=3,$Q61=3),1,0),0))</f>
        <v>0</v>
      </c>
      <c r="V61" s="4">
        <f>IF(OR(E61="",Results!E6=""),"",IF(E61=Results!E6,1+IF(OR($O61=4,$P61=4,$Q61=4),1,0),0))</f>
        <v>1</v>
      </c>
      <c r="W61" s="4">
        <f>IF(OR(F61="",Results!F6=""),"",IF(F61=Results!F6,1+IF(OR($O61=5,$P61=5,$Q61=5),1,0),0))</f>
        <v>0</v>
      </c>
      <c r="X61" s="4">
        <f>IF(OR(G61="",Results!G6=""),"",IF(G61=Results!G6,1+IF(OR($O61=6,$P61=6,$Q61=6),1,0),0))</f>
        <v>1</v>
      </c>
      <c r="Y61" s="4">
        <f>IF(OR(H61="",Results!H6=""),"",IF(H61=Results!H6,1+IF(OR($O61=7,$P61=7,$Q61=7),1,0),0))</f>
        <v>0</v>
      </c>
      <c r="Z61" s="4">
        <f>IF(OR(I61="",Results!I6=""),"",IF(I61=Results!I6,1+IF(OR($O61=8,$P61=8,$Q61=8),1,0),0))</f>
        <v>0</v>
      </c>
      <c r="AA61" s="4">
        <f>IF(OR(J61="",Results!J6=""),"",IF(J61=Results!J6,1+IF(OR($O61=9,$P61=9,$Q61=9),1,0),0))</f>
        <v>1</v>
      </c>
      <c r="AB61" s="4">
        <f>IF(OR(K61="",Results!K6=""),"",IF(K61=Results!K6,1+IF(OR($O61=10,$P61=10,$Q61=10),1,0),0))</f>
        <v>1</v>
      </c>
      <c r="AC61" s="4">
        <f>IF(OR(L61="",Results!L6=""),"",IF(L61=Results!L6,1+IF(OR($O61=11,$P61=11,$Q61=11),1,0),0))</f>
        <v>0</v>
      </c>
      <c r="AD61" s="4">
        <f>IF(OR(M61="",Results!M6=""),"",IF(M61=Results!M6,1+IF(OR($O61=12,$P61=12,$Q61=12),1,0),0))</f>
        <v>1</v>
      </c>
      <c r="AE61" s="4">
        <f>IF(OR(N61="",Results!N6=""),"",IF(N61=Results!N6,1+IF(OR($O61=13,$P61=13,$Q61=13),1,0),0))</f>
        <v>1</v>
      </c>
      <c r="AF61" s="11">
        <f t="shared" si="2"/>
        <v>9</v>
      </c>
      <c r="AG61" s="4" t="str">
        <f>IF(OR($R61="",Results!O6=""),"",ABS($R61-Results!O6))</f>
        <v/>
      </c>
      <c r="AH61" s="12">
        <v>30</v>
      </c>
      <c r="AI61" s="13">
        <f>IF(OR(B61="",Results!B6=""),"",IF(AND(B61=Results!B6,Results!B6&lt;&gt;Games!$C$18),1,0))</f>
        <v>0</v>
      </c>
      <c r="AJ61" s="13">
        <f>IF(OR(C61="",Results!C6=""),"",IF(AND(C61=Results!C6,Results!C6&lt;&gt;Games!$C$19),1,0))</f>
        <v>0</v>
      </c>
      <c r="AK61" s="13">
        <f>IF(OR(D61="",Results!D6=""),"",IF(AND(D61=Results!D6,Results!D6&lt;&gt;Games!$C$20),1,0))</f>
        <v>0</v>
      </c>
      <c r="AL61" s="13">
        <f>IF(OR(E61="",Results!E6=""),"",IF(AND(E61=Results!E6,Results!E6&lt;&gt;Games!$C$21),1,0))</f>
        <v>0</v>
      </c>
      <c r="AM61" s="13">
        <f>IF(OR(F61="",Results!F6=""),"",IF(AND(F61=Results!F6,Results!F6&lt;&gt;Games!$C$22),1,0))</f>
        <v>0</v>
      </c>
      <c r="AN61" s="13">
        <f>IF(OR(G61="",Results!G6=""),"",IF(AND(G61=Results!G6,Results!G6&lt;&gt;Games!$C$23),1,0))</f>
        <v>0</v>
      </c>
      <c r="AO61" s="13">
        <f>IF(OR(H61="",Results!H6=""),"",IF(AND(H61=Results!H6,Results!H6&lt;&gt;Games!$C$24),1,0))</f>
        <v>0</v>
      </c>
      <c r="AP61" s="13">
        <f>IF(OR(I61="",Results!I6=""),"",IF(AND(I61=Results!I6,Results!I6&lt;&gt;Games!$C$25),1,0))</f>
        <v>0</v>
      </c>
      <c r="AQ61" s="13">
        <f>IF(OR(J61="",Results!J6=""),"",IF(AND(J61=Results!J6,Results!J6&lt;&gt;Games!$C$26),1,0))</f>
        <v>0</v>
      </c>
      <c r="AR61" s="13">
        <f>IF(OR(K61="",Results!K6=""),"",IF(AND(K61=Results!K6,Results!K6&lt;&gt;Games!$C$27),1,0))</f>
        <v>0</v>
      </c>
      <c r="AS61" s="13">
        <f>IF(OR(L61="",Results!L6=""),"",IF(AND(L61=Results!L6,Results!L6&lt;&gt;Games!$C$28),1,0))</f>
        <v>0</v>
      </c>
      <c r="AT61" s="13">
        <f>IF(OR(M61="",Results!M6=""),"",IF(AND(M61=Results!M6,Results!M6&lt;&gt;Games!$C$29),1,0))</f>
        <v>0</v>
      </c>
      <c r="AU61" s="13">
        <f>IF(OR(N61="",Results!N6=""),"",IF(AND(N61=Results!N6,Results!N6&lt;&gt;Games!$C$30),1,0))</f>
        <v>0</v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 t="s">
        <v>228</v>
      </c>
      <c r="C62" s="5" t="s">
        <v>230</v>
      </c>
      <c r="D62" s="5" t="s">
        <v>232</v>
      </c>
      <c r="E62" s="5" t="s">
        <v>234</v>
      </c>
      <c r="F62" s="5" t="s">
        <v>237</v>
      </c>
      <c r="G62" s="5" t="s">
        <v>239</v>
      </c>
      <c r="H62" s="5" t="s">
        <v>242</v>
      </c>
      <c r="I62" s="5" t="s">
        <v>244</v>
      </c>
      <c r="J62" s="5" t="s">
        <v>245</v>
      </c>
      <c r="K62" s="5" t="s">
        <v>247</v>
      </c>
      <c r="L62" s="5" t="s">
        <v>249</v>
      </c>
      <c r="M62" s="5" t="s">
        <v>251</v>
      </c>
      <c r="N62" s="5" t="s">
        <v>253</v>
      </c>
      <c r="O62" s="5">
        <v>1</v>
      </c>
      <c r="P62" s="5">
        <v>3</v>
      </c>
      <c r="Q62" s="5">
        <v>12</v>
      </c>
      <c r="R62" s="5">
        <v>56</v>
      </c>
      <c r="S62" s="4">
        <f>IF(OR(B62="",Results!B6=""),"",IF(B62=Results!B6,1+IF(OR($O62=1,$P62=1,$Q62=1),1,0),0))</f>
        <v>0</v>
      </c>
      <c r="T62" s="4">
        <f>IF(OR(C62="",Results!C6=""),"",IF(C62=Results!C6,1+IF(OR($O62=2,$P62=2,$Q62=2),1,0),0))</f>
        <v>1</v>
      </c>
      <c r="U62" s="4">
        <f>IF(OR(D62="",Results!D6=""),"",IF(D62=Results!D6,1+IF(OR($O62=3,$P62=3,$Q62=3),1,0),0))</f>
        <v>0</v>
      </c>
      <c r="V62" s="4">
        <f>IF(OR(E62="",Results!E6=""),"",IF(E62=Results!E6,1+IF(OR($O62=4,$P62=4,$Q62=4),1,0),0))</f>
        <v>1</v>
      </c>
      <c r="W62" s="4">
        <f>IF(OR(F62="",Results!F6=""),"",IF(F62=Results!F6,1+IF(OR($O62=5,$P62=5,$Q62=5),1,0),0))</f>
        <v>0</v>
      </c>
      <c r="X62" s="4">
        <f>IF(OR(G62="",Results!G6=""),"",IF(G62=Results!G6,1+IF(OR($O62=6,$P62=6,$Q62=6),1,0),0))</f>
        <v>1</v>
      </c>
      <c r="Y62" s="4">
        <f>IF(OR(H62="",Results!H6=""),"",IF(H62=Results!H6,1+IF(OR($O62=7,$P62=7,$Q62=7),1,0),0))</f>
        <v>0</v>
      </c>
      <c r="Z62" s="4">
        <f>IF(OR(I62="",Results!I6=""),"",IF(I62=Results!I6,1+IF(OR($O62=8,$P62=8,$Q62=8),1,0),0))</f>
        <v>0</v>
      </c>
      <c r="AA62" s="4">
        <f>IF(OR(J62="",Results!J6=""),"",IF(J62=Results!J6,1+IF(OR($O62=9,$P62=9,$Q62=9),1,0),0))</f>
        <v>1</v>
      </c>
      <c r="AB62" s="4">
        <f>IF(OR(K62="",Results!K6=""),"",IF(K62=Results!K6,1+IF(OR($O62=10,$P62=10,$Q62=10),1,0),0))</f>
        <v>1</v>
      </c>
      <c r="AC62" s="4">
        <f>IF(OR(L62="",Results!L6=""),"",IF(L62=Results!L6,1+IF(OR($O62=11,$P62=11,$Q62=11),1,0),0))</f>
        <v>0</v>
      </c>
      <c r="AD62" s="4">
        <f>IF(OR(M62="",Results!M6=""),"",IF(M62=Results!M6,1+IF(OR($O62=12,$P62=12,$Q62=12),1,0),0))</f>
        <v>2</v>
      </c>
      <c r="AE62" s="4">
        <f>IF(OR(N62="",Results!N6=""),"",IF(N62=Results!N6,1+IF(OR($O62=13,$P62=13,$Q62=13),1,0),0))</f>
        <v>1</v>
      </c>
      <c r="AF62" s="11">
        <f t="shared" si="2"/>
        <v>8</v>
      </c>
      <c r="AG62" s="4" t="str">
        <f>IF(OR($R62="",Results!O6=""),"",ABS($R62-Results!O6))</f>
        <v/>
      </c>
      <c r="AH62" s="12">
        <v>31</v>
      </c>
      <c r="AI62" s="13">
        <f>IF(OR(B62="",Results!B6=""),"",IF(AND(B62=Results!B6,Results!B6&lt;&gt;Games!$C$18),1,0))</f>
        <v>0</v>
      </c>
      <c r="AJ62" s="13">
        <f>IF(OR(C62="",Results!C6=""),"",IF(AND(C62=Results!C6,Results!C6&lt;&gt;Games!$C$19),1,0))</f>
        <v>0</v>
      </c>
      <c r="AK62" s="13">
        <f>IF(OR(D62="",Results!D6=""),"",IF(AND(D62=Results!D6,Results!D6&lt;&gt;Games!$C$20),1,0))</f>
        <v>0</v>
      </c>
      <c r="AL62" s="13">
        <f>IF(OR(E62="",Results!E6=""),"",IF(AND(E62=Results!E6,Results!E6&lt;&gt;Games!$C$21),1,0))</f>
        <v>0</v>
      </c>
      <c r="AM62" s="13">
        <f>IF(OR(F62="",Results!F6=""),"",IF(AND(F62=Results!F6,Results!F6&lt;&gt;Games!$C$22),1,0))</f>
        <v>0</v>
      </c>
      <c r="AN62" s="13">
        <f>IF(OR(G62="",Results!G6=""),"",IF(AND(G62=Results!G6,Results!G6&lt;&gt;Games!$C$23),1,0))</f>
        <v>0</v>
      </c>
      <c r="AO62" s="13">
        <f>IF(OR(H62="",Results!H6=""),"",IF(AND(H62=Results!H6,Results!H6&lt;&gt;Games!$C$24),1,0))</f>
        <v>0</v>
      </c>
      <c r="AP62" s="13">
        <f>IF(OR(I62="",Results!I6=""),"",IF(AND(I62=Results!I6,Results!I6&lt;&gt;Games!$C$25),1,0))</f>
        <v>0</v>
      </c>
      <c r="AQ62" s="13">
        <f>IF(OR(J62="",Results!J6=""),"",IF(AND(J62=Results!J6,Results!J6&lt;&gt;Games!$C$26),1,0))</f>
        <v>0</v>
      </c>
      <c r="AR62" s="13">
        <f>IF(OR(K62="",Results!K6=""),"",IF(AND(K62=Results!K6,Results!K6&lt;&gt;Games!$C$27),1,0))</f>
        <v>0</v>
      </c>
      <c r="AS62" s="13">
        <f>IF(OR(L62="",Results!L6=""),"",IF(AND(L62=Results!L6,Results!L6&lt;&gt;Games!$C$28),1,0))</f>
        <v>0</v>
      </c>
      <c r="AT62" s="13">
        <f>IF(OR(M62="",Results!M6=""),"",IF(AND(M62=Results!M6,Results!M6&lt;&gt;Games!$C$29),1,0))</f>
        <v>0</v>
      </c>
      <c r="AU62" s="13">
        <f>IF(OR(N62="",Results!N6=""),"",IF(AND(N62=Results!N6,Results!N6&lt;&gt;Games!$C$30),1,0))</f>
        <v>0</v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 t="s">
        <v>196</v>
      </c>
      <c r="C63" s="5" t="s">
        <v>230</v>
      </c>
      <c r="D63" s="5" t="s">
        <v>232</v>
      </c>
      <c r="E63" s="5" t="s">
        <v>234</v>
      </c>
      <c r="F63" s="5" t="s">
        <v>237</v>
      </c>
      <c r="G63" s="5" t="s">
        <v>240</v>
      </c>
      <c r="H63" s="5" t="s">
        <v>242</v>
      </c>
      <c r="I63" s="5" t="s">
        <v>244</v>
      </c>
      <c r="J63" s="5" t="s">
        <v>246</v>
      </c>
      <c r="K63" s="5" t="s">
        <v>247</v>
      </c>
      <c r="L63" s="5" t="s">
        <v>249</v>
      </c>
      <c r="M63" s="5" t="s">
        <v>252</v>
      </c>
      <c r="N63" s="5" t="s">
        <v>254</v>
      </c>
      <c r="O63" s="5">
        <v>3</v>
      </c>
      <c r="P63" s="5">
        <v>10</v>
      </c>
      <c r="Q63" s="5">
        <v>11</v>
      </c>
      <c r="R63" s="5">
        <v>57</v>
      </c>
      <c r="S63" s="4">
        <f>IF(OR(B63="",Results!B6=""),"",IF(B63=Results!B6,1+IF(OR($O63=1,$P63=1,$Q63=1),1,0),0))</f>
        <v>1</v>
      </c>
      <c r="T63" s="4">
        <f>IF(OR(C63="",Results!C6=""),"",IF(C63=Results!C6,1+IF(OR($O63=2,$P63=2,$Q63=2),1,0),0))</f>
        <v>1</v>
      </c>
      <c r="U63" s="4">
        <f>IF(OR(D63="",Results!D6=""),"",IF(D63=Results!D6,1+IF(OR($O63=3,$P63=3,$Q63=3),1,0),0))</f>
        <v>0</v>
      </c>
      <c r="V63" s="4">
        <f>IF(OR(E63="",Results!E6=""),"",IF(E63=Results!E6,1+IF(OR($O63=4,$P63=4,$Q63=4),1,0),0))</f>
        <v>1</v>
      </c>
      <c r="W63" s="4">
        <f>IF(OR(F63="",Results!F6=""),"",IF(F63=Results!F6,1+IF(OR($O63=5,$P63=5,$Q63=5),1,0),0))</f>
        <v>0</v>
      </c>
      <c r="X63" s="4">
        <f>IF(OR(G63="",Results!G6=""),"",IF(G63=Results!G6,1+IF(OR($O63=6,$P63=6,$Q63=6),1,0),0))</f>
        <v>0</v>
      </c>
      <c r="Y63" s="4">
        <f>IF(OR(H63="",Results!H6=""),"",IF(H63=Results!H6,1+IF(OR($O63=7,$P63=7,$Q63=7),1,0),0))</f>
        <v>0</v>
      </c>
      <c r="Z63" s="4">
        <f>IF(OR(I63="",Results!I6=""),"",IF(I63=Results!I6,1+IF(OR($O63=8,$P63=8,$Q63=8),1,0),0))</f>
        <v>0</v>
      </c>
      <c r="AA63" s="4">
        <f>IF(OR(J63="",Results!J6=""),"",IF(J63=Results!J6,1+IF(OR($O63=9,$P63=9,$Q63=9),1,0),0))</f>
        <v>0</v>
      </c>
      <c r="AB63" s="4">
        <f>IF(OR(K63="",Results!K6=""),"",IF(K63=Results!K6,1+IF(OR($O63=10,$P63=10,$Q63=10),1,0),0))</f>
        <v>2</v>
      </c>
      <c r="AC63" s="4">
        <f>IF(OR(L63="",Results!L6=""),"",IF(L63=Results!L6,1+IF(OR($O63=11,$P63=11,$Q63=11),1,0),0))</f>
        <v>0</v>
      </c>
      <c r="AD63" s="4">
        <f>IF(OR(M63="",Results!M6=""),"",IF(M63=Results!M6,1+IF(OR($O63=12,$P63=12,$Q63=12),1,0),0))</f>
        <v>0</v>
      </c>
      <c r="AE63" s="4">
        <f>IF(OR(N63="",Results!N6=""),"",IF(N63=Results!N6,1+IF(OR($O63=13,$P63=13,$Q63=13),1,0),0))</f>
        <v>0</v>
      </c>
      <c r="AF63" s="11">
        <f t="shared" si="2"/>
        <v>5</v>
      </c>
      <c r="AG63" s="4" t="str">
        <f>IF(OR($R63="",Results!O6=""),"",ABS($R63-Results!O6))</f>
        <v/>
      </c>
      <c r="AH63" s="12">
        <v>32</v>
      </c>
      <c r="AI63" s="13">
        <f>IF(OR(B63="",Results!B6=""),"",IF(AND(B63=Results!B6,Results!B6&lt;&gt;Games!$C$18),1,0))</f>
        <v>0</v>
      </c>
      <c r="AJ63" s="13">
        <f>IF(OR(C63="",Results!C6=""),"",IF(AND(C63=Results!C6,Results!C6&lt;&gt;Games!$C$19),1,0))</f>
        <v>0</v>
      </c>
      <c r="AK63" s="13">
        <f>IF(OR(D63="",Results!D6=""),"",IF(AND(D63=Results!D6,Results!D6&lt;&gt;Games!$C$20),1,0))</f>
        <v>0</v>
      </c>
      <c r="AL63" s="13">
        <f>IF(OR(E63="",Results!E6=""),"",IF(AND(E63=Results!E6,Results!E6&lt;&gt;Games!$C$21),1,0))</f>
        <v>0</v>
      </c>
      <c r="AM63" s="13">
        <f>IF(OR(F63="",Results!F6=""),"",IF(AND(F63=Results!F6,Results!F6&lt;&gt;Games!$C$22),1,0))</f>
        <v>0</v>
      </c>
      <c r="AN63" s="13">
        <f>IF(OR(G63="",Results!G6=""),"",IF(AND(G63=Results!G6,Results!G6&lt;&gt;Games!$C$23),1,0))</f>
        <v>0</v>
      </c>
      <c r="AO63" s="13">
        <f>IF(OR(H63="",Results!H6=""),"",IF(AND(H63=Results!H6,Results!H6&lt;&gt;Games!$C$24),1,0))</f>
        <v>0</v>
      </c>
      <c r="AP63" s="13">
        <f>IF(OR(I63="",Results!I6=""),"",IF(AND(I63=Results!I6,Results!I6&lt;&gt;Games!$C$25),1,0))</f>
        <v>0</v>
      </c>
      <c r="AQ63" s="13">
        <f>IF(OR(J63="",Results!J6=""),"",IF(AND(J63=Results!J6,Results!J6&lt;&gt;Games!$C$26),1,0))</f>
        <v>0</v>
      </c>
      <c r="AR63" s="13">
        <f>IF(OR(K63="",Results!K6=""),"",IF(AND(K63=Results!K6,Results!K6&lt;&gt;Games!$C$27),1,0))</f>
        <v>0</v>
      </c>
      <c r="AS63" s="13">
        <f>IF(OR(L63="",Results!L6=""),"",IF(AND(L63=Results!L6,Results!L6&lt;&gt;Games!$C$28),1,0))</f>
        <v>0</v>
      </c>
      <c r="AT63" s="13">
        <f>IF(OR(M63="",Results!M6=""),"",IF(AND(M63=Results!M6,Results!M6&lt;&gt;Games!$C$29),1,0))</f>
        <v>0</v>
      </c>
      <c r="AU63" s="13">
        <f>IF(OR(N63="",Results!N6=""),"",IF(AND(N63=Results!N6,Results!N6&lt;&gt;Games!$C$30),1,0))</f>
        <v>0</v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 t="s">
        <v>196</v>
      </c>
      <c r="C64" s="5" t="s">
        <v>230</v>
      </c>
      <c r="D64" s="5" t="s">
        <v>232</v>
      </c>
      <c r="E64" s="5" t="s">
        <v>234</v>
      </c>
      <c r="F64" s="5" t="s">
        <v>237</v>
      </c>
      <c r="G64" s="5" t="s">
        <v>240</v>
      </c>
      <c r="H64" s="5" t="s">
        <v>218</v>
      </c>
      <c r="I64" s="5" t="s">
        <v>244</v>
      </c>
      <c r="J64" s="5" t="s">
        <v>245</v>
      </c>
      <c r="K64" s="5" t="s">
        <v>247</v>
      </c>
      <c r="L64" s="5" t="s">
        <v>249</v>
      </c>
      <c r="M64" s="5" t="s">
        <v>252</v>
      </c>
      <c r="N64" s="5" t="s">
        <v>253</v>
      </c>
      <c r="O64" s="5">
        <v>8</v>
      </c>
      <c r="P64" s="5">
        <v>9</v>
      </c>
      <c r="Q64" s="5">
        <v>10</v>
      </c>
      <c r="R64" s="5">
        <v>60</v>
      </c>
      <c r="S64" s="4">
        <f>IF(OR(B64="",Results!B6=""),"",IF(B64=Results!B6,1+IF(OR($O64=1,$P64=1,$Q64=1),1,0),0))</f>
        <v>1</v>
      </c>
      <c r="T64" s="4">
        <f>IF(OR(C64="",Results!C6=""),"",IF(C64=Results!C6,1+IF(OR($O64=2,$P64=2,$Q64=2),1,0),0))</f>
        <v>1</v>
      </c>
      <c r="U64" s="4">
        <f>IF(OR(D64="",Results!D6=""),"",IF(D64=Results!D6,1+IF(OR($O64=3,$P64=3,$Q64=3),1,0),0))</f>
        <v>0</v>
      </c>
      <c r="V64" s="4">
        <f>IF(OR(E64="",Results!E6=""),"",IF(E64=Results!E6,1+IF(OR($O64=4,$P64=4,$Q64=4),1,0),0))</f>
        <v>1</v>
      </c>
      <c r="W64" s="4">
        <f>IF(OR(F64="",Results!F6=""),"",IF(F64=Results!F6,1+IF(OR($O64=5,$P64=5,$Q64=5),1,0),0))</f>
        <v>0</v>
      </c>
      <c r="X64" s="4">
        <f>IF(OR(G64="",Results!G6=""),"",IF(G64=Results!G6,1+IF(OR($O64=6,$P64=6,$Q64=6),1,0),0))</f>
        <v>0</v>
      </c>
      <c r="Y64" s="4">
        <f>IF(OR(H64="",Results!H6=""),"",IF(H64=Results!H6,1+IF(OR($O64=7,$P64=7,$Q64=7),1,0),0))</f>
        <v>1</v>
      </c>
      <c r="Z64" s="4">
        <f>IF(OR(I64="",Results!I6=""),"",IF(I64=Results!I6,1+IF(OR($O64=8,$P64=8,$Q64=8),1,0),0))</f>
        <v>0</v>
      </c>
      <c r="AA64" s="4">
        <f>IF(OR(J64="",Results!J6=""),"",IF(J64=Results!J6,1+IF(OR($O64=9,$P64=9,$Q64=9),1,0),0))</f>
        <v>2</v>
      </c>
      <c r="AB64" s="4">
        <f>IF(OR(K64="",Results!K6=""),"",IF(K64=Results!K6,1+IF(OR($O64=10,$P64=10,$Q64=10),1,0),0))</f>
        <v>2</v>
      </c>
      <c r="AC64" s="4">
        <f>IF(OR(L64="",Results!L6=""),"",IF(L64=Results!L6,1+IF(OR($O64=11,$P64=11,$Q64=11),1,0),0))</f>
        <v>0</v>
      </c>
      <c r="AD64" s="4">
        <f>IF(OR(M64="",Results!M6=""),"",IF(M64=Results!M6,1+IF(OR($O64=12,$P64=12,$Q64=12),1,0),0))</f>
        <v>0</v>
      </c>
      <c r="AE64" s="4">
        <f>IF(OR(N64="",Results!N6=""),"",IF(N64=Results!N6,1+IF(OR($O64=13,$P64=13,$Q64=13),1,0),0))</f>
        <v>1</v>
      </c>
      <c r="AF64" s="11">
        <f t="shared" si="2"/>
        <v>9</v>
      </c>
      <c r="AG64" s="4" t="str">
        <f>IF(OR($R64="",Results!O6=""),"",ABS($R64-Results!O6))</f>
        <v/>
      </c>
      <c r="AH64" s="12">
        <v>46</v>
      </c>
      <c r="AI64" s="13">
        <f>IF(OR(B64="",Results!B6=""),"",IF(AND(B64=Results!B6,Results!B6&lt;&gt;Games!$C$18),1,0))</f>
        <v>0</v>
      </c>
      <c r="AJ64" s="13">
        <f>IF(OR(C64="",Results!C6=""),"",IF(AND(C64=Results!C6,Results!C6&lt;&gt;Games!$C$19),1,0))</f>
        <v>0</v>
      </c>
      <c r="AK64" s="13">
        <f>IF(OR(D64="",Results!D6=""),"",IF(AND(D64=Results!D6,Results!D6&lt;&gt;Games!$C$20),1,0))</f>
        <v>0</v>
      </c>
      <c r="AL64" s="13">
        <f>IF(OR(E64="",Results!E6=""),"",IF(AND(E64=Results!E6,Results!E6&lt;&gt;Games!$C$21),1,0))</f>
        <v>0</v>
      </c>
      <c r="AM64" s="13">
        <f>IF(OR(F64="",Results!F6=""),"",IF(AND(F64=Results!F6,Results!F6&lt;&gt;Games!$C$22),1,0))</f>
        <v>0</v>
      </c>
      <c r="AN64" s="13">
        <f>IF(OR(G64="",Results!G6=""),"",IF(AND(G64=Results!G6,Results!G6&lt;&gt;Games!$C$23),1,0))</f>
        <v>0</v>
      </c>
      <c r="AO64" s="13">
        <f>IF(OR(H64="",Results!H6=""),"",IF(AND(H64=Results!H6,Results!H6&lt;&gt;Games!$C$24),1,0))</f>
        <v>1</v>
      </c>
      <c r="AP64" s="13">
        <f>IF(OR(I64="",Results!I6=""),"",IF(AND(I64=Results!I6,Results!I6&lt;&gt;Games!$C$25),1,0))</f>
        <v>0</v>
      </c>
      <c r="AQ64" s="13">
        <f>IF(OR(J64="",Results!J6=""),"",IF(AND(J64=Results!J6,Results!J6&lt;&gt;Games!$C$26),1,0))</f>
        <v>0</v>
      </c>
      <c r="AR64" s="13">
        <f>IF(OR(K64="",Results!K6=""),"",IF(AND(K64=Results!K6,Results!K6&lt;&gt;Games!$C$27),1,0))</f>
        <v>0</v>
      </c>
      <c r="AS64" s="13">
        <f>IF(OR(L64="",Results!L6=""),"",IF(AND(L64=Results!L6,Results!L6&lt;&gt;Games!$C$28),1,0))</f>
        <v>0</v>
      </c>
      <c r="AT64" s="13">
        <f>IF(OR(M64="",Results!M6=""),"",IF(AND(M64=Results!M6,Results!M6&lt;&gt;Games!$C$29),1,0))</f>
        <v>0</v>
      </c>
      <c r="AU64" s="13">
        <f>IF(OR(N64="",Results!N6=""),"",IF(AND(N64=Results!N6,Results!N6&lt;&gt;Games!$C$30),1,0))</f>
        <v>0</v>
      </c>
      <c r="AV64" s="14">
        <f t="shared" si="3"/>
        <v>1</v>
      </c>
    </row>
    <row r="65" spans="1:48" ht="15" customHeight="1" x14ac:dyDescent="0.25">
      <c r="A65" s="4" t="str">
        <f>INDEX(Players!$D$6:$D$69,MATCH(33,Players!$A$6:$A$69,0))</f>
        <v>Vicki P.</v>
      </c>
      <c r="B65" s="5" t="s">
        <v>196</v>
      </c>
      <c r="C65" s="5" t="s">
        <v>230</v>
      </c>
      <c r="D65" s="5" t="s">
        <v>232</v>
      </c>
      <c r="E65" s="5" t="s">
        <v>234</v>
      </c>
      <c r="F65" s="5" t="s">
        <v>237</v>
      </c>
      <c r="G65" s="5" t="s">
        <v>240</v>
      </c>
      <c r="H65" s="5" t="s">
        <v>242</v>
      </c>
      <c r="I65" s="5" t="s">
        <v>244</v>
      </c>
      <c r="J65" s="5" t="s">
        <v>245</v>
      </c>
      <c r="K65" s="5" t="s">
        <v>247</v>
      </c>
      <c r="L65" s="5" t="s">
        <v>249</v>
      </c>
      <c r="M65" s="5" t="s">
        <v>251</v>
      </c>
      <c r="N65" s="5" t="s">
        <v>253</v>
      </c>
      <c r="O65" s="5">
        <v>3</v>
      </c>
      <c r="P65" s="5">
        <v>9</v>
      </c>
      <c r="Q65" s="5">
        <v>10</v>
      </c>
      <c r="R65" s="5">
        <v>68</v>
      </c>
      <c r="S65" s="4">
        <f>IF(OR(B65="",Results!B6=""),"",IF(B65=Results!B6,1+IF(OR($O65=1,$P65=1,$Q65=1),1,0),0))</f>
        <v>1</v>
      </c>
      <c r="T65" s="4">
        <f>IF(OR(C65="",Results!C6=""),"",IF(C65=Results!C6,1+IF(OR($O65=2,$P65=2,$Q65=2),1,0),0))</f>
        <v>1</v>
      </c>
      <c r="U65" s="4">
        <f>IF(OR(D65="",Results!D6=""),"",IF(D65=Results!D6,1+IF(OR($O65=3,$P65=3,$Q65=3),1,0),0))</f>
        <v>0</v>
      </c>
      <c r="V65" s="4">
        <f>IF(OR(E65="",Results!E6=""),"",IF(E65=Results!E6,1+IF(OR($O65=4,$P65=4,$Q65=4),1,0),0))</f>
        <v>1</v>
      </c>
      <c r="W65" s="4">
        <f>IF(OR(F65="",Results!F6=""),"",IF(F65=Results!F6,1+IF(OR($O65=5,$P65=5,$Q65=5),1,0),0))</f>
        <v>0</v>
      </c>
      <c r="X65" s="4">
        <f>IF(OR(G65="",Results!G6=""),"",IF(G65=Results!G6,1+IF(OR($O65=6,$P65=6,$Q65=6),1,0),0))</f>
        <v>0</v>
      </c>
      <c r="Y65" s="4">
        <f>IF(OR(H65="",Results!H6=""),"",IF(H65=Results!H6,1+IF(OR($O65=7,$P65=7,$Q65=7),1,0),0))</f>
        <v>0</v>
      </c>
      <c r="Z65" s="4">
        <f>IF(OR(I65="",Results!I6=""),"",IF(I65=Results!I6,1+IF(OR($O65=8,$P65=8,$Q65=8),1,0),0))</f>
        <v>0</v>
      </c>
      <c r="AA65" s="4">
        <f>IF(OR(J65="",Results!J6=""),"",IF(J65=Results!J6,1+IF(OR($O65=9,$P65=9,$Q65=9),1,0),0))</f>
        <v>2</v>
      </c>
      <c r="AB65" s="4">
        <f>IF(OR(K65="",Results!K6=""),"",IF(K65=Results!K6,1+IF(OR($O65=10,$P65=10,$Q65=10),1,0),0))</f>
        <v>2</v>
      </c>
      <c r="AC65" s="4">
        <f>IF(OR(L65="",Results!L6=""),"",IF(L65=Results!L6,1+IF(OR($O65=11,$P65=11,$Q65=11),1,0),0))</f>
        <v>0</v>
      </c>
      <c r="AD65" s="4">
        <f>IF(OR(M65="",Results!M6=""),"",IF(M65=Results!M6,1+IF(OR($O65=12,$P65=12,$Q65=12),1,0),0))</f>
        <v>1</v>
      </c>
      <c r="AE65" s="4">
        <f>IF(OR(N65="",Results!N6=""),"",IF(N65=Results!N6,1+IF(OR($O65=13,$P65=13,$Q65=13),1,0),0))</f>
        <v>1</v>
      </c>
      <c r="AF65" s="11">
        <f t="shared" si="2"/>
        <v>9</v>
      </c>
      <c r="AG65" s="4" t="str">
        <f>IF(OR($R65="",Results!O6=""),"",ABS($R65-Results!O6))</f>
        <v/>
      </c>
      <c r="AH65" s="12">
        <v>33</v>
      </c>
      <c r="AI65" s="13">
        <f>IF(OR(B65="",Results!B6=""),"",IF(AND(B65=Results!B6,Results!B6&lt;&gt;Games!$C$18),1,0))</f>
        <v>0</v>
      </c>
      <c r="AJ65" s="13">
        <f>IF(OR(C65="",Results!C6=""),"",IF(AND(C65=Results!C6,Results!C6&lt;&gt;Games!$C$19),1,0))</f>
        <v>0</v>
      </c>
      <c r="AK65" s="13">
        <f>IF(OR(D65="",Results!D6=""),"",IF(AND(D65=Results!D6,Results!D6&lt;&gt;Games!$C$20),1,0))</f>
        <v>0</v>
      </c>
      <c r="AL65" s="13">
        <f>IF(OR(E65="",Results!E6=""),"",IF(AND(E65=Results!E6,Results!E6&lt;&gt;Games!$C$21),1,0))</f>
        <v>0</v>
      </c>
      <c r="AM65" s="13">
        <f>IF(OR(F65="",Results!F6=""),"",IF(AND(F65=Results!F6,Results!F6&lt;&gt;Games!$C$22),1,0))</f>
        <v>0</v>
      </c>
      <c r="AN65" s="13">
        <f>IF(OR(G65="",Results!G6=""),"",IF(AND(G65=Results!G6,Results!G6&lt;&gt;Games!$C$23),1,0))</f>
        <v>0</v>
      </c>
      <c r="AO65" s="13">
        <f>IF(OR(H65="",Results!H6=""),"",IF(AND(H65=Results!H6,Results!H6&lt;&gt;Games!$C$24),1,0))</f>
        <v>0</v>
      </c>
      <c r="AP65" s="13">
        <f>IF(OR(I65="",Results!I6=""),"",IF(AND(I65=Results!I6,Results!I6&lt;&gt;Games!$C$25),1,0))</f>
        <v>0</v>
      </c>
      <c r="AQ65" s="13">
        <f>IF(OR(J65="",Results!J6=""),"",IF(AND(J65=Results!J6,Results!J6&lt;&gt;Games!$C$26),1,0))</f>
        <v>0</v>
      </c>
      <c r="AR65" s="13">
        <f>IF(OR(K65="",Results!K6=""),"",IF(AND(K65=Results!K6,Results!K6&lt;&gt;Games!$C$27),1,0))</f>
        <v>0</v>
      </c>
      <c r="AS65" s="13">
        <f>IF(OR(L65="",Results!L6=""),"",IF(AND(L65=Results!L6,Results!L6&lt;&gt;Games!$C$28),1,0))</f>
        <v>0</v>
      </c>
      <c r="AT65" s="13">
        <f>IF(OR(M65="",Results!M6=""),"",IF(AND(M65=Results!M6,Results!M6&lt;&gt;Games!$C$29),1,0))</f>
        <v>0</v>
      </c>
      <c r="AU65" s="13">
        <f>IF(OR(N65="",Results!N6=""),"",IF(AND(N65=Results!N6,Results!N6&lt;&gt;Games!$C$30),1,0))</f>
        <v>0</v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3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300-000001000000}">
          <x14:formula1>
            <xm:f>Games!$C$18:$D$18</xm:f>
          </x14:formula1>
          <x14:formula2>
            <xm:f>0</xm:f>
          </x14:formula2>
          <xm:sqref>B6:B65</xm:sqref>
        </x14:dataValidation>
        <x14:dataValidation type="list" allowBlank="1" xr:uid="{00000000-0002-0000-0300-000002000000}">
          <x14:formula1>
            <xm:f>Games!$C$19:$D$19</xm:f>
          </x14:formula1>
          <x14:formula2>
            <xm:f>0</xm:f>
          </x14:formula2>
          <xm:sqref>C6:C65</xm:sqref>
        </x14:dataValidation>
        <x14:dataValidation type="list" allowBlank="1" xr:uid="{00000000-0002-0000-0300-000003000000}">
          <x14:formula1>
            <xm:f>Games!$C$20:$D$20</xm:f>
          </x14:formula1>
          <x14:formula2>
            <xm:f>0</xm:f>
          </x14:formula2>
          <xm:sqref>D6:D65</xm:sqref>
        </x14:dataValidation>
        <x14:dataValidation type="list" allowBlank="1" xr:uid="{00000000-0002-0000-0300-000004000000}">
          <x14:formula1>
            <xm:f>Games!$C$21:$D$21</xm:f>
          </x14:formula1>
          <x14:formula2>
            <xm:f>0</xm:f>
          </x14:formula2>
          <xm:sqref>E6:E65</xm:sqref>
        </x14:dataValidation>
        <x14:dataValidation type="list" allowBlank="1" xr:uid="{00000000-0002-0000-0300-000005000000}">
          <x14:formula1>
            <xm:f>Games!$C$22:$D$22</xm:f>
          </x14:formula1>
          <x14:formula2>
            <xm:f>0</xm:f>
          </x14:formula2>
          <xm:sqref>F6:F65</xm:sqref>
        </x14:dataValidation>
        <x14:dataValidation type="list" allowBlank="1" xr:uid="{00000000-0002-0000-0300-000006000000}">
          <x14:formula1>
            <xm:f>Games!$C$23:$D$23</xm:f>
          </x14:formula1>
          <x14:formula2>
            <xm:f>0</xm:f>
          </x14:formula2>
          <xm:sqref>G6:G65</xm:sqref>
        </x14:dataValidation>
        <x14:dataValidation type="list" allowBlank="1" xr:uid="{00000000-0002-0000-0300-000007000000}">
          <x14:formula1>
            <xm:f>Games!$C$24:$D$24</xm:f>
          </x14:formula1>
          <x14:formula2>
            <xm:f>0</xm:f>
          </x14:formula2>
          <xm:sqref>H6:H65</xm:sqref>
        </x14:dataValidation>
        <x14:dataValidation type="list" allowBlank="1" xr:uid="{00000000-0002-0000-0300-000008000000}">
          <x14:formula1>
            <xm:f>Games!$C$25:$D$25</xm:f>
          </x14:formula1>
          <x14:formula2>
            <xm:f>0</xm:f>
          </x14:formula2>
          <xm:sqref>I6:I65</xm:sqref>
        </x14:dataValidation>
        <x14:dataValidation type="list" allowBlank="1" xr:uid="{00000000-0002-0000-0300-000009000000}">
          <x14:formula1>
            <xm:f>Games!$C$26:$D$26</xm:f>
          </x14:formula1>
          <x14:formula2>
            <xm:f>0</xm:f>
          </x14:formula2>
          <xm:sqref>J6:J65</xm:sqref>
        </x14:dataValidation>
        <x14:dataValidation type="list" allowBlank="1" xr:uid="{00000000-0002-0000-0300-00000A000000}">
          <x14:formula1>
            <xm:f>Games!$C$27:$D$27</xm:f>
          </x14:formula1>
          <x14:formula2>
            <xm:f>0</xm:f>
          </x14:formula2>
          <xm:sqref>K6:K65</xm:sqref>
        </x14:dataValidation>
        <x14:dataValidation type="list" allowBlank="1" xr:uid="{00000000-0002-0000-0300-00000B000000}">
          <x14:formula1>
            <xm:f>Games!$C$28:$D$28</xm:f>
          </x14:formula1>
          <x14:formula2>
            <xm:f>0</xm:f>
          </x14:formula2>
          <xm:sqref>L6:L65</xm:sqref>
        </x14:dataValidation>
        <x14:dataValidation type="list" allowBlank="1" xr:uid="{00000000-0002-0000-0300-00000C000000}">
          <x14:formula1>
            <xm:f>Games!$C$29:$D$29</xm:f>
          </x14:formula1>
          <x14:formula2>
            <xm:f>0</xm:f>
          </x14:formula2>
          <xm:sqref>M6:M65</xm:sqref>
        </x14:dataValidation>
        <x14:dataValidation type="list" allowBlank="1" xr:uid="{00000000-0002-0000-0300-00000D000000}">
          <x14:formula1>
            <xm:f>Games!$C$30:$D$30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65"/>
  <sheetViews>
    <sheetView tabSelected="1" zoomScaleNormal="100" workbookViewId="0">
      <pane xSplit="1" ySplit="4" topLeftCell="B40" activePane="bottomRight" state="frozen"/>
      <selection pane="topRight" activeCell="B1" sqref="B1"/>
      <selection pane="bottomLeft" activeCell="A5" sqref="A5"/>
      <selection pane="bottomRight" activeCell="A56" sqref="A56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316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1&amp;CHAR(10)&amp;Games!C31&amp;" vs "&amp;Games!D31</f>
        <v>1
Texas Tech vs Houston</v>
      </c>
      <c r="C4" s="10" t="str">
        <f>2&amp;CHAR(10)&amp;Games!C32&amp;" vs "&amp;Games!D32</f>
        <v>2
Clemson vs North Carolina</v>
      </c>
      <c r="D4" s="10" t="str">
        <f>3&amp;CHAR(10)&amp;Games!C33&amp;" vs "&amp;Games!D33</f>
        <v>3
Arizona State vs Kansas</v>
      </c>
      <c r="E4" s="10" t="str">
        <f>4&amp;CHAR(10)&amp;Games!C34&amp;" vs "&amp;Games!D34</f>
        <v>4
Texas State vs North Texas</v>
      </c>
      <c r="F4" s="10" t="str">
        <f>5&amp;CHAR(10)&amp;Games!C35&amp;" vs "&amp;Games!D35</f>
        <v>5
Vanderbilt vs NC State</v>
      </c>
      <c r="G4" s="10" t="str">
        <f>6&amp;CHAR(10)&amp;Games!C36&amp;" vs "&amp;Games!D36</f>
        <v>6
Louisville vs SMU</v>
      </c>
      <c r="H4" s="10" t="str">
        <f>7&amp;CHAR(10)&amp;Games!C37&amp;" vs "&amp;Games!D37</f>
        <v>7
South Carolina vs Mississippi State</v>
      </c>
      <c r="I4" s="10" t="str">
        <f>8&amp;CHAR(10)&amp;Games!C38&amp;" vs "&amp;Games!D38</f>
        <v>8
Northwestern vs Colorado</v>
      </c>
      <c r="J4" s="10" t="str">
        <f>9&amp;CHAR(10)&amp;Games!C39&amp;" vs "&amp;Games!D39</f>
        <v>9
Florida vs Auburn</v>
      </c>
      <c r="K4" s="10" t="str">
        <f>10&amp;CHAR(10)&amp;Games!C40&amp;" vs "&amp;Games!D40</f>
        <v>10
LSU vs Ole Miss</v>
      </c>
      <c r="L4" s="10" t="str">
        <f>11&amp;CHAR(10)&amp;Games!C41&amp;" vs "&amp;Games!D41</f>
        <v>11
Virginia Tech vs Maryland</v>
      </c>
      <c r="M4" s="10" t="str">
        <f>12&amp;CHAR(10)&amp;Games!C42&amp;" vs "&amp;Games!D42</f>
        <v>12
Virginia vs West Virginia</v>
      </c>
      <c r="N4" s="10" t="str">
        <f>13&amp;CHAR(10)&amp;Games!C43&amp;" vs "&amp;Games!D43</f>
        <v>13
James Madison vs San Diego State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 t="s">
        <v>255</v>
      </c>
      <c r="C6" s="5" t="s">
        <v>211</v>
      </c>
      <c r="D6" s="5" t="s">
        <v>258</v>
      </c>
      <c r="E6" s="5" t="s">
        <v>261</v>
      </c>
      <c r="F6" s="5" t="s">
        <v>262</v>
      </c>
      <c r="G6" s="5" t="s">
        <v>224</v>
      </c>
      <c r="H6" s="5" t="s">
        <v>266</v>
      </c>
      <c r="I6" s="5" t="s">
        <v>184</v>
      </c>
      <c r="J6" s="5" t="s">
        <v>269</v>
      </c>
      <c r="K6" s="5" t="s">
        <v>210</v>
      </c>
      <c r="L6" s="5" t="s">
        <v>271</v>
      </c>
      <c r="M6" s="5" t="s">
        <v>273</v>
      </c>
      <c r="N6" s="5" t="s">
        <v>276</v>
      </c>
      <c r="O6" s="5">
        <v>1</v>
      </c>
      <c r="P6" s="5">
        <v>4</v>
      </c>
      <c r="Q6" s="5">
        <v>12</v>
      </c>
      <c r="R6" s="5">
        <v>55</v>
      </c>
      <c r="S6" s="4" t="str">
        <f>IF(OR(B6="",Results!B7=""),"",IF(B6=Results!B7,1+IF(OR($O6=1,$P6=1,$Q6=1),1,0),0))</f>
        <v/>
      </c>
      <c r="T6" s="4" t="str">
        <f>IF(OR(C6="",Results!C7=""),"",IF(C6=Results!C7,1+IF(OR($O6=2,$P6=2,$Q6=2),1,0),0))</f>
        <v/>
      </c>
      <c r="U6" s="4" t="str">
        <f>IF(OR(D6="",Results!D7=""),"",IF(D6=Results!D7,1+IF(OR($O6=3,$P6=3,$Q6=3),1,0),0))</f>
        <v/>
      </c>
      <c r="V6" s="4" t="str">
        <f>IF(OR(E6="",Results!E7=""),"",IF(E6=Results!E7,1+IF(OR($O6=4,$P6=4,$Q6=4),1,0),0))</f>
        <v/>
      </c>
      <c r="W6" s="4" t="str">
        <f>IF(OR(F6="",Results!F7=""),"",IF(F6=Results!F7,1+IF(OR($O6=5,$P6=5,$Q6=5),1,0),0))</f>
        <v/>
      </c>
      <c r="X6" s="4" t="str">
        <f>IF(OR(G6="",Results!G7=""),"",IF(G6=Results!G7,1+IF(OR($O6=6,$P6=6,$Q6=6),1,0),0))</f>
        <v/>
      </c>
      <c r="Y6" s="4" t="str">
        <f>IF(OR(H6="",Results!H7=""),"",IF(H6=Results!H7,1+IF(OR($O6=7,$P6=7,$Q6=7),1,0),0))</f>
        <v/>
      </c>
      <c r="Z6" s="4" t="str">
        <f>IF(OR(I6="",Results!I7=""),"",IF(I6=Results!I7,1+IF(OR($O6=8,$P6=8,$Q6=8),1,0),0))</f>
        <v/>
      </c>
      <c r="AA6" s="4" t="str">
        <f>IF(OR(J6="",Results!J7=""),"",IF(J6=Results!J7,1+IF(OR($O6=9,$P6=9,$Q6=9),1,0),0))</f>
        <v/>
      </c>
      <c r="AB6" s="4" t="str">
        <f>IF(OR(K6="",Results!K7=""),"",IF(K6=Results!K7,1+IF(OR($O6=10,$P6=10,$Q6=10),1,0),0))</f>
        <v/>
      </c>
      <c r="AC6" s="4" t="str">
        <f>IF(OR(L6="",Results!L7=""),"",IF(L6=Results!L7,1+IF(OR($O6=11,$P6=11,$Q6=11),1,0),0))</f>
        <v/>
      </c>
      <c r="AD6" s="4" t="str">
        <f>IF(OR(M6="",Results!M7=""),"",IF(M6=Results!M7,1+IF(OR($O6=12,$P6=12,$Q6=12),1,0),0))</f>
        <v/>
      </c>
      <c r="AE6" s="4" t="str">
        <f>IF(OR(N6="",Results!N7=""),"",IF(N6=Results!N7,1+IF(OR($O6=13,$P6=13,$Q6=13),1,0),0))</f>
        <v/>
      </c>
      <c r="AF6" s="11">
        <f t="shared" ref="AF6:AF37" si="0">SUM(S6:AE6)</f>
        <v>0</v>
      </c>
      <c r="AG6" s="4" t="str">
        <f>IF(OR($R6="",Results!O7=""),"",ABS($R6-Results!O7))</f>
        <v/>
      </c>
      <c r="AH6" s="12">
        <v>2</v>
      </c>
      <c r="AI6" s="13" t="str">
        <f>IF(OR(B6="",Results!B7=""),"",IF(AND(B6=Results!B7,Results!B7&lt;&gt;Games!$C$31),1,0))</f>
        <v/>
      </c>
      <c r="AJ6" s="13" t="str">
        <f>IF(OR(C6="",Results!C7=""),"",IF(AND(C6=Results!C7,Results!C7&lt;&gt;Games!$C$32),1,0))</f>
        <v/>
      </c>
      <c r="AK6" s="13" t="str">
        <f>IF(OR(D6="",Results!D7=""),"",IF(AND(D6=Results!D7,Results!D7&lt;&gt;Games!$C$33),1,0))</f>
        <v/>
      </c>
      <c r="AL6" s="13" t="str">
        <f>IF(OR(E6="",Results!E7=""),"",IF(AND(E6=Results!E7,Results!E7&lt;&gt;Games!$C$34),1,0))</f>
        <v/>
      </c>
      <c r="AM6" s="13" t="str">
        <f>IF(OR(F6="",Results!F7=""),"",IF(AND(F6=Results!F7,Results!F7&lt;&gt;Games!$C$35),1,0))</f>
        <v/>
      </c>
      <c r="AN6" s="13" t="str">
        <f>IF(OR(G6="",Results!G7=""),"",IF(AND(G6=Results!G7,Results!G7&lt;&gt;Games!$C$36),1,0))</f>
        <v/>
      </c>
      <c r="AO6" s="13" t="str">
        <f>IF(OR(H6="",Results!H7=""),"",IF(AND(H6=Results!H7,Results!H7&lt;&gt;Games!$C$37),1,0))</f>
        <v/>
      </c>
      <c r="AP6" s="13" t="str">
        <f>IF(OR(I6="",Results!I7=""),"",IF(AND(I6=Results!I7,Results!I7&lt;&gt;Games!$C$38),1,0))</f>
        <v/>
      </c>
      <c r="AQ6" s="13" t="str">
        <f>IF(OR(J6="",Results!J7=""),"",IF(AND(J6=Results!J7,Results!J7&lt;&gt;Games!$C$39),1,0))</f>
        <v/>
      </c>
      <c r="AR6" s="13" t="str">
        <f>IF(OR(K6="",Results!K7=""),"",IF(AND(K6=Results!K7,Results!K7&lt;&gt;Games!$C$40),1,0))</f>
        <v/>
      </c>
      <c r="AS6" s="13" t="str">
        <f>IF(OR(L6="",Results!L7=""),"",IF(AND(L6=Results!L7,Results!L7&lt;&gt;Games!$C$41),1,0))</f>
        <v/>
      </c>
      <c r="AT6" s="13" t="str">
        <f>IF(OR(M6="",Results!M7=""),"",IF(AND(M6=Results!M7,Results!M7&lt;&gt;Games!$C$42),1,0))</f>
        <v/>
      </c>
      <c r="AU6" s="13" t="str">
        <f>IF(OR(N6="",Results!N7=""),"",IF(AND(N6=Results!N7,Results!N7&lt;&gt;Games!$C$43),1,0))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IF(OR(B7="",Results!B7=""),"",IF(B7=Results!B7,1+IF(OR($O7=1,$P7=1,$Q7=1),1,0),0))</f>
        <v/>
      </c>
      <c r="T7" s="4" t="str">
        <f>IF(OR(C7="",Results!C7=""),"",IF(C7=Results!C7,1+IF(OR($O7=2,$P7=2,$Q7=2),1,0),0))</f>
        <v/>
      </c>
      <c r="U7" s="4" t="str">
        <f>IF(OR(D7="",Results!D7=""),"",IF(D7=Results!D7,1+IF(OR($O7=3,$P7=3,$Q7=3),1,0),0))</f>
        <v/>
      </c>
      <c r="V7" s="4" t="str">
        <f>IF(OR(E7="",Results!E7=""),"",IF(E7=Results!E7,1+IF(OR($O7=4,$P7=4,$Q7=4),1,0),0))</f>
        <v/>
      </c>
      <c r="W7" s="4" t="str">
        <f>IF(OR(F7="",Results!F7=""),"",IF(F7=Results!F7,1+IF(OR($O7=5,$P7=5,$Q7=5),1,0),0))</f>
        <v/>
      </c>
      <c r="X7" s="4" t="str">
        <f>IF(OR(G7="",Results!G7=""),"",IF(G7=Results!G7,1+IF(OR($O7=6,$P7=6,$Q7=6),1,0),0))</f>
        <v/>
      </c>
      <c r="Y7" s="4" t="str">
        <f>IF(OR(H7="",Results!H7=""),"",IF(H7=Results!H7,1+IF(OR($O7=7,$P7=7,$Q7=7),1,0),0))</f>
        <v/>
      </c>
      <c r="Z7" s="4" t="str">
        <f>IF(OR(I7="",Results!I7=""),"",IF(I7=Results!I7,1+IF(OR($O7=8,$P7=8,$Q7=8),1,0),0))</f>
        <v/>
      </c>
      <c r="AA7" s="4" t="str">
        <f>IF(OR(J7="",Results!J7=""),"",IF(J7=Results!J7,1+IF(OR($O7=9,$P7=9,$Q7=9),1,0),0))</f>
        <v/>
      </c>
      <c r="AB7" s="4" t="str">
        <f>IF(OR(K7="",Results!K7=""),"",IF(K7=Results!K7,1+IF(OR($O7=10,$P7=10,$Q7=10),1,0),0))</f>
        <v/>
      </c>
      <c r="AC7" s="4" t="str">
        <f>IF(OR(L7="",Results!L7=""),"",IF(L7=Results!L7,1+IF(OR($O7=11,$P7=11,$Q7=11),1,0),0))</f>
        <v/>
      </c>
      <c r="AD7" s="4" t="str">
        <f>IF(OR(M7="",Results!M7=""),"",IF(M7=Results!M7,1+IF(OR($O7=12,$P7=12,$Q7=12),1,0),0))</f>
        <v/>
      </c>
      <c r="AE7" s="4" t="str">
        <f>IF(OR(N7="",Results!N7=""),"",IF(N7=Results!N7,1+IF(OR($O7=13,$P7=13,$Q7=13),1,0),0))</f>
        <v/>
      </c>
      <c r="AF7" s="11">
        <f t="shared" si="0"/>
        <v>0</v>
      </c>
      <c r="AG7" s="4" t="str">
        <f>IF(OR($R7="",Results!O7=""),"",ABS($R7-Results!O7))</f>
        <v/>
      </c>
      <c r="AH7" s="12">
        <v>53</v>
      </c>
      <c r="AI7" s="13" t="str">
        <f>IF(OR(B7="",Results!B7=""),"",IF(AND(B7=Results!B7,Results!B7&lt;&gt;Games!$C$31),1,0))</f>
        <v/>
      </c>
      <c r="AJ7" s="13" t="str">
        <f>IF(OR(C7="",Results!C7=""),"",IF(AND(C7=Results!C7,Results!C7&lt;&gt;Games!$C$32),1,0))</f>
        <v/>
      </c>
      <c r="AK7" s="13" t="str">
        <f>IF(OR(D7="",Results!D7=""),"",IF(AND(D7=Results!D7,Results!D7&lt;&gt;Games!$C$33),1,0))</f>
        <v/>
      </c>
      <c r="AL7" s="13" t="str">
        <f>IF(OR(E7="",Results!E7=""),"",IF(AND(E7=Results!E7,Results!E7&lt;&gt;Games!$C$34),1,0))</f>
        <v/>
      </c>
      <c r="AM7" s="13" t="str">
        <f>IF(OR(F7="",Results!F7=""),"",IF(AND(F7=Results!F7,Results!F7&lt;&gt;Games!$C$35),1,0))</f>
        <v/>
      </c>
      <c r="AN7" s="13" t="str">
        <f>IF(OR(G7="",Results!G7=""),"",IF(AND(G7=Results!G7,Results!G7&lt;&gt;Games!$C$36),1,0))</f>
        <v/>
      </c>
      <c r="AO7" s="13" t="str">
        <f>IF(OR(H7="",Results!H7=""),"",IF(AND(H7=Results!H7,Results!H7&lt;&gt;Games!$C$37),1,0))</f>
        <v/>
      </c>
      <c r="AP7" s="13" t="str">
        <f>IF(OR(I7="",Results!I7=""),"",IF(AND(I7=Results!I7,Results!I7&lt;&gt;Games!$C$38),1,0))</f>
        <v/>
      </c>
      <c r="AQ7" s="13" t="str">
        <f>IF(OR(J7="",Results!J7=""),"",IF(AND(J7=Results!J7,Results!J7&lt;&gt;Games!$C$39),1,0))</f>
        <v/>
      </c>
      <c r="AR7" s="13" t="str">
        <f>IF(OR(K7="",Results!K7=""),"",IF(AND(K7=Results!K7,Results!K7&lt;&gt;Games!$C$40),1,0))</f>
        <v/>
      </c>
      <c r="AS7" s="13" t="str">
        <f>IF(OR(L7="",Results!L7=""),"",IF(AND(L7=Results!L7,Results!L7&lt;&gt;Games!$C$41),1,0))</f>
        <v/>
      </c>
      <c r="AT7" s="13" t="str">
        <f>IF(OR(M7="",Results!M7=""),"",IF(AND(M7=Results!M7,Results!M7&lt;&gt;Games!$C$42),1,0))</f>
        <v/>
      </c>
      <c r="AU7" s="13" t="str">
        <f>IF(OR(N7="",Results!N7=""),"",IF(AND(N7=Results!N7,Results!N7&lt;&gt;Games!$C$43),1,0))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 t="s">
        <v>255</v>
      </c>
      <c r="C8" s="5" t="s">
        <v>211</v>
      </c>
      <c r="D8" s="5" t="s">
        <v>258</v>
      </c>
      <c r="E8" s="5" t="s">
        <v>260</v>
      </c>
      <c r="F8" s="5" t="s">
        <v>262</v>
      </c>
      <c r="G8" s="5" t="s">
        <v>224</v>
      </c>
      <c r="H8" s="5" t="s">
        <v>239</v>
      </c>
      <c r="I8" s="5" t="s">
        <v>268</v>
      </c>
      <c r="J8" s="5" t="s">
        <v>269</v>
      </c>
      <c r="K8" s="5" t="s">
        <v>210</v>
      </c>
      <c r="L8" s="5" t="s">
        <v>271</v>
      </c>
      <c r="M8" s="5" t="s">
        <v>273</v>
      </c>
      <c r="N8" s="5" t="s">
        <v>276</v>
      </c>
      <c r="O8" s="5">
        <v>1</v>
      </c>
      <c r="P8" s="5">
        <v>10</v>
      </c>
      <c r="Q8" s="5">
        <v>11</v>
      </c>
      <c r="R8" s="5">
        <v>59</v>
      </c>
      <c r="S8" s="4" t="str">
        <f>IF(OR(B8="",Results!B7=""),"",IF(B8=Results!B7,1+IF(OR($O8=1,$P8=1,$Q8=1),1,0),0))</f>
        <v/>
      </c>
      <c r="T8" s="4" t="str">
        <f>IF(OR(C8="",Results!C7=""),"",IF(C8=Results!C7,1+IF(OR($O8=2,$P8=2,$Q8=2),1,0),0))</f>
        <v/>
      </c>
      <c r="U8" s="4" t="str">
        <f>IF(OR(D8="",Results!D7=""),"",IF(D8=Results!D7,1+IF(OR($O8=3,$P8=3,$Q8=3),1,0),0))</f>
        <v/>
      </c>
      <c r="V8" s="4" t="str">
        <f>IF(OR(E8="",Results!E7=""),"",IF(E8=Results!E7,1+IF(OR($O8=4,$P8=4,$Q8=4),1,0),0))</f>
        <v/>
      </c>
      <c r="W8" s="4" t="str">
        <f>IF(OR(F8="",Results!F7=""),"",IF(F8=Results!F7,1+IF(OR($O8=5,$P8=5,$Q8=5),1,0),0))</f>
        <v/>
      </c>
      <c r="X8" s="4" t="str">
        <f>IF(OR(G8="",Results!G7=""),"",IF(G8=Results!G7,1+IF(OR($O8=6,$P8=6,$Q8=6),1,0),0))</f>
        <v/>
      </c>
      <c r="Y8" s="4" t="str">
        <f>IF(OR(H8="",Results!H7=""),"",IF(H8=Results!H7,1+IF(OR($O8=7,$P8=7,$Q8=7),1,0),0))</f>
        <v/>
      </c>
      <c r="Z8" s="4" t="str">
        <f>IF(OR(I8="",Results!I7=""),"",IF(I8=Results!I7,1+IF(OR($O8=8,$P8=8,$Q8=8),1,0),0))</f>
        <v/>
      </c>
      <c r="AA8" s="4" t="str">
        <f>IF(OR(J8="",Results!J7=""),"",IF(J8=Results!J7,1+IF(OR($O8=9,$P8=9,$Q8=9),1,0),0))</f>
        <v/>
      </c>
      <c r="AB8" s="4" t="str">
        <f>IF(OR(K8="",Results!K7=""),"",IF(K8=Results!K7,1+IF(OR($O8=10,$P8=10,$Q8=10),1,0),0))</f>
        <v/>
      </c>
      <c r="AC8" s="4" t="str">
        <f>IF(OR(L8="",Results!L7=""),"",IF(L8=Results!L7,1+IF(OR($O8=11,$P8=11,$Q8=11),1,0),0))</f>
        <v/>
      </c>
      <c r="AD8" s="4" t="str">
        <f>IF(OR(M8="",Results!M7=""),"",IF(M8=Results!M7,1+IF(OR($O8=12,$P8=12,$Q8=12),1,0),0))</f>
        <v/>
      </c>
      <c r="AE8" s="4" t="str">
        <f>IF(OR(N8="",Results!N7=""),"",IF(N8=Results!N7,1+IF(OR($O8=13,$P8=13,$Q8=13),1,0),0))</f>
        <v/>
      </c>
      <c r="AF8" s="11">
        <f t="shared" si="0"/>
        <v>0</v>
      </c>
      <c r="AG8" s="4" t="str">
        <f>IF(OR($R8="",Results!O7=""),"",ABS($R8-Results!O7))</f>
        <v/>
      </c>
      <c r="AH8" s="12">
        <v>61</v>
      </c>
      <c r="AI8" s="13" t="str">
        <f>IF(OR(B8="",Results!B7=""),"",IF(AND(B8=Results!B7,Results!B7&lt;&gt;Games!$C$31),1,0))</f>
        <v/>
      </c>
      <c r="AJ8" s="13" t="str">
        <f>IF(OR(C8="",Results!C7=""),"",IF(AND(C8=Results!C7,Results!C7&lt;&gt;Games!$C$32),1,0))</f>
        <v/>
      </c>
      <c r="AK8" s="13" t="str">
        <f>IF(OR(D8="",Results!D7=""),"",IF(AND(D8=Results!D7,Results!D7&lt;&gt;Games!$C$33),1,0))</f>
        <v/>
      </c>
      <c r="AL8" s="13" t="str">
        <f>IF(OR(E8="",Results!E7=""),"",IF(AND(E8=Results!E7,Results!E7&lt;&gt;Games!$C$34),1,0))</f>
        <v/>
      </c>
      <c r="AM8" s="13" t="str">
        <f>IF(OR(F8="",Results!F7=""),"",IF(AND(F8=Results!F7,Results!F7&lt;&gt;Games!$C$35),1,0))</f>
        <v/>
      </c>
      <c r="AN8" s="13" t="str">
        <f>IF(OR(G8="",Results!G7=""),"",IF(AND(G8=Results!G7,Results!G7&lt;&gt;Games!$C$36),1,0))</f>
        <v/>
      </c>
      <c r="AO8" s="13" t="str">
        <f>IF(OR(H8="",Results!H7=""),"",IF(AND(H8=Results!H7,Results!H7&lt;&gt;Games!$C$37),1,0))</f>
        <v/>
      </c>
      <c r="AP8" s="13" t="str">
        <f>IF(OR(I8="",Results!I7=""),"",IF(AND(I8=Results!I7,Results!I7&lt;&gt;Games!$C$38),1,0))</f>
        <v/>
      </c>
      <c r="AQ8" s="13" t="str">
        <f>IF(OR(J8="",Results!J7=""),"",IF(AND(J8=Results!J7,Results!J7&lt;&gt;Games!$C$39),1,0))</f>
        <v/>
      </c>
      <c r="AR8" s="13" t="str">
        <f>IF(OR(K8="",Results!K7=""),"",IF(AND(K8=Results!K7,Results!K7&lt;&gt;Games!$C$40),1,0))</f>
        <v/>
      </c>
      <c r="AS8" s="13" t="str">
        <f>IF(OR(L8="",Results!L7=""),"",IF(AND(L8=Results!L7,Results!L7&lt;&gt;Games!$C$41),1,0))</f>
        <v/>
      </c>
      <c r="AT8" s="13" t="str">
        <f>IF(OR(M8="",Results!M7=""),"",IF(AND(M8=Results!M7,Results!M7&lt;&gt;Games!$C$42),1,0))</f>
        <v/>
      </c>
      <c r="AU8" s="13" t="str">
        <f>IF(OR(N8="",Results!N7=""),"",IF(AND(N8=Results!N7,Results!N7&lt;&gt;Games!$C$43),1,0))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IF(OR(B9="",Results!B7=""),"",IF(B9=Results!B7,1+IF(OR($O9=1,$P9=1,$Q9=1),1,0),0))</f>
        <v/>
      </c>
      <c r="T9" s="4" t="str">
        <f>IF(OR(C9="",Results!C7=""),"",IF(C9=Results!C7,1+IF(OR($O9=2,$P9=2,$Q9=2),1,0),0))</f>
        <v/>
      </c>
      <c r="U9" s="4" t="str">
        <f>IF(OR(D9="",Results!D7=""),"",IF(D9=Results!D7,1+IF(OR($O9=3,$P9=3,$Q9=3),1,0),0))</f>
        <v/>
      </c>
      <c r="V9" s="4" t="str">
        <f>IF(OR(E9="",Results!E7=""),"",IF(E9=Results!E7,1+IF(OR($O9=4,$P9=4,$Q9=4),1,0),0))</f>
        <v/>
      </c>
      <c r="W9" s="4" t="str">
        <f>IF(OR(F9="",Results!F7=""),"",IF(F9=Results!F7,1+IF(OR($O9=5,$P9=5,$Q9=5),1,0),0))</f>
        <v/>
      </c>
      <c r="X9" s="4" t="str">
        <f>IF(OR(G9="",Results!G7=""),"",IF(G9=Results!G7,1+IF(OR($O9=6,$P9=6,$Q9=6),1,0),0))</f>
        <v/>
      </c>
      <c r="Y9" s="4" t="str">
        <f>IF(OR(H9="",Results!H7=""),"",IF(H9=Results!H7,1+IF(OR($O9=7,$P9=7,$Q9=7),1,0),0))</f>
        <v/>
      </c>
      <c r="Z9" s="4" t="str">
        <f>IF(OR(I9="",Results!I7=""),"",IF(I9=Results!I7,1+IF(OR($O9=8,$P9=8,$Q9=8),1,0),0))</f>
        <v/>
      </c>
      <c r="AA9" s="4" t="str">
        <f>IF(OR(J9="",Results!J7=""),"",IF(J9=Results!J7,1+IF(OR($O9=9,$P9=9,$Q9=9),1,0),0))</f>
        <v/>
      </c>
      <c r="AB9" s="4" t="str">
        <f>IF(OR(K9="",Results!K7=""),"",IF(K9=Results!K7,1+IF(OR($O9=10,$P9=10,$Q9=10),1,0),0))</f>
        <v/>
      </c>
      <c r="AC9" s="4" t="str">
        <f>IF(OR(L9="",Results!L7=""),"",IF(L9=Results!L7,1+IF(OR($O9=11,$P9=11,$Q9=11),1,0),0))</f>
        <v/>
      </c>
      <c r="AD9" s="4" t="str">
        <f>IF(OR(M9="",Results!M7=""),"",IF(M9=Results!M7,1+IF(OR($O9=12,$P9=12,$Q9=12),1,0),0))</f>
        <v/>
      </c>
      <c r="AE9" s="4" t="str">
        <f>IF(OR(N9="",Results!N7=""),"",IF(N9=Results!N7,1+IF(OR($O9=13,$P9=13,$Q9=13),1,0),0))</f>
        <v/>
      </c>
      <c r="AF9" s="11">
        <f t="shared" si="0"/>
        <v>0</v>
      </c>
      <c r="AG9" s="4" t="str">
        <f>IF(OR($R9="",Results!O7=""),"",ABS($R9-Results!O7))</f>
        <v/>
      </c>
      <c r="AH9" s="12">
        <v>41</v>
      </c>
      <c r="AI9" s="13" t="str">
        <f>IF(OR(B9="",Results!B7=""),"",IF(AND(B9=Results!B7,Results!B7&lt;&gt;Games!$C$31),1,0))</f>
        <v/>
      </c>
      <c r="AJ9" s="13" t="str">
        <f>IF(OR(C9="",Results!C7=""),"",IF(AND(C9=Results!C7,Results!C7&lt;&gt;Games!$C$32),1,0))</f>
        <v/>
      </c>
      <c r="AK9" s="13" t="str">
        <f>IF(OR(D9="",Results!D7=""),"",IF(AND(D9=Results!D7,Results!D7&lt;&gt;Games!$C$33),1,0))</f>
        <v/>
      </c>
      <c r="AL9" s="13" t="str">
        <f>IF(OR(E9="",Results!E7=""),"",IF(AND(E9=Results!E7,Results!E7&lt;&gt;Games!$C$34),1,0))</f>
        <v/>
      </c>
      <c r="AM9" s="13" t="str">
        <f>IF(OR(F9="",Results!F7=""),"",IF(AND(F9=Results!F7,Results!F7&lt;&gt;Games!$C$35),1,0))</f>
        <v/>
      </c>
      <c r="AN9" s="13" t="str">
        <f>IF(OR(G9="",Results!G7=""),"",IF(AND(G9=Results!G7,Results!G7&lt;&gt;Games!$C$36),1,0))</f>
        <v/>
      </c>
      <c r="AO9" s="13" t="str">
        <f>IF(OR(H9="",Results!H7=""),"",IF(AND(H9=Results!H7,Results!H7&lt;&gt;Games!$C$37),1,0))</f>
        <v/>
      </c>
      <c r="AP9" s="13" t="str">
        <f>IF(OR(I9="",Results!I7=""),"",IF(AND(I9=Results!I7,Results!I7&lt;&gt;Games!$C$38),1,0))</f>
        <v/>
      </c>
      <c r="AQ9" s="13" t="str">
        <f>IF(OR(J9="",Results!J7=""),"",IF(AND(J9=Results!J7,Results!J7&lt;&gt;Games!$C$39),1,0))</f>
        <v/>
      </c>
      <c r="AR9" s="13" t="str">
        <f>IF(OR(K9="",Results!K7=""),"",IF(AND(K9=Results!K7,Results!K7&lt;&gt;Games!$C$40),1,0))</f>
        <v/>
      </c>
      <c r="AS9" s="13" t="str">
        <f>IF(OR(L9="",Results!L7=""),"",IF(AND(L9=Results!L7,Results!L7&lt;&gt;Games!$C$41),1,0))</f>
        <v/>
      </c>
      <c r="AT9" s="13" t="str">
        <f>IF(OR(M9="",Results!M7=""),"",IF(AND(M9=Results!M7,Results!M7&lt;&gt;Games!$C$42),1,0))</f>
        <v/>
      </c>
      <c r="AU9" s="13" t="str">
        <f>IF(OR(N9="",Results!N7=""),"",IF(AND(N9=Results!N7,Results!N7&lt;&gt;Games!$C$43),1,0))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 t="s">
        <v>255</v>
      </c>
      <c r="C10" s="5" t="s">
        <v>257</v>
      </c>
      <c r="D10" s="5" t="s">
        <v>258</v>
      </c>
      <c r="E10" s="5" t="s">
        <v>261</v>
      </c>
      <c r="F10" s="5" t="s">
        <v>263</v>
      </c>
      <c r="G10" s="5" t="s">
        <v>224</v>
      </c>
      <c r="H10" s="5" t="s">
        <v>239</v>
      </c>
      <c r="I10" s="5" t="s">
        <v>184</v>
      </c>
      <c r="J10" s="5" t="s">
        <v>202</v>
      </c>
      <c r="K10" s="5" t="s">
        <v>210</v>
      </c>
      <c r="L10" s="5" t="s">
        <v>272</v>
      </c>
      <c r="M10" s="5" t="s">
        <v>273</v>
      </c>
      <c r="N10" s="5" t="s">
        <v>191</v>
      </c>
      <c r="O10" s="5">
        <v>1</v>
      </c>
      <c r="P10" s="5">
        <v>2</v>
      </c>
      <c r="Q10" s="5">
        <v>3</v>
      </c>
      <c r="R10" s="5">
        <v>51</v>
      </c>
      <c r="S10" s="4" t="str">
        <f>IF(OR(B10="",Results!B7=""),"",IF(B10=Results!B7,1+IF(OR($O10=1,$P10=1,$Q10=1),1,0),0))</f>
        <v/>
      </c>
      <c r="T10" s="4" t="str">
        <f>IF(OR(C10="",Results!C7=""),"",IF(C10=Results!C7,1+IF(OR($O10=2,$P10=2,$Q10=2),1,0),0))</f>
        <v/>
      </c>
      <c r="U10" s="4" t="str">
        <f>IF(OR(D10="",Results!D7=""),"",IF(D10=Results!D7,1+IF(OR($O10=3,$P10=3,$Q10=3),1,0),0))</f>
        <v/>
      </c>
      <c r="V10" s="4" t="str">
        <f>IF(OR(E10="",Results!E7=""),"",IF(E10=Results!E7,1+IF(OR($O10=4,$P10=4,$Q10=4),1,0),0))</f>
        <v/>
      </c>
      <c r="W10" s="4" t="str">
        <f>IF(OR(F10="",Results!F7=""),"",IF(F10=Results!F7,1+IF(OR($O10=5,$P10=5,$Q10=5),1,0),0))</f>
        <v/>
      </c>
      <c r="X10" s="4" t="str">
        <f>IF(OR(G10="",Results!G7=""),"",IF(G10=Results!G7,1+IF(OR($O10=6,$P10=6,$Q10=6),1,0),0))</f>
        <v/>
      </c>
      <c r="Y10" s="4" t="str">
        <f>IF(OR(H10="",Results!H7=""),"",IF(H10=Results!H7,1+IF(OR($O10=7,$P10=7,$Q10=7),1,0),0))</f>
        <v/>
      </c>
      <c r="Z10" s="4" t="str">
        <f>IF(OR(I10="",Results!I7=""),"",IF(I10=Results!I7,1+IF(OR($O10=8,$P10=8,$Q10=8),1,0),0))</f>
        <v/>
      </c>
      <c r="AA10" s="4" t="str">
        <f>IF(OR(J10="",Results!J7=""),"",IF(J10=Results!J7,1+IF(OR($O10=9,$P10=9,$Q10=9),1,0),0))</f>
        <v/>
      </c>
      <c r="AB10" s="4" t="str">
        <f>IF(OR(K10="",Results!K7=""),"",IF(K10=Results!K7,1+IF(OR($O10=10,$P10=10,$Q10=10),1,0),0))</f>
        <v/>
      </c>
      <c r="AC10" s="4" t="str">
        <f>IF(OR(L10="",Results!L7=""),"",IF(L10=Results!L7,1+IF(OR($O10=11,$P10=11,$Q10=11),1,0),0))</f>
        <v/>
      </c>
      <c r="AD10" s="4" t="str">
        <f>IF(OR(M10="",Results!M7=""),"",IF(M10=Results!M7,1+IF(OR($O10=12,$P10=12,$Q10=12),1,0),0))</f>
        <v/>
      </c>
      <c r="AE10" s="4" t="str">
        <f>IF(OR(N10="",Results!N7=""),"",IF(N10=Results!N7,1+IF(OR($O10=13,$P10=13,$Q10=13),1,0),0))</f>
        <v/>
      </c>
      <c r="AF10" s="11">
        <f t="shared" si="0"/>
        <v>0</v>
      </c>
      <c r="AG10" s="4" t="str">
        <f>IF(OR($R10="",Results!O7=""),"",ABS($R10-Results!O7))</f>
        <v/>
      </c>
      <c r="AH10" s="12">
        <v>3</v>
      </c>
      <c r="AI10" s="13" t="str">
        <f>IF(OR(B10="",Results!B7=""),"",IF(AND(B10=Results!B7,Results!B7&lt;&gt;Games!$C$31),1,0))</f>
        <v/>
      </c>
      <c r="AJ10" s="13" t="str">
        <f>IF(OR(C10="",Results!C7=""),"",IF(AND(C10=Results!C7,Results!C7&lt;&gt;Games!$C$32),1,0))</f>
        <v/>
      </c>
      <c r="AK10" s="13" t="str">
        <f>IF(OR(D10="",Results!D7=""),"",IF(AND(D10=Results!D7,Results!D7&lt;&gt;Games!$C$33),1,0))</f>
        <v/>
      </c>
      <c r="AL10" s="13" t="str">
        <f>IF(OR(E10="",Results!E7=""),"",IF(AND(E10=Results!E7,Results!E7&lt;&gt;Games!$C$34),1,0))</f>
        <v/>
      </c>
      <c r="AM10" s="13" t="str">
        <f>IF(OR(F10="",Results!F7=""),"",IF(AND(F10=Results!F7,Results!F7&lt;&gt;Games!$C$35),1,0))</f>
        <v/>
      </c>
      <c r="AN10" s="13" t="str">
        <f>IF(OR(G10="",Results!G7=""),"",IF(AND(G10=Results!G7,Results!G7&lt;&gt;Games!$C$36),1,0))</f>
        <v/>
      </c>
      <c r="AO10" s="13" t="str">
        <f>IF(OR(H10="",Results!H7=""),"",IF(AND(H10=Results!H7,Results!H7&lt;&gt;Games!$C$37),1,0))</f>
        <v/>
      </c>
      <c r="AP10" s="13" t="str">
        <f>IF(OR(I10="",Results!I7=""),"",IF(AND(I10=Results!I7,Results!I7&lt;&gt;Games!$C$38),1,0))</f>
        <v/>
      </c>
      <c r="AQ10" s="13" t="str">
        <f>IF(OR(J10="",Results!J7=""),"",IF(AND(J10=Results!J7,Results!J7&lt;&gt;Games!$C$39),1,0))</f>
        <v/>
      </c>
      <c r="AR10" s="13" t="str">
        <f>IF(OR(K10="",Results!K7=""),"",IF(AND(K10=Results!K7,Results!K7&lt;&gt;Games!$C$40),1,0))</f>
        <v/>
      </c>
      <c r="AS10" s="13" t="str">
        <f>IF(OR(L10="",Results!L7=""),"",IF(AND(L10=Results!L7,Results!L7&lt;&gt;Games!$C$41),1,0))</f>
        <v/>
      </c>
      <c r="AT10" s="13" t="str">
        <f>IF(OR(M10="",Results!M7=""),"",IF(AND(M10=Results!M7,Results!M7&lt;&gt;Games!$C$42),1,0))</f>
        <v/>
      </c>
      <c r="AU10" s="13" t="str">
        <f>IF(OR(N10="",Results!N7=""),"",IF(AND(N10=Results!N7,Results!N7&lt;&gt;Games!$C$43),1,0))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IF(OR(B11="",Results!B7=""),"",IF(B11=Results!B7,1+IF(OR($O11=1,$P11=1,$Q11=1),1,0),0))</f>
        <v/>
      </c>
      <c r="T11" s="4" t="str">
        <f>IF(OR(C11="",Results!C7=""),"",IF(C11=Results!C7,1+IF(OR($O11=2,$P11=2,$Q11=2),1,0),0))</f>
        <v/>
      </c>
      <c r="U11" s="4" t="str">
        <f>IF(OR(D11="",Results!D7=""),"",IF(D11=Results!D7,1+IF(OR($O11=3,$P11=3,$Q11=3),1,0),0))</f>
        <v/>
      </c>
      <c r="V11" s="4" t="str">
        <f>IF(OR(E11="",Results!E7=""),"",IF(E11=Results!E7,1+IF(OR($O11=4,$P11=4,$Q11=4),1,0),0))</f>
        <v/>
      </c>
      <c r="W11" s="4" t="str">
        <f>IF(OR(F11="",Results!F7=""),"",IF(F11=Results!F7,1+IF(OR($O11=5,$P11=5,$Q11=5),1,0),0))</f>
        <v/>
      </c>
      <c r="X11" s="4" t="str">
        <f>IF(OR(G11="",Results!G7=""),"",IF(G11=Results!G7,1+IF(OR($O11=6,$P11=6,$Q11=6),1,0),0))</f>
        <v/>
      </c>
      <c r="Y11" s="4" t="str">
        <f>IF(OR(H11="",Results!H7=""),"",IF(H11=Results!H7,1+IF(OR($O11=7,$P11=7,$Q11=7),1,0),0))</f>
        <v/>
      </c>
      <c r="Z11" s="4" t="str">
        <f>IF(OR(I11="",Results!I7=""),"",IF(I11=Results!I7,1+IF(OR($O11=8,$P11=8,$Q11=8),1,0),0))</f>
        <v/>
      </c>
      <c r="AA11" s="4" t="str">
        <f>IF(OR(J11="",Results!J7=""),"",IF(J11=Results!J7,1+IF(OR($O11=9,$P11=9,$Q11=9),1,0),0))</f>
        <v/>
      </c>
      <c r="AB11" s="4" t="str">
        <f>IF(OR(K11="",Results!K7=""),"",IF(K11=Results!K7,1+IF(OR($O11=10,$P11=10,$Q11=10),1,0),0))</f>
        <v/>
      </c>
      <c r="AC11" s="4" t="str">
        <f>IF(OR(L11="",Results!L7=""),"",IF(L11=Results!L7,1+IF(OR($O11=11,$P11=11,$Q11=11),1,0),0))</f>
        <v/>
      </c>
      <c r="AD11" s="4" t="str">
        <f>IF(OR(M11="",Results!M7=""),"",IF(M11=Results!M7,1+IF(OR($O11=12,$P11=12,$Q11=12),1,0),0))</f>
        <v/>
      </c>
      <c r="AE11" s="4" t="str">
        <f>IF(OR(N11="",Results!N7=""),"",IF(N11=Results!N7,1+IF(OR($O11=13,$P11=13,$Q11=13),1,0),0))</f>
        <v/>
      </c>
      <c r="AF11" s="11">
        <f t="shared" si="0"/>
        <v>0</v>
      </c>
      <c r="AG11" s="4" t="str">
        <f>IF(OR($R11="",Results!O7=""),"",ABS($R11-Results!O7))</f>
        <v/>
      </c>
      <c r="AH11" s="12">
        <v>58</v>
      </c>
      <c r="AI11" s="13" t="str">
        <f>IF(OR(B11="",Results!B7=""),"",IF(AND(B11=Results!B7,Results!B7&lt;&gt;Games!$C$31),1,0))</f>
        <v/>
      </c>
      <c r="AJ11" s="13" t="str">
        <f>IF(OR(C11="",Results!C7=""),"",IF(AND(C11=Results!C7,Results!C7&lt;&gt;Games!$C$32),1,0))</f>
        <v/>
      </c>
      <c r="AK11" s="13" t="str">
        <f>IF(OR(D11="",Results!D7=""),"",IF(AND(D11=Results!D7,Results!D7&lt;&gt;Games!$C$33),1,0))</f>
        <v/>
      </c>
      <c r="AL11" s="13" t="str">
        <f>IF(OR(E11="",Results!E7=""),"",IF(AND(E11=Results!E7,Results!E7&lt;&gt;Games!$C$34),1,0))</f>
        <v/>
      </c>
      <c r="AM11" s="13" t="str">
        <f>IF(OR(F11="",Results!F7=""),"",IF(AND(F11=Results!F7,Results!F7&lt;&gt;Games!$C$35),1,0))</f>
        <v/>
      </c>
      <c r="AN11" s="13" t="str">
        <f>IF(OR(G11="",Results!G7=""),"",IF(AND(G11=Results!G7,Results!G7&lt;&gt;Games!$C$36),1,0))</f>
        <v/>
      </c>
      <c r="AO11" s="13" t="str">
        <f>IF(OR(H11="",Results!H7=""),"",IF(AND(H11=Results!H7,Results!H7&lt;&gt;Games!$C$37),1,0))</f>
        <v/>
      </c>
      <c r="AP11" s="13" t="str">
        <f>IF(OR(I11="",Results!I7=""),"",IF(AND(I11=Results!I7,Results!I7&lt;&gt;Games!$C$38),1,0))</f>
        <v/>
      </c>
      <c r="AQ11" s="13" t="str">
        <f>IF(OR(J11="",Results!J7=""),"",IF(AND(J11=Results!J7,Results!J7&lt;&gt;Games!$C$39),1,0))</f>
        <v/>
      </c>
      <c r="AR11" s="13" t="str">
        <f>IF(OR(K11="",Results!K7=""),"",IF(AND(K11=Results!K7,Results!K7&lt;&gt;Games!$C$40),1,0))</f>
        <v/>
      </c>
      <c r="AS11" s="13" t="str">
        <f>IF(OR(L11="",Results!L7=""),"",IF(AND(L11=Results!L7,Results!L7&lt;&gt;Games!$C$41),1,0))</f>
        <v/>
      </c>
      <c r="AT11" s="13" t="str">
        <f>IF(OR(M11="",Results!M7=""),"",IF(AND(M11=Results!M7,Results!M7&lt;&gt;Games!$C$42),1,0))</f>
        <v/>
      </c>
      <c r="AU11" s="13" t="str">
        <f>IF(OR(N11="",Results!N7=""),"",IF(AND(N11=Results!N7,Results!N7&lt;&gt;Games!$C$43),1,0))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 t="s">
        <v>255</v>
      </c>
      <c r="C12" s="5" t="s">
        <v>211</v>
      </c>
      <c r="D12" s="5" t="s">
        <v>258</v>
      </c>
      <c r="E12" s="5" t="s">
        <v>261</v>
      </c>
      <c r="F12" s="5" t="s">
        <v>262</v>
      </c>
      <c r="G12" s="5" t="s">
        <v>224</v>
      </c>
      <c r="H12" s="5" t="s">
        <v>266</v>
      </c>
      <c r="I12" s="5" t="s">
        <v>268</v>
      </c>
      <c r="J12" s="5" t="s">
        <v>202</v>
      </c>
      <c r="K12" s="5" t="s">
        <v>223</v>
      </c>
      <c r="L12" s="5" t="s">
        <v>271</v>
      </c>
      <c r="M12" s="5" t="s">
        <v>273</v>
      </c>
      <c r="N12" s="5" t="s">
        <v>276</v>
      </c>
      <c r="O12" s="5">
        <v>1</v>
      </c>
      <c r="P12" s="5">
        <v>5</v>
      </c>
      <c r="Q12" s="5">
        <v>12</v>
      </c>
      <c r="R12" s="5">
        <v>53</v>
      </c>
      <c r="S12" s="4" t="str">
        <f>IF(OR(B12="",Results!B7=""),"",IF(B12=Results!B7,1+IF(OR($O12=1,$P12=1,$Q12=1),1,0),0))</f>
        <v/>
      </c>
      <c r="T12" s="4" t="str">
        <f>IF(OR(C12="",Results!C7=""),"",IF(C12=Results!C7,1+IF(OR($O12=2,$P12=2,$Q12=2),1,0),0))</f>
        <v/>
      </c>
      <c r="U12" s="4" t="str">
        <f>IF(OR(D12="",Results!D7=""),"",IF(D12=Results!D7,1+IF(OR($O12=3,$P12=3,$Q12=3),1,0),0))</f>
        <v/>
      </c>
      <c r="V12" s="4" t="str">
        <f>IF(OR(E12="",Results!E7=""),"",IF(E12=Results!E7,1+IF(OR($O12=4,$P12=4,$Q12=4),1,0),0))</f>
        <v/>
      </c>
      <c r="W12" s="4" t="str">
        <f>IF(OR(F12="",Results!F7=""),"",IF(F12=Results!F7,1+IF(OR($O12=5,$P12=5,$Q12=5),1,0),0))</f>
        <v/>
      </c>
      <c r="X12" s="4" t="str">
        <f>IF(OR(G12="",Results!G7=""),"",IF(G12=Results!G7,1+IF(OR($O12=6,$P12=6,$Q12=6),1,0),0))</f>
        <v/>
      </c>
      <c r="Y12" s="4" t="str">
        <f>IF(OR(H12="",Results!H7=""),"",IF(H12=Results!H7,1+IF(OR($O12=7,$P12=7,$Q12=7),1,0),0))</f>
        <v/>
      </c>
      <c r="Z12" s="4" t="str">
        <f>IF(OR(I12="",Results!I7=""),"",IF(I12=Results!I7,1+IF(OR($O12=8,$P12=8,$Q12=8),1,0),0))</f>
        <v/>
      </c>
      <c r="AA12" s="4" t="str">
        <f>IF(OR(J12="",Results!J7=""),"",IF(J12=Results!J7,1+IF(OR($O12=9,$P12=9,$Q12=9),1,0),0))</f>
        <v/>
      </c>
      <c r="AB12" s="4" t="str">
        <f>IF(OR(K12="",Results!K7=""),"",IF(K12=Results!K7,1+IF(OR($O12=10,$P12=10,$Q12=10),1,0),0))</f>
        <v/>
      </c>
      <c r="AC12" s="4" t="str">
        <f>IF(OR(L12="",Results!L7=""),"",IF(L12=Results!L7,1+IF(OR($O12=11,$P12=11,$Q12=11),1,0),0))</f>
        <v/>
      </c>
      <c r="AD12" s="4" t="str">
        <f>IF(OR(M12="",Results!M7=""),"",IF(M12=Results!M7,1+IF(OR($O12=12,$P12=12,$Q12=12),1,0),0))</f>
        <v/>
      </c>
      <c r="AE12" s="4" t="str">
        <f>IF(OR(N12="",Results!N7=""),"",IF(N12=Results!N7,1+IF(OR($O12=13,$P12=13,$Q12=13),1,0),0))</f>
        <v/>
      </c>
      <c r="AF12" s="11">
        <f t="shared" si="0"/>
        <v>0</v>
      </c>
      <c r="AG12" s="4" t="str">
        <f>IF(OR($R12="",Results!O7=""),"",ABS($R12-Results!O7))</f>
        <v/>
      </c>
      <c r="AH12" s="12">
        <v>4</v>
      </c>
      <c r="AI12" s="13" t="str">
        <f>IF(OR(B12="",Results!B7=""),"",IF(AND(B12=Results!B7,Results!B7&lt;&gt;Games!$C$31),1,0))</f>
        <v/>
      </c>
      <c r="AJ12" s="13" t="str">
        <f>IF(OR(C12="",Results!C7=""),"",IF(AND(C12=Results!C7,Results!C7&lt;&gt;Games!$C$32),1,0))</f>
        <v/>
      </c>
      <c r="AK12" s="13" t="str">
        <f>IF(OR(D12="",Results!D7=""),"",IF(AND(D12=Results!D7,Results!D7&lt;&gt;Games!$C$33),1,0))</f>
        <v/>
      </c>
      <c r="AL12" s="13" t="str">
        <f>IF(OR(E12="",Results!E7=""),"",IF(AND(E12=Results!E7,Results!E7&lt;&gt;Games!$C$34),1,0))</f>
        <v/>
      </c>
      <c r="AM12" s="13" t="str">
        <f>IF(OR(F12="",Results!F7=""),"",IF(AND(F12=Results!F7,Results!F7&lt;&gt;Games!$C$35),1,0))</f>
        <v/>
      </c>
      <c r="AN12" s="13" t="str">
        <f>IF(OR(G12="",Results!G7=""),"",IF(AND(G12=Results!G7,Results!G7&lt;&gt;Games!$C$36),1,0))</f>
        <v/>
      </c>
      <c r="AO12" s="13" t="str">
        <f>IF(OR(H12="",Results!H7=""),"",IF(AND(H12=Results!H7,Results!H7&lt;&gt;Games!$C$37),1,0))</f>
        <v/>
      </c>
      <c r="AP12" s="13" t="str">
        <f>IF(OR(I12="",Results!I7=""),"",IF(AND(I12=Results!I7,Results!I7&lt;&gt;Games!$C$38),1,0))</f>
        <v/>
      </c>
      <c r="AQ12" s="13" t="str">
        <f>IF(OR(J12="",Results!J7=""),"",IF(AND(J12=Results!J7,Results!J7&lt;&gt;Games!$C$39),1,0))</f>
        <v/>
      </c>
      <c r="AR12" s="13" t="str">
        <f>IF(OR(K12="",Results!K7=""),"",IF(AND(K12=Results!K7,Results!K7&lt;&gt;Games!$C$40),1,0))</f>
        <v/>
      </c>
      <c r="AS12" s="13" t="str">
        <f>IF(OR(L12="",Results!L7=""),"",IF(AND(L12=Results!L7,Results!L7&lt;&gt;Games!$C$41),1,0))</f>
        <v/>
      </c>
      <c r="AT12" s="13" t="str">
        <f>IF(OR(M12="",Results!M7=""),"",IF(AND(M12=Results!M7,Results!M7&lt;&gt;Games!$C$42),1,0))</f>
        <v/>
      </c>
      <c r="AU12" s="13" t="str">
        <f>IF(OR(N12="",Results!N7=""),"",IF(AND(N12=Results!N7,Results!N7&lt;&gt;Games!$C$43),1,0))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IF(OR(B13="",Results!B7=""),"",IF(B13=Results!B7,1+IF(OR($O13=1,$P13=1,$Q13=1),1,0),0))</f>
        <v/>
      </c>
      <c r="T13" s="4" t="str">
        <f>IF(OR(C13="",Results!C7=""),"",IF(C13=Results!C7,1+IF(OR($O13=2,$P13=2,$Q13=2),1,0),0))</f>
        <v/>
      </c>
      <c r="U13" s="4" t="str">
        <f>IF(OR(D13="",Results!D7=""),"",IF(D13=Results!D7,1+IF(OR($O13=3,$P13=3,$Q13=3),1,0),0))</f>
        <v/>
      </c>
      <c r="V13" s="4" t="str">
        <f>IF(OR(E13="",Results!E7=""),"",IF(E13=Results!E7,1+IF(OR($O13=4,$P13=4,$Q13=4),1,0),0))</f>
        <v/>
      </c>
      <c r="W13" s="4" t="str">
        <f>IF(OR(F13="",Results!F7=""),"",IF(F13=Results!F7,1+IF(OR($O13=5,$P13=5,$Q13=5),1,0),0))</f>
        <v/>
      </c>
      <c r="X13" s="4" t="str">
        <f>IF(OR(G13="",Results!G7=""),"",IF(G13=Results!G7,1+IF(OR($O13=6,$P13=6,$Q13=6),1,0),0))</f>
        <v/>
      </c>
      <c r="Y13" s="4" t="str">
        <f>IF(OR(H13="",Results!H7=""),"",IF(H13=Results!H7,1+IF(OR($O13=7,$P13=7,$Q13=7),1,0),0))</f>
        <v/>
      </c>
      <c r="Z13" s="4" t="str">
        <f>IF(OR(I13="",Results!I7=""),"",IF(I13=Results!I7,1+IF(OR($O13=8,$P13=8,$Q13=8),1,0),0))</f>
        <v/>
      </c>
      <c r="AA13" s="4" t="str">
        <f>IF(OR(J13="",Results!J7=""),"",IF(J13=Results!J7,1+IF(OR($O13=9,$P13=9,$Q13=9),1,0),0))</f>
        <v/>
      </c>
      <c r="AB13" s="4" t="str">
        <f>IF(OR(K13="",Results!K7=""),"",IF(K13=Results!K7,1+IF(OR($O13=10,$P13=10,$Q13=10),1,0),0))</f>
        <v/>
      </c>
      <c r="AC13" s="4" t="str">
        <f>IF(OR(L13="",Results!L7=""),"",IF(L13=Results!L7,1+IF(OR($O13=11,$P13=11,$Q13=11),1,0),0))</f>
        <v/>
      </c>
      <c r="AD13" s="4" t="str">
        <f>IF(OR(M13="",Results!M7=""),"",IF(M13=Results!M7,1+IF(OR($O13=12,$P13=12,$Q13=12),1,0),0))</f>
        <v/>
      </c>
      <c r="AE13" s="4" t="str">
        <f>IF(OR(N13="",Results!N7=""),"",IF(N13=Results!N7,1+IF(OR($O13=13,$P13=13,$Q13=13),1,0),0))</f>
        <v/>
      </c>
      <c r="AF13" s="11">
        <f t="shared" si="0"/>
        <v>0</v>
      </c>
      <c r="AG13" s="4" t="str">
        <f>IF(OR($R13="",Results!O7=""),"",ABS($R13-Results!O7))</f>
        <v/>
      </c>
      <c r="AH13" s="12">
        <v>57</v>
      </c>
      <c r="AI13" s="13" t="str">
        <f>IF(OR(B13="",Results!B7=""),"",IF(AND(B13=Results!B7,Results!B7&lt;&gt;Games!$C$31),1,0))</f>
        <v/>
      </c>
      <c r="AJ13" s="13" t="str">
        <f>IF(OR(C13="",Results!C7=""),"",IF(AND(C13=Results!C7,Results!C7&lt;&gt;Games!$C$32),1,0))</f>
        <v/>
      </c>
      <c r="AK13" s="13" t="str">
        <f>IF(OR(D13="",Results!D7=""),"",IF(AND(D13=Results!D7,Results!D7&lt;&gt;Games!$C$33),1,0))</f>
        <v/>
      </c>
      <c r="AL13" s="13" t="str">
        <f>IF(OR(E13="",Results!E7=""),"",IF(AND(E13=Results!E7,Results!E7&lt;&gt;Games!$C$34),1,0))</f>
        <v/>
      </c>
      <c r="AM13" s="13" t="str">
        <f>IF(OR(F13="",Results!F7=""),"",IF(AND(F13=Results!F7,Results!F7&lt;&gt;Games!$C$35),1,0))</f>
        <v/>
      </c>
      <c r="AN13" s="13" t="str">
        <f>IF(OR(G13="",Results!G7=""),"",IF(AND(G13=Results!G7,Results!G7&lt;&gt;Games!$C$36),1,0))</f>
        <v/>
      </c>
      <c r="AO13" s="13" t="str">
        <f>IF(OR(H13="",Results!H7=""),"",IF(AND(H13=Results!H7,Results!H7&lt;&gt;Games!$C$37),1,0))</f>
        <v/>
      </c>
      <c r="AP13" s="13" t="str">
        <f>IF(OR(I13="",Results!I7=""),"",IF(AND(I13=Results!I7,Results!I7&lt;&gt;Games!$C$38),1,0))</f>
        <v/>
      </c>
      <c r="AQ13" s="13" t="str">
        <f>IF(OR(J13="",Results!J7=""),"",IF(AND(J13=Results!J7,Results!J7&lt;&gt;Games!$C$39),1,0))</f>
        <v/>
      </c>
      <c r="AR13" s="13" t="str">
        <f>IF(OR(K13="",Results!K7=""),"",IF(AND(K13=Results!K7,Results!K7&lt;&gt;Games!$C$40),1,0))</f>
        <v/>
      </c>
      <c r="AS13" s="13" t="str">
        <f>IF(OR(L13="",Results!L7=""),"",IF(AND(L13=Results!L7,Results!L7&lt;&gt;Games!$C$41),1,0))</f>
        <v/>
      </c>
      <c r="AT13" s="13" t="str">
        <f>IF(OR(M13="",Results!M7=""),"",IF(AND(M13=Results!M7,Results!M7&lt;&gt;Games!$C$42),1,0))</f>
        <v/>
      </c>
      <c r="AU13" s="13" t="str">
        <f>IF(OR(N13="",Results!N7=""),"",IF(AND(N13=Results!N7,Results!N7&lt;&gt;Games!$C$43),1,0))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 t="s">
        <v>255</v>
      </c>
      <c r="C14" s="5" t="s">
        <v>211</v>
      </c>
      <c r="D14" s="5" t="s">
        <v>258</v>
      </c>
      <c r="E14" s="5" t="s">
        <v>260</v>
      </c>
      <c r="F14" s="5" t="s">
        <v>262</v>
      </c>
      <c r="G14" s="5" t="s">
        <v>224</v>
      </c>
      <c r="H14" s="5" t="s">
        <v>266</v>
      </c>
      <c r="I14" s="5" t="s">
        <v>268</v>
      </c>
      <c r="J14" s="5" t="s">
        <v>269</v>
      </c>
      <c r="K14" s="5" t="s">
        <v>210</v>
      </c>
      <c r="L14" s="5" t="s">
        <v>271</v>
      </c>
      <c r="M14" s="5" t="s">
        <v>273</v>
      </c>
      <c r="N14" s="5" t="s">
        <v>276</v>
      </c>
      <c r="O14" s="5">
        <v>6</v>
      </c>
      <c r="P14" s="5">
        <v>10</v>
      </c>
      <c r="Q14" s="5">
        <v>12</v>
      </c>
      <c r="R14" s="5">
        <v>60</v>
      </c>
      <c r="S14" s="4" t="str">
        <f>IF(OR(B14="",Results!B7=""),"",IF(B14=Results!B7,1+IF(OR($O14=1,$P14=1,$Q14=1),1,0),0))</f>
        <v/>
      </c>
      <c r="T14" s="4" t="str">
        <f>IF(OR(C14="",Results!C7=""),"",IF(C14=Results!C7,1+IF(OR($O14=2,$P14=2,$Q14=2),1,0),0))</f>
        <v/>
      </c>
      <c r="U14" s="4" t="str">
        <f>IF(OR(D14="",Results!D7=""),"",IF(D14=Results!D7,1+IF(OR($O14=3,$P14=3,$Q14=3),1,0),0))</f>
        <v/>
      </c>
      <c r="V14" s="4" t="str">
        <f>IF(OR(E14="",Results!E7=""),"",IF(E14=Results!E7,1+IF(OR($O14=4,$P14=4,$Q14=4),1,0),0))</f>
        <v/>
      </c>
      <c r="W14" s="4" t="str">
        <f>IF(OR(F14="",Results!F7=""),"",IF(F14=Results!F7,1+IF(OR($O14=5,$P14=5,$Q14=5),1,0),0))</f>
        <v/>
      </c>
      <c r="X14" s="4" t="str">
        <f>IF(OR(G14="",Results!G7=""),"",IF(G14=Results!G7,1+IF(OR($O14=6,$P14=6,$Q14=6),1,0),0))</f>
        <v/>
      </c>
      <c r="Y14" s="4" t="str">
        <f>IF(OR(H14="",Results!H7=""),"",IF(H14=Results!H7,1+IF(OR($O14=7,$P14=7,$Q14=7),1,0),0))</f>
        <v/>
      </c>
      <c r="Z14" s="4" t="str">
        <f>IF(OR(I14="",Results!I7=""),"",IF(I14=Results!I7,1+IF(OR($O14=8,$P14=8,$Q14=8),1,0),0))</f>
        <v/>
      </c>
      <c r="AA14" s="4" t="str">
        <f>IF(OR(J14="",Results!J7=""),"",IF(J14=Results!J7,1+IF(OR($O14=9,$P14=9,$Q14=9),1,0),0))</f>
        <v/>
      </c>
      <c r="AB14" s="4" t="str">
        <f>IF(OR(K14="",Results!K7=""),"",IF(K14=Results!K7,1+IF(OR($O14=10,$P14=10,$Q14=10),1,0),0))</f>
        <v/>
      </c>
      <c r="AC14" s="4" t="str">
        <f>IF(OR(L14="",Results!L7=""),"",IF(L14=Results!L7,1+IF(OR($O14=11,$P14=11,$Q14=11),1,0),0))</f>
        <v/>
      </c>
      <c r="AD14" s="4" t="str">
        <f>IF(OR(M14="",Results!M7=""),"",IF(M14=Results!M7,1+IF(OR($O14=12,$P14=12,$Q14=12),1,0),0))</f>
        <v/>
      </c>
      <c r="AE14" s="4" t="str">
        <f>IF(OR(N14="",Results!N7=""),"",IF(N14=Results!N7,1+IF(OR($O14=13,$P14=13,$Q14=13),1,0),0))</f>
        <v/>
      </c>
      <c r="AF14" s="11">
        <f t="shared" si="0"/>
        <v>0</v>
      </c>
      <c r="AG14" s="4" t="str">
        <f>IF(OR($R14="",Results!O7=""),"",ABS($R14-Results!O7))</f>
        <v/>
      </c>
      <c r="AH14" s="12">
        <v>6</v>
      </c>
      <c r="AI14" s="13" t="str">
        <f>IF(OR(B14="",Results!B7=""),"",IF(AND(B14=Results!B7,Results!B7&lt;&gt;Games!$C$31),1,0))</f>
        <v/>
      </c>
      <c r="AJ14" s="13" t="str">
        <f>IF(OR(C14="",Results!C7=""),"",IF(AND(C14=Results!C7,Results!C7&lt;&gt;Games!$C$32),1,0))</f>
        <v/>
      </c>
      <c r="AK14" s="13" t="str">
        <f>IF(OR(D14="",Results!D7=""),"",IF(AND(D14=Results!D7,Results!D7&lt;&gt;Games!$C$33),1,0))</f>
        <v/>
      </c>
      <c r="AL14" s="13" t="str">
        <f>IF(OR(E14="",Results!E7=""),"",IF(AND(E14=Results!E7,Results!E7&lt;&gt;Games!$C$34),1,0))</f>
        <v/>
      </c>
      <c r="AM14" s="13" t="str">
        <f>IF(OR(F14="",Results!F7=""),"",IF(AND(F14=Results!F7,Results!F7&lt;&gt;Games!$C$35),1,0))</f>
        <v/>
      </c>
      <c r="AN14" s="13" t="str">
        <f>IF(OR(G14="",Results!G7=""),"",IF(AND(G14=Results!G7,Results!G7&lt;&gt;Games!$C$36),1,0))</f>
        <v/>
      </c>
      <c r="AO14" s="13" t="str">
        <f>IF(OR(H14="",Results!H7=""),"",IF(AND(H14=Results!H7,Results!H7&lt;&gt;Games!$C$37),1,0))</f>
        <v/>
      </c>
      <c r="AP14" s="13" t="str">
        <f>IF(OR(I14="",Results!I7=""),"",IF(AND(I14=Results!I7,Results!I7&lt;&gt;Games!$C$38),1,0))</f>
        <v/>
      </c>
      <c r="AQ14" s="13" t="str">
        <f>IF(OR(J14="",Results!J7=""),"",IF(AND(J14=Results!J7,Results!J7&lt;&gt;Games!$C$39),1,0))</f>
        <v/>
      </c>
      <c r="AR14" s="13" t="str">
        <f>IF(OR(K14="",Results!K7=""),"",IF(AND(K14=Results!K7,Results!K7&lt;&gt;Games!$C$40),1,0))</f>
        <v/>
      </c>
      <c r="AS14" s="13" t="str">
        <f>IF(OR(L14="",Results!L7=""),"",IF(AND(L14=Results!L7,Results!L7&lt;&gt;Games!$C$41),1,0))</f>
        <v/>
      </c>
      <c r="AT14" s="13" t="str">
        <f>IF(OR(M14="",Results!M7=""),"",IF(AND(M14=Results!M7,Results!M7&lt;&gt;Games!$C$42),1,0))</f>
        <v/>
      </c>
      <c r="AU14" s="13" t="str">
        <f>IF(OR(N14="",Results!N7=""),"",IF(AND(N14=Results!N7,Results!N7&lt;&gt;Games!$C$43),1,0))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IF(OR(B15="",Results!B7=""),"",IF(B15=Results!B7,1+IF(OR($O15=1,$P15=1,$Q15=1),1,0),0))</f>
        <v/>
      </c>
      <c r="T15" s="4" t="str">
        <f>IF(OR(C15="",Results!C7=""),"",IF(C15=Results!C7,1+IF(OR($O15=2,$P15=2,$Q15=2),1,0),0))</f>
        <v/>
      </c>
      <c r="U15" s="4" t="str">
        <f>IF(OR(D15="",Results!D7=""),"",IF(D15=Results!D7,1+IF(OR($O15=3,$P15=3,$Q15=3),1,0),0))</f>
        <v/>
      </c>
      <c r="V15" s="4" t="str">
        <f>IF(OR(E15="",Results!E7=""),"",IF(E15=Results!E7,1+IF(OR($O15=4,$P15=4,$Q15=4),1,0),0))</f>
        <v/>
      </c>
      <c r="W15" s="4" t="str">
        <f>IF(OR(F15="",Results!F7=""),"",IF(F15=Results!F7,1+IF(OR($O15=5,$P15=5,$Q15=5),1,0),0))</f>
        <v/>
      </c>
      <c r="X15" s="4" t="str">
        <f>IF(OR(G15="",Results!G7=""),"",IF(G15=Results!G7,1+IF(OR($O15=6,$P15=6,$Q15=6),1,0),0))</f>
        <v/>
      </c>
      <c r="Y15" s="4" t="str">
        <f>IF(OR(H15="",Results!H7=""),"",IF(H15=Results!H7,1+IF(OR($O15=7,$P15=7,$Q15=7),1,0),0))</f>
        <v/>
      </c>
      <c r="Z15" s="4" t="str">
        <f>IF(OR(I15="",Results!I7=""),"",IF(I15=Results!I7,1+IF(OR($O15=8,$P15=8,$Q15=8),1,0),0))</f>
        <v/>
      </c>
      <c r="AA15" s="4" t="str">
        <f>IF(OR(J15="",Results!J7=""),"",IF(J15=Results!J7,1+IF(OR($O15=9,$P15=9,$Q15=9),1,0),0))</f>
        <v/>
      </c>
      <c r="AB15" s="4" t="str">
        <f>IF(OR(K15="",Results!K7=""),"",IF(K15=Results!K7,1+IF(OR($O15=10,$P15=10,$Q15=10),1,0),0))</f>
        <v/>
      </c>
      <c r="AC15" s="4" t="str">
        <f>IF(OR(L15="",Results!L7=""),"",IF(L15=Results!L7,1+IF(OR($O15=11,$P15=11,$Q15=11),1,0),0))</f>
        <v/>
      </c>
      <c r="AD15" s="4" t="str">
        <f>IF(OR(M15="",Results!M7=""),"",IF(M15=Results!M7,1+IF(OR($O15=12,$P15=12,$Q15=12),1,0),0))</f>
        <v/>
      </c>
      <c r="AE15" s="4" t="str">
        <f>IF(OR(N15="",Results!N7=""),"",IF(N15=Results!N7,1+IF(OR($O15=13,$P15=13,$Q15=13),1,0),0))</f>
        <v/>
      </c>
      <c r="AF15" s="11">
        <f t="shared" si="0"/>
        <v>0</v>
      </c>
      <c r="AG15" s="4" t="str">
        <f>IF(OR($R15="",Results!O7=""),"",ABS($R15-Results!O7))</f>
        <v/>
      </c>
      <c r="AH15" s="12">
        <v>5</v>
      </c>
      <c r="AI15" s="13" t="str">
        <f>IF(OR(B15="",Results!B7=""),"",IF(AND(B15=Results!B7,Results!B7&lt;&gt;Games!$C$31),1,0))</f>
        <v/>
      </c>
      <c r="AJ15" s="13" t="str">
        <f>IF(OR(C15="",Results!C7=""),"",IF(AND(C15=Results!C7,Results!C7&lt;&gt;Games!$C$32),1,0))</f>
        <v/>
      </c>
      <c r="AK15" s="13" t="str">
        <f>IF(OR(D15="",Results!D7=""),"",IF(AND(D15=Results!D7,Results!D7&lt;&gt;Games!$C$33),1,0))</f>
        <v/>
      </c>
      <c r="AL15" s="13" t="str">
        <f>IF(OR(E15="",Results!E7=""),"",IF(AND(E15=Results!E7,Results!E7&lt;&gt;Games!$C$34),1,0))</f>
        <v/>
      </c>
      <c r="AM15" s="13" t="str">
        <f>IF(OR(F15="",Results!F7=""),"",IF(AND(F15=Results!F7,Results!F7&lt;&gt;Games!$C$35),1,0))</f>
        <v/>
      </c>
      <c r="AN15" s="13" t="str">
        <f>IF(OR(G15="",Results!G7=""),"",IF(AND(G15=Results!G7,Results!G7&lt;&gt;Games!$C$36),1,0))</f>
        <v/>
      </c>
      <c r="AO15" s="13" t="str">
        <f>IF(OR(H15="",Results!H7=""),"",IF(AND(H15=Results!H7,Results!H7&lt;&gt;Games!$C$37),1,0))</f>
        <v/>
      </c>
      <c r="AP15" s="13" t="str">
        <f>IF(OR(I15="",Results!I7=""),"",IF(AND(I15=Results!I7,Results!I7&lt;&gt;Games!$C$38),1,0))</f>
        <v/>
      </c>
      <c r="AQ15" s="13" t="str">
        <f>IF(OR(J15="",Results!J7=""),"",IF(AND(J15=Results!J7,Results!J7&lt;&gt;Games!$C$39),1,0))</f>
        <v/>
      </c>
      <c r="AR15" s="13" t="str">
        <f>IF(OR(K15="",Results!K7=""),"",IF(AND(K15=Results!K7,Results!K7&lt;&gt;Games!$C$40),1,0))</f>
        <v/>
      </c>
      <c r="AS15" s="13" t="str">
        <f>IF(OR(L15="",Results!L7=""),"",IF(AND(L15=Results!L7,Results!L7&lt;&gt;Games!$C$41),1,0))</f>
        <v/>
      </c>
      <c r="AT15" s="13" t="str">
        <f>IF(OR(M15="",Results!M7=""),"",IF(AND(M15=Results!M7,Results!M7&lt;&gt;Games!$C$42),1,0))</f>
        <v/>
      </c>
      <c r="AU15" s="13" t="str">
        <f>IF(OR(N15="",Results!N7=""),"",IF(AND(N15=Results!N7,Results!N7&lt;&gt;Games!$C$43),1,0))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 t="s">
        <v>255</v>
      </c>
      <c r="C16" s="5" t="s">
        <v>257</v>
      </c>
      <c r="D16" s="5" t="s">
        <v>258</v>
      </c>
      <c r="E16" s="5" t="s">
        <v>261</v>
      </c>
      <c r="F16" s="5" t="s">
        <v>262</v>
      </c>
      <c r="G16" s="5" t="s">
        <v>226</v>
      </c>
      <c r="H16" s="5" t="s">
        <v>239</v>
      </c>
      <c r="I16" s="5" t="s">
        <v>184</v>
      </c>
      <c r="J16" s="5" t="s">
        <v>269</v>
      </c>
      <c r="K16" s="5" t="s">
        <v>210</v>
      </c>
      <c r="L16" s="5" t="s">
        <v>271</v>
      </c>
      <c r="M16" s="5" t="s">
        <v>273</v>
      </c>
      <c r="N16" s="5" t="s">
        <v>191</v>
      </c>
      <c r="O16" s="5"/>
      <c r="P16" s="5"/>
      <c r="Q16" s="5"/>
      <c r="R16" s="5">
        <v>67</v>
      </c>
      <c r="S16" s="4" t="str">
        <f>IF(OR(B16="",Results!B7=""),"",IF(B16=Results!B7,1+IF(OR($O16=1,$P16=1,$Q16=1),1,0),0))</f>
        <v/>
      </c>
      <c r="T16" s="4" t="str">
        <f>IF(OR(C16="",Results!C7=""),"",IF(C16=Results!C7,1+IF(OR($O16=2,$P16=2,$Q16=2),1,0),0))</f>
        <v/>
      </c>
      <c r="U16" s="4" t="str">
        <f>IF(OR(D16="",Results!D7=""),"",IF(D16=Results!D7,1+IF(OR($O16=3,$P16=3,$Q16=3),1,0),0))</f>
        <v/>
      </c>
      <c r="V16" s="4" t="str">
        <f>IF(OR(E16="",Results!E7=""),"",IF(E16=Results!E7,1+IF(OR($O16=4,$P16=4,$Q16=4),1,0),0))</f>
        <v/>
      </c>
      <c r="W16" s="4" t="str">
        <f>IF(OR(F16="",Results!F7=""),"",IF(F16=Results!F7,1+IF(OR($O16=5,$P16=5,$Q16=5),1,0),0))</f>
        <v/>
      </c>
      <c r="X16" s="4" t="str">
        <f>IF(OR(G16="",Results!G7=""),"",IF(G16=Results!G7,1+IF(OR($O16=6,$P16=6,$Q16=6),1,0),0))</f>
        <v/>
      </c>
      <c r="Y16" s="4" t="str">
        <f>IF(OR(H16="",Results!H7=""),"",IF(H16=Results!H7,1+IF(OR($O16=7,$P16=7,$Q16=7),1,0),0))</f>
        <v/>
      </c>
      <c r="Z16" s="4" t="str">
        <f>IF(OR(I16="",Results!I7=""),"",IF(I16=Results!I7,1+IF(OR($O16=8,$P16=8,$Q16=8),1,0),0))</f>
        <v/>
      </c>
      <c r="AA16" s="4" t="str">
        <f>IF(OR(J16="",Results!J7=""),"",IF(J16=Results!J7,1+IF(OR($O16=9,$P16=9,$Q16=9),1,0),0))</f>
        <v/>
      </c>
      <c r="AB16" s="4" t="str">
        <f>IF(OR(K16="",Results!K7=""),"",IF(K16=Results!K7,1+IF(OR($O16=10,$P16=10,$Q16=10),1,0),0))</f>
        <v/>
      </c>
      <c r="AC16" s="4" t="str">
        <f>IF(OR(L16="",Results!L7=""),"",IF(L16=Results!L7,1+IF(OR($O16=11,$P16=11,$Q16=11),1,0),0))</f>
        <v/>
      </c>
      <c r="AD16" s="4" t="str">
        <f>IF(OR(M16="",Results!M7=""),"",IF(M16=Results!M7,1+IF(OR($O16=12,$P16=12,$Q16=12),1,0),0))</f>
        <v/>
      </c>
      <c r="AE16" s="4" t="str">
        <f>IF(OR(N16="",Results!N7=""),"",IF(N16=Results!N7,1+IF(OR($O16=13,$P16=13,$Q16=13),1,0),0))</f>
        <v/>
      </c>
      <c r="AF16" s="11">
        <f t="shared" si="0"/>
        <v>0</v>
      </c>
      <c r="AG16" s="4" t="str">
        <f>IF(OR($R16="",Results!O7=""),"",ABS($R16-Results!O7))</f>
        <v/>
      </c>
      <c r="AH16" s="12">
        <v>8</v>
      </c>
      <c r="AI16" s="13" t="str">
        <f>IF(OR(B16="",Results!B7=""),"",IF(AND(B16=Results!B7,Results!B7&lt;&gt;Games!$C$31),1,0))</f>
        <v/>
      </c>
      <c r="AJ16" s="13" t="str">
        <f>IF(OR(C16="",Results!C7=""),"",IF(AND(C16=Results!C7,Results!C7&lt;&gt;Games!$C$32),1,0))</f>
        <v/>
      </c>
      <c r="AK16" s="13" t="str">
        <f>IF(OR(D16="",Results!D7=""),"",IF(AND(D16=Results!D7,Results!D7&lt;&gt;Games!$C$33),1,0))</f>
        <v/>
      </c>
      <c r="AL16" s="13" t="str">
        <f>IF(OR(E16="",Results!E7=""),"",IF(AND(E16=Results!E7,Results!E7&lt;&gt;Games!$C$34),1,0))</f>
        <v/>
      </c>
      <c r="AM16" s="13" t="str">
        <f>IF(OR(F16="",Results!F7=""),"",IF(AND(F16=Results!F7,Results!F7&lt;&gt;Games!$C$35),1,0))</f>
        <v/>
      </c>
      <c r="AN16" s="13" t="str">
        <f>IF(OR(G16="",Results!G7=""),"",IF(AND(G16=Results!G7,Results!G7&lt;&gt;Games!$C$36),1,0))</f>
        <v/>
      </c>
      <c r="AO16" s="13" t="str">
        <f>IF(OR(H16="",Results!H7=""),"",IF(AND(H16=Results!H7,Results!H7&lt;&gt;Games!$C$37),1,0))</f>
        <v/>
      </c>
      <c r="AP16" s="13" t="str">
        <f>IF(OR(I16="",Results!I7=""),"",IF(AND(I16=Results!I7,Results!I7&lt;&gt;Games!$C$38),1,0))</f>
        <v/>
      </c>
      <c r="AQ16" s="13" t="str">
        <f>IF(OR(J16="",Results!J7=""),"",IF(AND(J16=Results!J7,Results!J7&lt;&gt;Games!$C$39),1,0))</f>
        <v/>
      </c>
      <c r="AR16" s="13" t="str">
        <f>IF(OR(K16="",Results!K7=""),"",IF(AND(K16=Results!K7,Results!K7&lt;&gt;Games!$C$40),1,0))</f>
        <v/>
      </c>
      <c r="AS16" s="13" t="str">
        <f>IF(OR(L16="",Results!L7=""),"",IF(AND(L16=Results!L7,Results!L7&lt;&gt;Games!$C$41),1,0))</f>
        <v/>
      </c>
      <c r="AT16" s="13" t="str">
        <f>IF(OR(M16="",Results!M7=""),"",IF(AND(M16=Results!M7,Results!M7&lt;&gt;Games!$C$42),1,0))</f>
        <v/>
      </c>
      <c r="AU16" s="13" t="str">
        <f>IF(OR(N16="",Results!N7=""),"",IF(AND(N16=Results!N7,Results!N7&lt;&gt;Games!$C$43),1,0))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IF(OR(B17="",Results!B7=""),"",IF(B17=Results!B7,1+IF(OR($O17=1,$P17=1,$Q17=1),1,0),0))</f>
        <v/>
      </c>
      <c r="T17" s="4" t="str">
        <f>IF(OR(C17="",Results!C7=""),"",IF(C17=Results!C7,1+IF(OR($O17=2,$P17=2,$Q17=2),1,0),0))</f>
        <v/>
      </c>
      <c r="U17" s="4" t="str">
        <f>IF(OR(D17="",Results!D7=""),"",IF(D17=Results!D7,1+IF(OR($O17=3,$P17=3,$Q17=3),1,0),0))</f>
        <v/>
      </c>
      <c r="V17" s="4" t="str">
        <f>IF(OR(E17="",Results!E7=""),"",IF(E17=Results!E7,1+IF(OR($O17=4,$P17=4,$Q17=4),1,0),0))</f>
        <v/>
      </c>
      <c r="W17" s="4" t="str">
        <f>IF(OR(F17="",Results!F7=""),"",IF(F17=Results!F7,1+IF(OR($O17=5,$P17=5,$Q17=5),1,0),0))</f>
        <v/>
      </c>
      <c r="X17" s="4" t="str">
        <f>IF(OR(G17="",Results!G7=""),"",IF(G17=Results!G7,1+IF(OR($O17=6,$P17=6,$Q17=6),1,0),0))</f>
        <v/>
      </c>
      <c r="Y17" s="4" t="str">
        <f>IF(OR(H17="",Results!H7=""),"",IF(H17=Results!H7,1+IF(OR($O17=7,$P17=7,$Q17=7),1,0),0))</f>
        <v/>
      </c>
      <c r="Z17" s="4" t="str">
        <f>IF(OR(I17="",Results!I7=""),"",IF(I17=Results!I7,1+IF(OR($O17=8,$P17=8,$Q17=8),1,0),0))</f>
        <v/>
      </c>
      <c r="AA17" s="4" t="str">
        <f>IF(OR(J17="",Results!J7=""),"",IF(J17=Results!J7,1+IF(OR($O17=9,$P17=9,$Q17=9),1,0),0))</f>
        <v/>
      </c>
      <c r="AB17" s="4" t="str">
        <f>IF(OR(K17="",Results!K7=""),"",IF(K17=Results!K7,1+IF(OR($O17=10,$P17=10,$Q17=10),1,0),0))</f>
        <v/>
      </c>
      <c r="AC17" s="4" t="str">
        <f>IF(OR(L17="",Results!L7=""),"",IF(L17=Results!L7,1+IF(OR($O17=11,$P17=11,$Q17=11),1,0),0))</f>
        <v/>
      </c>
      <c r="AD17" s="4" t="str">
        <f>IF(OR(M17="",Results!M7=""),"",IF(M17=Results!M7,1+IF(OR($O17=12,$P17=12,$Q17=12),1,0),0))</f>
        <v/>
      </c>
      <c r="AE17" s="4" t="str">
        <f>IF(OR(N17="",Results!N7=""),"",IF(N17=Results!N7,1+IF(OR($O17=13,$P17=13,$Q17=13),1,0),0))</f>
        <v/>
      </c>
      <c r="AF17" s="11">
        <f t="shared" si="0"/>
        <v>0</v>
      </c>
      <c r="AG17" s="4" t="str">
        <f>IF(OR($R17="",Results!O7=""),"",ABS($R17-Results!O7))</f>
        <v/>
      </c>
      <c r="AH17" s="12">
        <v>7</v>
      </c>
      <c r="AI17" s="13" t="str">
        <f>IF(OR(B17="",Results!B7=""),"",IF(AND(B17=Results!B7,Results!B7&lt;&gt;Games!$C$31),1,0))</f>
        <v/>
      </c>
      <c r="AJ17" s="13" t="str">
        <f>IF(OR(C17="",Results!C7=""),"",IF(AND(C17=Results!C7,Results!C7&lt;&gt;Games!$C$32),1,0))</f>
        <v/>
      </c>
      <c r="AK17" s="13" t="str">
        <f>IF(OR(D17="",Results!D7=""),"",IF(AND(D17=Results!D7,Results!D7&lt;&gt;Games!$C$33),1,0))</f>
        <v/>
      </c>
      <c r="AL17" s="13" t="str">
        <f>IF(OR(E17="",Results!E7=""),"",IF(AND(E17=Results!E7,Results!E7&lt;&gt;Games!$C$34),1,0))</f>
        <v/>
      </c>
      <c r="AM17" s="13" t="str">
        <f>IF(OR(F17="",Results!F7=""),"",IF(AND(F17=Results!F7,Results!F7&lt;&gt;Games!$C$35),1,0))</f>
        <v/>
      </c>
      <c r="AN17" s="13" t="str">
        <f>IF(OR(G17="",Results!G7=""),"",IF(AND(G17=Results!G7,Results!G7&lt;&gt;Games!$C$36),1,0))</f>
        <v/>
      </c>
      <c r="AO17" s="13" t="str">
        <f>IF(OR(H17="",Results!H7=""),"",IF(AND(H17=Results!H7,Results!H7&lt;&gt;Games!$C$37),1,0))</f>
        <v/>
      </c>
      <c r="AP17" s="13" t="str">
        <f>IF(OR(I17="",Results!I7=""),"",IF(AND(I17=Results!I7,Results!I7&lt;&gt;Games!$C$38),1,0))</f>
        <v/>
      </c>
      <c r="AQ17" s="13" t="str">
        <f>IF(OR(J17="",Results!J7=""),"",IF(AND(J17=Results!J7,Results!J7&lt;&gt;Games!$C$39),1,0))</f>
        <v/>
      </c>
      <c r="AR17" s="13" t="str">
        <f>IF(OR(K17="",Results!K7=""),"",IF(AND(K17=Results!K7,Results!K7&lt;&gt;Games!$C$40),1,0))</f>
        <v/>
      </c>
      <c r="AS17" s="13" t="str">
        <f>IF(OR(L17="",Results!L7=""),"",IF(AND(L17=Results!L7,Results!L7&lt;&gt;Games!$C$41),1,0))</f>
        <v/>
      </c>
      <c r="AT17" s="13" t="str">
        <f>IF(OR(M17="",Results!M7=""),"",IF(AND(M17=Results!M7,Results!M7&lt;&gt;Games!$C$42),1,0))</f>
        <v/>
      </c>
      <c r="AU17" s="13" t="str">
        <f>IF(OR(N17="",Results!N7=""),"",IF(AND(N17=Results!N7,Results!N7&lt;&gt;Games!$C$43),1,0))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IF(OR(B18="",Results!B7=""),"",IF(B18=Results!B7,1+IF(OR($O18=1,$P18=1,$Q18=1),1,0),0))</f>
        <v/>
      </c>
      <c r="T18" s="4" t="str">
        <f>IF(OR(C18="",Results!C7=""),"",IF(C18=Results!C7,1+IF(OR($O18=2,$P18=2,$Q18=2),1,0),0))</f>
        <v/>
      </c>
      <c r="U18" s="4" t="str">
        <f>IF(OR(D18="",Results!D7=""),"",IF(D18=Results!D7,1+IF(OR($O18=3,$P18=3,$Q18=3),1,0),0))</f>
        <v/>
      </c>
      <c r="V18" s="4" t="str">
        <f>IF(OR(E18="",Results!E7=""),"",IF(E18=Results!E7,1+IF(OR($O18=4,$P18=4,$Q18=4),1,0),0))</f>
        <v/>
      </c>
      <c r="W18" s="4" t="str">
        <f>IF(OR(F18="",Results!F7=""),"",IF(F18=Results!F7,1+IF(OR($O18=5,$P18=5,$Q18=5),1,0),0))</f>
        <v/>
      </c>
      <c r="X18" s="4" t="str">
        <f>IF(OR(G18="",Results!G7=""),"",IF(G18=Results!G7,1+IF(OR($O18=6,$P18=6,$Q18=6),1,0),0))</f>
        <v/>
      </c>
      <c r="Y18" s="4" t="str">
        <f>IF(OR(H18="",Results!H7=""),"",IF(H18=Results!H7,1+IF(OR($O18=7,$P18=7,$Q18=7),1,0),0))</f>
        <v/>
      </c>
      <c r="Z18" s="4" t="str">
        <f>IF(OR(I18="",Results!I7=""),"",IF(I18=Results!I7,1+IF(OR($O18=8,$P18=8,$Q18=8),1,0),0))</f>
        <v/>
      </c>
      <c r="AA18" s="4" t="str">
        <f>IF(OR(J18="",Results!J7=""),"",IF(J18=Results!J7,1+IF(OR($O18=9,$P18=9,$Q18=9),1,0),0))</f>
        <v/>
      </c>
      <c r="AB18" s="4" t="str">
        <f>IF(OR(K18="",Results!K7=""),"",IF(K18=Results!K7,1+IF(OR($O18=10,$P18=10,$Q18=10),1,0),0))</f>
        <v/>
      </c>
      <c r="AC18" s="4" t="str">
        <f>IF(OR(L18="",Results!L7=""),"",IF(L18=Results!L7,1+IF(OR($O18=11,$P18=11,$Q18=11),1,0),0))</f>
        <v/>
      </c>
      <c r="AD18" s="4" t="str">
        <f>IF(OR(M18="",Results!M7=""),"",IF(M18=Results!M7,1+IF(OR($O18=12,$P18=12,$Q18=12),1,0),0))</f>
        <v/>
      </c>
      <c r="AE18" s="4" t="str">
        <f>IF(OR(N18="",Results!N7=""),"",IF(N18=Results!N7,1+IF(OR($O18=13,$P18=13,$Q18=13),1,0),0))</f>
        <v/>
      </c>
      <c r="AF18" s="11">
        <f t="shared" si="0"/>
        <v>0</v>
      </c>
      <c r="AG18" s="4" t="str">
        <f>IF(OR($R18="",Results!O7=""),"",ABS($R18-Results!O7))</f>
        <v/>
      </c>
      <c r="AH18" s="12">
        <v>37</v>
      </c>
      <c r="AI18" s="13" t="str">
        <f>IF(OR(B18="",Results!B7=""),"",IF(AND(B18=Results!B7,Results!B7&lt;&gt;Games!$C$31),1,0))</f>
        <v/>
      </c>
      <c r="AJ18" s="13" t="str">
        <f>IF(OR(C18="",Results!C7=""),"",IF(AND(C18=Results!C7,Results!C7&lt;&gt;Games!$C$32),1,0))</f>
        <v/>
      </c>
      <c r="AK18" s="13" t="str">
        <f>IF(OR(D18="",Results!D7=""),"",IF(AND(D18=Results!D7,Results!D7&lt;&gt;Games!$C$33),1,0))</f>
        <v/>
      </c>
      <c r="AL18" s="13" t="str">
        <f>IF(OR(E18="",Results!E7=""),"",IF(AND(E18=Results!E7,Results!E7&lt;&gt;Games!$C$34),1,0))</f>
        <v/>
      </c>
      <c r="AM18" s="13" t="str">
        <f>IF(OR(F18="",Results!F7=""),"",IF(AND(F18=Results!F7,Results!F7&lt;&gt;Games!$C$35),1,0))</f>
        <v/>
      </c>
      <c r="AN18" s="13" t="str">
        <f>IF(OR(G18="",Results!G7=""),"",IF(AND(G18=Results!G7,Results!G7&lt;&gt;Games!$C$36),1,0))</f>
        <v/>
      </c>
      <c r="AO18" s="13" t="str">
        <f>IF(OR(H18="",Results!H7=""),"",IF(AND(H18=Results!H7,Results!H7&lt;&gt;Games!$C$37),1,0))</f>
        <v/>
      </c>
      <c r="AP18" s="13" t="str">
        <f>IF(OR(I18="",Results!I7=""),"",IF(AND(I18=Results!I7,Results!I7&lt;&gt;Games!$C$38),1,0))</f>
        <v/>
      </c>
      <c r="AQ18" s="13" t="str">
        <f>IF(OR(J18="",Results!J7=""),"",IF(AND(J18=Results!J7,Results!J7&lt;&gt;Games!$C$39),1,0))</f>
        <v/>
      </c>
      <c r="AR18" s="13" t="str">
        <f>IF(OR(K18="",Results!K7=""),"",IF(AND(K18=Results!K7,Results!K7&lt;&gt;Games!$C$40),1,0))</f>
        <v/>
      </c>
      <c r="AS18" s="13" t="str">
        <f>IF(OR(L18="",Results!L7=""),"",IF(AND(L18=Results!L7,Results!L7&lt;&gt;Games!$C$41),1,0))</f>
        <v/>
      </c>
      <c r="AT18" s="13" t="str">
        <f>IF(OR(M18="",Results!M7=""),"",IF(AND(M18=Results!M7,Results!M7&lt;&gt;Games!$C$42),1,0))</f>
        <v/>
      </c>
      <c r="AU18" s="13" t="str">
        <f>IF(OR(N18="",Results!N7=""),"",IF(AND(N18=Results!N7,Results!N7&lt;&gt;Games!$C$43),1,0))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IF(OR(B19="",Results!B7=""),"",IF(B19=Results!B7,1+IF(OR($O19=1,$P19=1,$Q19=1),1,0),0))</f>
        <v/>
      </c>
      <c r="T19" s="4" t="str">
        <f>IF(OR(C19="",Results!C7=""),"",IF(C19=Results!C7,1+IF(OR($O19=2,$P19=2,$Q19=2),1,0),0))</f>
        <v/>
      </c>
      <c r="U19" s="4" t="str">
        <f>IF(OR(D19="",Results!D7=""),"",IF(D19=Results!D7,1+IF(OR($O19=3,$P19=3,$Q19=3),1,0),0))</f>
        <v/>
      </c>
      <c r="V19" s="4" t="str">
        <f>IF(OR(E19="",Results!E7=""),"",IF(E19=Results!E7,1+IF(OR($O19=4,$P19=4,$Q19=4),1,0),0))</f>
        <v/>
      </c>
      <c r="W19" s="4" t="str">
        <f>IF(OR(F19="",Results!F7=""),"",IF(F19=Results!F7,1+IF(OR($O19=5,$P19=5,$Q19=5),1,0),0))</f>
        <v/>
      </c>
      <c r="X19" s="4" t="str">
        <f>IF(OR(G19="",Results!G7=""),"",IF(G19=Results!G7,1+IF(OR($O19=6,$P19=6,$Q19=6),1,0),0))</f>
        <v/>
      </c>
      <c r="Y19" s="4" t="str">
        <f>IF(OR(H19="",Results!H7=""),"",IF(H19=Results!H7,1+IF(OR($O19=7,$P19=7,$Q19=7),1,0),0))</f>
        <v/>
      </c>
      <c r="Z19" s="4" t="str">
        <f>IF(OR(I19="",Results!I7=""),"",IF(I19=Results!I7,1+IF(OR($O19=8,$P19=8,$Q19=8),1,0),0))</f>
        <v/>
      </c>
      <c r="AA19" s="4" t="str">
        <f>IF(OR(J19="",Results!J7=""),"",IF(J19=Results!J7,1+IF(OR($O19=9,$P19=9,$Q19=9),1,0),0))</f>
        <v/>
      </c>
      <c r="AB19" s="4" t="str">
        <f>IF(OR(K19="",Results!K7=""),"",IF(K19=Results!K7,1+IF(OR($O19=10,$P19=10,$Q19=10),1,0),0))</f>
        <v/>
      </c>
      <c r="AC19" s="4" t="str">
        <f>IF(OR(L19="",Results!L7=""),"",IF(L19=Results!L7,1+IF(OR($O19=11,$P19=11,$Q19=11),1,0),0))</f>
        <v/>
      </c>
      <c r="AD19" s="4" t="str">
        <f>IF(OR(M19="",Results!M7=""),"",IF(M19=Results!M7,1+IF(OR($O19=12,$P19=12,$Q19=12),1,0),0))</f>
        <v/>
      </c>
      <c r="AE19" s="4" t="str">
        <f>IF(OR(N19="",Results!N7=""),"",IF(N19=Results!N7,1+IF(OR($O19=13,$P19=13,$Q19=13),1,0),0))</f>
        <v/>
      </c>
      <c r="AF19" s="11">
        <f t="shared" si="0"/>
        <v>0</v>
      </c>
      <c r="AG19" s="4" t="str">
        <f>IF(OR($R19="",Results!O7=""),"",ABS($R19-Results!O7))</f>
        <v/>
      </c>
      <c r="AH19" s="12">
        <v>26</v>
      </c>
      <c r="AI19" s="13" t="str">
        <f>IF(OR(B19="",Results!B7=""),"",IF(AND(B19=Results!B7,Results!B7&lt;&gt;Games!$C$31),1,0))</f>
        <v/>
      </c>
      <c r="AJ19" s="13" t="str">
        <f>IF(OR(C19="",Results!C7=""),"",IF(AND(C19=Results!C7,Results!C7&lt;&gt;Games!$C$32),1,0))</f>
        <v/>
      </c>
      <c r="AK19" s="13" t="str">
        <f>IF(OR(D19="",Results!D7=""),"",IF(AND(D19=Results!D7,Results!D7&lt;&gt;Games!$C$33),1,0))</f>
        <v/>
      </c>
      <c r="AL19" s="13" t="str">
        <f>IF(OR(E19="",Results!E7=""),"",IF(AND(E19=Results!E7,Results!E7&lt;&gt;Games!$C$34),1,0))</f>
        <v/>
      </c>
      <c r="AM19" s="13" t="str">
        <f>IF(OR(F19="",Results!F7=""),"",IF(AND(F19=Results!F7,Results!F7&lt;&gt;Games!$C$35),1,0))</f>
        <v/>
      </c>
      <c r="AN19" s="13" t="str">
        <f>IF(OR(G19="",Results!G7=""),"",IF(AND(G19=Results!G7,Results!G7&lt;&gt;Games!$C$36),1,0))</f>
        <v/>
      </c>
      <c r="AO19" s="13" t="str">
        <f>IF(OR(H19="",Results!H7=""),"",IF(AND(H19=Results!H7,Results!H7&lt;&gt;Games!$C$37),1,0))</f>
        <v/>
      </c>
      <c r="AP19" s="13" t="str">
        <f>IF(OR(I19="",Results!I7=""),"",IF(AND(I19=Results!I7,Results!I7&lt;&gt;Games!$C$38),1,0))</f>
        <v/>
      </c>
      <c r="AQ19" s="13" t="str">
        <f>IF(OR(J19="",Results!J7=""),"",IF(AND(J19=Results!J7,Results!J7&lt;&gt;Games!$C$39),1,0))</f>
        <v/>
      </c>
      <c r="AR19" s="13" t="str">
        <f>IF(OR(K19="",Results!K7=""),"",IF(AND(K19=Results!K7,Results!K7&lt;&gt;Games!$C$40),1,0))</f>
        <v/>
      </c>
      <c r="AS19" s="13" t="str">
        <f>IF(OR(L19="",Results!L7=""),"",IF(AND(L19=Results!L7,Results!L7&lt;&gt;Games!$C$41),1,0))</f>
        <v/>
      </c>
      <c r="AT19" s="13" t="str">
        <f>IF(OR(M19="",Results!M7=""),"",IF(AND(M19=Results!M7,Results!M7&lt;&gt;Games!$C$42),1,0))</f>
        <v/>
      </c>
      <c r="AU19" s="13" t="str">
        <f>IF(OR(N19="",Results!N7=""),"",IF(AND(N19=Results!N7,Results!N7&lt;&gt;Games!$C$43),1,0))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 t="s">
        <v>255</v>
      </c>
      <c r="C20" s="5" t="s">
        <v>211</v>
      </c>
      <c r="D20" s="5" t="s">
        <v>258</v>
      </c>
      <c r="E20" s="5" t="s">
        <v>260</v>
      </c>
      <c r="F20" s="5" t="s">
        <v>263</v>
      </c>
      <c r="G20" s="5" t="s">
        <v>224</v>
      </c>
      <c r="H20" s="5" t="s">
        <v>239</v>
      </c>
      <c r="I20" s="5" t="s">
        <v>184</v>
      </c>
      <c r="J20" s="5" t="s">
        <v>269</v>
      </c>
      <c r="K20" s="5" t="s">
        <v>210</v>
      </c>
      <c r="L20" s="5" t="s">
        <v>271</v>
      </c>
      <c r="M20" s="5" t="s">
        <v>273</v>
      </c>
      <c r="N20" s="5" t="s">
        <v>276</v>
      </c>
      <c r="O20" s="5">
        <v>1</v>
      </c>
      <c r="P20" s="5">
        <v>3</v>
      </c>
      <c r="Q20" s="5">
        <v>12</v>
      </c>
      <c r="R20" s="5">
        <v>53</v>
      </c>
      <c r="S20" s="4" t="str">
        <f>IF(OR(B20="",Results!B7=""),"",IF(B20=Results!B7,1+IF(OR($O20=1,$P20=1,$Q20=1),1,0),0))</f>
        <v/>
      </c>
      <c r="T20" s="4" t="str">
        <f>IF(OR(C20="",Results!C7=""),"",IF(C20=Results!C7,1+IF(OR($O20=2,$P20=2,$Q20=2),1,0),0))</f>
        <v/>
      </c>
      <c r="U20" s="4" t="str">
        <f>IF(OR(D20="",Results!D7=""),"",IF(D20=Results!D7,1+IF(OR($O20=3,$P20=3,$Q20=3),1,0),0))</f>
        <v/>
      </c>
      <c r="V20" s="4" t="str">
        <f>IF(OR(E20="",Results!E7=""),"",IF(E20=Results!E7,1+IF(OR($O20=4,$P20=4,$Q20=4),1,0),0))</f>
        <v/>
      </c>
      <c r="W20" s="4" t="str">
        <f>IF(OR(F20="",Results!F7=""),"",IF(F20=Results!F7,1+IF(OR($O20=5,$P20=5,$Q20=5),1,0),0))</f>
        <v/>
      </c>
      <c r="X20" s="4" t="str">
        <f>IF(OR(G20="",Results!G7=""),"",IF(G20=Results!G7,1+IF(OR($O20=6,$P20=6,$Q20=6),1,0),0))</f>
        <v/>
      </c>
      <c r="Y20" s="4" t="str">
        <f>IF(OR(H20="",Results!H7=""),"",IF(H20=Results!H7,1+IF(OR($O20=7,$P20=7,$Q20=7),1,0),0))</f>
        <v/>
      </c>
      <c r="Z20" s="4" t="str">
        <f>IF(OR(I20="",Results!I7=""),"",IF(I20=Results!I7,1+IF(OR($O20=8,$P20=8,$Q20=8),1,0),0))</f>
        <v/>
      </c>
      <c r="AA20" s="4" t="str">
        <f>IF(OR(J20="",Results!J7=""),"",IF(J20=Results!J7,1+IF(OR($O20=9,$P20=9,$Q20=9),1,0),0))</f>
        <v/>
      </c>
      <c r="AB20" s="4" t="str">
        <f>IF(OR(K20="",Results!K7=""),"",IF(K20=Results!K7,1+IF(OR($O20=10,$P20=10,$Q20=10),1,0),0))</f>
        <v/>
      </c>
      <c r="AC20" s="4" t="str">
        <f>IF(OR(L20="",Results!L7=""),"",IF(L20=Results!L7,1+IF(OR($O20=11,$P20=11,$Q20=11),1,0),0))</f>
        <v/>
      </c>
      <c r="AD20" s="4" t="str">
        <f>IF(OR(M20="",Results!M7=""),"",IF(M20=Results!M7,1+IF(OR($O20=12,$P20=12,$Q20=12),1,0),0))</f>
        <v/>
      </c>
      <c r="AE20" s="4" t="str">
        <f>IF(OR(N20="",Results!N7=""),"",IF(N20=Results!N7,1+IF(OR($O20=13,$P20=13,$Q20=13),1,0),0))</f>
        <v/>
      </c>
      <c r="AF20" s="11">
        <f t="shared" si="0"/>
        <v>0</v>
      </c>
      <c r="AG20" s="4" t="str">
        <f>IF(OR($R20="",Results!O7=""),"",ABS($R20-Results!O7))</f>
        <v/>
      </c>
      <c r="AH20" s="12">
        <v>52</v>
      </c>
      <c r="AI20" s="13" t="str">
        <f>IF(OR(B20="",Results!B7=""),"",IF(AND(B20=Results!B7,Results!B7&lt;&gt;Games!$C$31),1,0))</f>
        <v/>
      </c>
      <c r="AJ20" s="13" t="str">
        <f>IF(OR(C20="",Results!C7=""),"",IF(AND(C20=Results!C7,Results!C7&lt;&gt;Games!$C$32),1,0))</f>
        <v/>
      </c>
      <c r="AK20" s="13" t="str">
        <f>IF(OR(D20="",Results!D7=""),"",IF(AND(D20=Results!D7,Results!D7&lt;&gt;Games!$C$33),1,0))</f>
        <v/>
      </c>
      <c r="AL20" s="13" t="str">
        <f>IF(OR(E20="",Results!E7=""),"",IF(AND(E20=Results!E7,Results!E7&lt;&gt;Games!$C$34),1,0))</f>
        <v/>
      </c>
      <c r="AM20" s="13" t="str">
        <f>IF(OR(F20="",Results!F7=""),"",IF(AND(F20=Results!F7,Results!F7&lt;&gt;Games!$C$35),1,0))</f>
        <v/>
      </c>
      <c r="AN20" s="13" t="str">
        <f>IF(OR(G20="",Results!G7=""),"",IF(AND(G20=Results!G7,Results!G7&lt;&gt;Games!$C$36),1,0))</f>
        <v/>
      </c>
      <c r="AO20" s="13" t="str">
        <f>IF(OR(H20="",Results!H7=""),"",IF(AND(H20=Results!H7,Results!H7&lt;&gt;Games!$C$37),1,0))</f>
        <v/>
      </c>
      <c r="AP20" s="13" t="str">
        <f>IF(OR(I20="",Results!I7=""),"",IF(AND(I20=Results!I7,Results!I7&lt;&gt;Games!$C$38),1,0))</f>
        <v/>
      </c>
      <c r="AQ20" s="13" t="str">
        <f>IF(OR(J20="",Results!J7=""),"",IF(AND(J20=Results!J7,Results!J7&lt;&gt;Games!$C$39),1,0))</f>
        <v/>
      </c>
      <c r="AR20" s="13" t="str">
        <f>IF(OR(K20="",Results!K7=""),"",IF(AND(K20=Results!K7,Results!K7&lt;&gt;Games!$C$40),1,0))</f>
        <v/>
      </c>
      <c r="AS20" s="13" t="str">
        <f>IF(OR(L20="",Results!L7=""),"",IF(AND(L20=Results!L7,Results!L7&lt;&gt;Games!$C$41),1,0))</f>
        <v/>
      </c>
      <c r="AT20" s="13" t="str">
        <f>IF(OR(M20="",Results!M7=""),"",IF(AND(M20=Results!M7,Results!M7&lt;&gt;Games!$C$42),1,0))</f>
        <v/>
      </c>
      <c r="AU20" s="13" t="str">
        <f>IF(OR(N20="",Results!N7=""),"",IF(AND(N20=Results!N7,Results!N7&lt;&gt;Games!$C$43),1,0))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 t="s">
        <v>255</v>
      </c>
      <c r="C21" s="5" t="s">
        <v>211</v>
      </c>
      <c r="D21" s="5" t="s">
        <v>231</v>
      </c>
      <c r="E21" s="5" t="s">
        <v>261</v>
      </c>
      <c r="F21" s="5" t="s">
        <v>262</v>
      </c>
      <c r="G21" s="5" t="s">
        <v>224</v>
      </c>
      <c r="H21" s="5" t="s">
        <v>266</v>
      </c>
      <c r="I21" s="5" t="s">
        <v>268</v>
      </c>
      <c r="J21" s="5" t="s">
        <v>202</v>
      </c>
      <c r="K21" s="5" t="s">
        <v>223</v>
      </c>
      <c r="L21" s="5" t="s">
        <v>271</v>
      </c>
      <c r="M21" s="5" t="s">
        <v>273</v>
      </c>
      <c r="N21" s="5" t="s">
        <v>191</v>
      </c>
      <c r="O21" s="5">
        <v>1</v>
      </c>
      <c r="P21" s="5">
        <v>4</v>
      </c>
      <c r="Q21" s="5">
        <v>12</v>
      </c>
      <c r="R21" s="5">
        <v>61</v>
      </c>
      <c r="S21" s="4" t="str">
        <f>IF(OR(B21="",Results!B7=""),"",IF(B21=Results!B7,1+IF(OR($O21=1,$P21=1,$Q21=1),1,0),0))</f>
        <v/>
      </c>
      <c r="T21" s="4" t="str">
        <f>IF(OR(C21="",Results!C7=""),"",IF(C21=Results!C7,1+IF(OR($O21=2,$P21=2,$Q21=2),1,0),0))</f>
        <v/>
      </c>
      <c r="U21" s="4" t="str">
        <f>IF(OR(D21="",Results!D7=""),"",IF(D21=Results!D7,1+IF(OR($O21=3,$P21=3,$Q21=3),1,0),0))</f>
        <v/>
      </c>
      <c r="V21" s="4" t="str">
        <f>IF(OR(E21="",Results!E7=""),"",IF(E21=Results!E7,1+IF(OR($O21=4,$P21=4,$Q21=4),1,0),0))</f>
        <v/>
      </c>
      <c r="W21" s="4" t="str">
        <f>IF(OR(F21="",Results!F7=""),"",IF(F21=Results!F7,1+IF(OR($O21=5,$P21=5,$Q21=5),1,0),0))</f>
        <v/>
      </c>
      <c r="X21" s="4" t="str">
        <f>IF(OR(G21="",Results!G7=""),"",IF(G21=Results!G7,1+IF(OR($O21=6,$P21=6,$Q21=6),1,0),0))</f>
        <v/>
      </c>
      <c r="Y21" s="4" t="str">
        <f>IF(OR(H21="",Results!H7=""),"",IF(H21=Results!H7,1+IF(OR($O21=7,$P21=7,$Q21=7),1,0),0))</f>
        <v/>
      </c>
      <c r="Z21" s="4" t="str">
        <f>IF(OR(I21="",Results!I7=""),"",IF(I21=Results!I7,1+IF(OR($O21=8,$P21=8,$Q21=8),1,0),0))</f>
        <v/>
      </c>
      <c r="AA21" s="4" t="str">
        <f>IF(OR(J21="",Results!J7=""),"",IF(J21=Results!J7,1+IF(OR($O21=9,$P21=9,$Q21=9),1,0),0))</f>
        <v/>
      </c>
      <c r="AB21" s="4" t="str">
        <f>IF(OR(K21="",Results!K7=""),"",IF(K21=Results!K7,1+IF(OR($O21=10,$P21=10,$Q21=10),1,0),0))</f>
        <v/>
      </c>
      <c r="AC21" s="4" t="str">
        <f>IF(OR(L21="",Results!L7=""),"",IF(L21=Results!L7,1+IF(OR($O21=11,$P21=11,$Q21=11),1,0),0))</f>
        <v/>
      </c>
      <c r="AD21" s="4" t="str">
        <f>IF(OR(M21="",Results!M7=""),"",IF(M21=Results!M7,1+IF(OR($O21=12,$P21=12,$Q21=12),1,0),0))</f>
        <v/>
      </c>
      <c r="AE21" s="4" t="str">
        <f>IF(OR(N21="",Results!N7=""),"",IF(N21=Results!N7,1+IF(OR($O21=13,$P21=13,$Q21=13),1,0),0))</f>
        <v/>
      </c>
      <c r="AF21" s="11">
        <f t="shared" si="0"/>
        <v>0</v>
      </c>
      <c r="AG21" s="4" t="str">
        <f>IF(OR($R21="",Results!O7=""),"",ABS($R21-Results!O7))</f>
        <v/>
      </c>
      <c r="AH21" s="12">
        <v>9</v>
      </c>
      <c r="AI21" s="13" t="str">
        <f>IF(OR(B21="",Results!B7=""),"",IF(AND(B21=Results!B7,Results!B7&lt;&gt;Games!$C$31),1,0))</f>
        <v/>
      </c>
      <c r="AJ21" s="13" t="str">
        <f>IF(OR(C21="",Results!C7=""),"",IF(AND(C21=Results!C7,Results!C7&lt;&gt;Games!$C$32),1,0))</f>
        <v/>
      </c>
      <c r="AK21" s="13" t="str">
        <f>IF(OR(D21="",Results!D7=""),"",IF(AND(D21=Results!D7,Results!D7&lt;&gt;Games!$C$33),1,0))</f>
        <v/>
      </c>
      <c r="AL21" s="13" t="str">
        <f>IF(OR(E21="",Results!E7=""),"",IF(AND(E21=Results!E7,Results!E7&lt;&gt;Games!$C$34),1,0))</f>
        <v/>
      </c>
      <c r="AM21" s="13" t="str">
        <f>IF(OR(F21="",Results!F7=""),"",IF(AND(F21=Results!F7,Results!F7&lt;&gt;Games!$C$35),1,0))</f>
        <v/>
      </c>
      <c r="AN21" s="13" t="str">
        <f>IF(OR(G21="",Results!G7=""),"",IF(AND(G21=Results!G7,Results!G7&lt;&gt;Games!$C$36),1,0))</f>
        <v/>
      </c>
      <c r="AO21" s="13" t="str">
        <f>IF(OR(H21="",Results!H7=""),"",IF(AND(H21=Results!H7,Results!H7&lt;&gt;Games!$C$37),1,0))</f>
        <v/>
      </c>
      <c r="AP21" s="13" t="str">
        <f>IF(OR(I21="",Results!I7=""),"",IF(AND(I21=Results!I7,Results!I7&lt;&gt;Games!$C$38),1,0))</f>
        <v/>
      </c>
      <c r="AQ21" s="13" t="str">
        <f>IF(OR(J21="",Results!J7=""),"",IF(AND(J21=Results!J7,Results!J7&lt;&gt;Games!$C$39),1,0))</f>
        <v/>
      </c>
      <c r="AR21" s="13" t="str">
        <f>IF(OR(K21="",Results!K7=""),"",IF(AND(K21=Results!K7,Results!K7&lt;&gt;Games!$C$40),1,0))</f>
        <v/>
      </c>
      <c r="AS21" s="13" t="str">
        <f>IF(OR(L21="",Results!L7=""),"",IF(AND(L21=Results!L7,Results!L7&lt;&gt;Games!$C$41),1,0))</f>
        <v/>
      </c>
      <c r="AT21" s="13" t="str">
        <f>IF(OR(M21="",Results!M7=""),"",IF(AND(M21=Results!M7,Results!M7&lt;&gt;Games!$C$42),1,0))</f>
        <v/>
      </c>
      <c r="AU21" s="13" t="str">
        <f>IF(OR(N21="",Results!N7=""),"",IF(AND(N21=Results!N7,Results!N7&lt;&gt;Games!$C$43),1,0))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 t="s">
        <v>255</v>
      </c>
      <c r="C22" s="5" t="s">
        <v>211</v>
      </c>
      <c r="D22" s="5" t="s">
        <v>258</v>
      </c>
      <c r="E22" s="5" t="s">
        <v>260</v>
      </c>
      <c r="F22" s="5" t="s">
        <v>262</v>
      </c>
      <c r="G22" s="5" t="s">
        <v>226</v>
      </c>
      <c r="H22" s="5" t="s">
        <v>266</v>
      </c>
      <c r="I22" s="5" t="s">
        <v>184</v>
      </c>
      <c r="J22" s="5" t="s">
        <v>202</v>
      </c>
      <c r="K22" s="5" t="s">
        <v>210</v>
      </c>
      <c r="L22" s="5" t="s">
        <v>271</v>
      </c>
      <c r="M22" s="5" t="s">
        <v>273</v>
      </c>
      <c r="N22" s="5" t="s">
        <v>191</v>
      </c>
      <c r="O22" s="5">
        <v>3</v>
      </c>
      <c r="P22" s="5">
        <v>10</v>
      </c>
      <c r="Q22" s="5">
        <v>12</v>
      </c>
      <c r="R22" s="5">
        <v>46</v>
      </c>
      <c r="S22" s="4" t="str">
        <f>IF(OR(B22="",Results!B7=""),"",IF(B22=Results!B7,1+IF(OR($O22=1,$P22=1,$Q22=1),1,0),0))</f>
        <v/>
      </c>
      <c r="T22" s="4" t="str">
        <f>IF(OR(C22="",Results!C7=""),"",IF(C22=Results!C7,1+IF(OR($O22=2,$P22=2,$Q22=2),1,0),0))</f>
        <v/>
      </c>
      <c r="U22" s="4" t="str">
        <f>IF(OR(D22="",Results!D7=""),"",IF(D22=Results!D7,1+IF(OR($O22=3,$P22=3,$Q22=3),1,0),0))</f>
        <v/>
      </c>
      <c r="V22" s="4" t="str">
        <f>IF(OR(E22="",Results!E7=""),"",IF(E22=Results!E7,1+IF(OR($O22=4,$P22=4,$Q22=4),1,0),0))</f>
        <v/>
      </c>
      <c r="W22" s="4" t="str">
        <f>IF(OR(F22="",Results!F7=""),"",IF(F22=Results!F7,1+IF(OR($O22=5,$P22=5,$Q22=5),1,0),0))</f>
        <v/>
      </c>
      <c r="X22" s="4" t="str">
        <f>IF(OR(G22="",Results!G7=""),"",IF(G22=Results!G7,1+IF(OR($O22=6,$P22=6,$Q22=6),1,0),0))</f>
        <v/>
      </c>
      <c r="Y22" s="4" t="str">
        <f>IF(OR(H22="",Results!H7=""),"",IF(H22=Results!H7,1+IF(OR($O22=7,$P22=7,$Q22=7),1,0),0))</f>
        <v/>
      </c>
      <c r="Z22" s="4" t="str">
        <f>IF(OR(I22="",Results!I7=""),"",IF(I22=Results!I7,1+IF(OR($O22=8,$P22=8,$Q22=8),1,0),0))</f>
        <v/>
      </c>
      <c r="AA22" s="4" t="str">
        <f>IF(OR(J22="",Results!J7=""),"",IF(J22=Results!J7,1+IF(OR($O22=9,$P22=9,$Q22=9),1,0),0))</f>
        <v/>
      </c>
      <c r="AB22" s="4" t="str">
        <f>IF(OR(K22="",Results!K7=""),"",IF(K22=Results!K7,1+IF(OR($O22=10,$P22=10,$Q22=10),1,0),0))</f>
        <v/>
      </c>
      <c r="AC22" s="4" t="str">
        <f>IF(OR(L22="",Results!L7=""),"",IF(L22=Results!L7,1+IF(OR($O22=11,$P22=11,$Q22=11),1,0),0))</f>
        <v/>
      </c>
      <c r="AD22" s="4" t="str">
        <f>IF(OR(M22="",Results!M7=""),"",IF(M22=Results!M7,1+IF(OR($O22=12,$P22=12,$Q22=12),1,0),0))</f>
        <v/>
      </c>
      <c r="AE22" s="4" t="str">
        <f>IF(OR(N22="",Results!N7=""),"",IF(N22=Results!N7,1+IF(OR($O22=13,$P22=13,$Q22=13),1,0),0))</f>
        <v/>
      </c>
      <c r="AF22" s="11">
        <f t="shared" si="0"/>
        <v>0</v>
      </c>
      <c r="AG22" s="4" t="str">
        <f>IF(OR($R22="",Results!O7=""),"",ABS($R22-Results!O7))</f>
        <v/>
      </c>
      <c r="AH22" s="12">
        <v>10</v>
      </c>
      <c r="AI22" s="13" t="str">
        <f>IF(OR(B22="",Results!B7=""),"",IF(AND(B22=Results!B7,Results!B7&lt;&gt;Games!$C$31),1,0))</f>
        <v/>
      </c>
      <c r="AJ22" s="13" t="str">
        <f>IF(OR(C22="",Results!C7=""),"",IF(AND(C22=Results!C7,Results!C7&lt;&gt;Games!$C$32),1,0))</f>
        <v/>
      </c>
      <c r="AK22" s="13" t="str">
        <f>IF(OR(D22="",Results!D7=""),"",IF(AND(D22=Results!D7,Results!D7&lt;&gt;Games!$C$33),1,0))</f>
        <v/>
      </c>
      <c r="AL22" s="13" t="str">
        <f>IF(OR(E22="",Results!E7=""),"",IF(AND(E22=Results!E7,Results!E7&lt;&gt;Games!$C$34),1,0))</f>
        <v/>
      </c>
      <c r="AM22" s="13" t="str">
        <f>IF(OR(F22="",Results!F7=""),"",IF(AND(F22=Results!F7,Results!F7&lt;&gt;Games!$C$35),1,0))</f>
        <v/>
      </c>
      <c r="AN22" s="13" t="str">
        <f>IF(OR(G22="",Results!G7=""),"",IF(AND(G22=Results!G7,Results!G7&lt;&gt;Games!$C$36),1,0))</f>
        <v/>
      </c>
      <c r="AO22" s="13" t="str">
        <f>IF(OR(H22="",Results!H7=""),"",IF(AND(H22=Results!H7,Results!H7&lt;&gt;Games!$C$37),1,0))</f>
        <v/>
      </c>
      <c r="AP22" s="13" t="str">
        <f>IF(OR(I22="",Results!I7=""),"",IF(AND(I22=Results!I7,Results!I7&lt;&gt;Games!$C$38),1,0))</f>
        <v/>
      </c>
      <c r="AQ22" s="13" t="str">
        <f>IF(OR(J22="",Results!J7=""),"",IF(AND(J22=Results!J7,Results!J7&lt;&gt;Games!$C$39),1,0))</f>
        <v/>
      </c>
      <c r="AR22" s="13" t="str">
        <f>IF(OR(K22="",Results!K7=""),"",IF(AND(K22=Results!K7,Results!K7&lt;&gt;Games!$C$40),1,0))</f>
        <v/>
      </c>
      <c r="AS22" s="13" t="str">
        <f>IF(OR(L22="",Results!L7=""),"",IF(AND(L22=Results!L7,Results!L7&lt;&gt;Games!$C$41),1,0))</f>
        <v/>
      </c>
      <c r="AT22" s="13" t="str">
        <f>IF(OR(M22="",Results!M7=""),"",IF(AND(M22=Results!M7,Results!M7&lt;&gt;Games!$C$42),1,0))</f>
        <v/>
      </c>
      <c r="AU22" s="13" t="str">
        <f>IF(OR(N22="",Results!N7=""),"",IF(AND(N22=Results!N7,Results!N7&lt;&gt;Games!$C$43),1,0))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 t="s">
        <v>255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</v>
      </c>
      <c r="P23" s="5"/>
      <c r="Q23" s="5"/>
      <c r="R23" s="5"/>
      <c r="S23" s="4" t="str">
        <f>IF(OR(B23="",Results!B7=""),"",IF(B23=Results!B7,1+IF(OR($O23=1,$P23=1,$Q23=1),1,0),0))</f>
        <v/>
      </c>
      <c r="T23" s="4" t="str">
        <f>IF(OR(C23="",Results!C7=""),"",IF(C23=Results!C7,1+IF(OR($O23=2,$P23=2,$Q23=2),1,0),0))</f>
        <v/>
      </c>
      <c r="U23" s="4" t="str">
        <f>IF(OR(D23="",Results!D7=""),"",IF(D23=Results!D7,1+IF(OR($O23=3,$P23=3,$Q23=3),1,0),0))</f>
        <v/>
      </c>
      <c r="V23" s="4" t="str">
        <f>IF(OR(E23="",Results!E7=""),"",IF(E23=Results!E7,1+IF(OR($O23=4,$P23=4,$Q23=4),1,0),0))</f>
        <v/>
      </c>
      <c r="W23" s="4" t="str">
        <f>IF(OR(F23="",Results!F7=""),"",IF(F23=Results!F7,1+IF(OR($O23=5,$P23=5,$Q23=5),1,0),0))</f>
        <v/>
      </c>
      <c r="X23" s="4" t="str">
        <f>IF(OR(G23="",Results!G7=""),"",IF(G23=Results!G7,1+IF(OR($O23=6,$P23=6,$Q23=6),1,0),0))</f>
        <v/>
      </c>
      <c r="Y23" s="4" t="str">
        <f>IF(OR(H23="",Results!H7=""),"",IF(H23=Results!H7,1+IF(OR($O23=7,$P23=7,$Q23=7),1,0),0))</f>
        <v/>
      </c>
      <c r="Z23" s="4" t="str">
        <f>IF(OR(I23="",Results!I7=""),"",IF(I23=Results!I7,1+IF(OR($O23=8,$P23=8,$Q23=8),1,0),0))</f>
        <v/>
      </c>
      <c r="AA23" s="4" t="str">
        <f>IF(OR(J23="",Results!J7=""),"",IF(J23=Results!J7,1+IF(OR($O23=9,$P23=9,$Q23=9),1,0),0))</f>
        <v/>
      </c>
      <c r="AB23" s="4" t="str">
        <f>IF(OR(K23="",Results!K7=""),"",IF(K23=Results!K7,1+IF(OR($O23=10,$P23=10,$Q23=10),1,0),0))</f>
        <v/>
      </c>
      <c r="AC23" s="4" t="str">
        <f>IF(OR(L23="",Results!L7=""),"",IF(L23=Results!L7,1+IF(OR($O23=11,$P23=11,$Q23=11),1,0),0))</f>
        <v/>
      </c>
      <c r="AD23" s="4" t="str">
        <f>IF(OR(M23="",Results!M7=""),"",IF(M23=Results!M7,1+IF(OR($O23=12,$P23=12,$Q23=12),1,0),0))</f>
        <v/>
      </c>
      <c r="AE23" s="4" t="str">
        <f>IF(OR(N23="",Results!N7=""),"",IF(N23=Results!N7,1+IF(OR($O23=13,$P23=13,$Q23=13),1,0),0))</f>
        <v/>
      </c>
      <c r="AF23" s="11">
        <f t="shared" si="0"/>
        <v>0</v>
      </c>
      <c r="AG23" s="4" t="str">
        <f>IF(OR($R23="",Results!O7=""),"",ABS($R23-Results!O7))</f>
        <v/>
      </c>
      <c r="AH23" s="12">
        <v>55</v>
      </c>
      <c r="AI23" s="13" t="str">
        <f>IF(OR(B23="",Results!B7=""),"",IF(AND(B23=Results!B7,Results!B7&lt;&gt;Games!$C$31),1,0))</f>
        <v/>
      </c>
      <c r="AJ23" s="13" t="str">
        <f>IF(OR(C23="",Results!C7=""),"",IF(AND(C23=Results!C7,Results!C7&lt;&gt;Games!$C$32),1,0))</f>
        <v/>
      </c>
      <c r="AK23" s="13" t="str">
        <f>IF(OR(D23="",Results!D7=""),"",IF(AND(D23=Results!D7,Results!D7&lt;&gt;Games!$C$33),1,0))</f>
        <v/>
      </c>
      <c r="AL23" s="13" t="str">
        <f>IF(OR(E23="",Results!E7=""),"",IF(AND(E23=Results!E7,Results!E7&lt;&gt;Games!$C$34),1,0))</f>
        <v/>
      </c>
      <c r="AM23" s="13" t="str">
        <f>IF(OR(F23="",Results!F7=""),"",IF(AND(F23=Results!F7,Results!F7&lt;&gt;Games!$C$35),1,0))</f>
        <v/>
      </c>
      <c r="AN23" s="13" t="str">
        <f>IF(OR(G23="",Results!G7=""),"",IF(AND(G23=Results!G7,Results!G7&lt;&gt;Games!$C$36),1,0))</f>
        <v/>
      </c>
      <c r="AO23" s="13" t="str">
        <f>IF(OR(H23="",Results!H7=""),"",IF(AND(H23=Results!H7,Results!H7&lt;&gt;Games!$C$37),1,0))</f>
        <v/>
      </c>
      <c r="AP23" s="13" t="str">
        <f>IF(OR(I23="",Results!I7=""),"",IF(AND(I23=Results!I7,Results!I7&lt;&gt;Games!$C$38),1,0))</f>
        <v/>
      </c>
      <c r="AQ23" s="13" t="str">
        <f>IF(OR(J23="",Results!J7=""),"",IF(AND(J23=Results!J7,Results!J7&lt;&gt;Games!$C$39),1,0))</f>
        <v/>
      </c>
      <c r="AR23" s="13" t="str">
        <f>IF(OR(K23="",Results!K7=""),"",IF(AND(K23=Results!K7,Results!K7&lt;&gt;Games!$C$40),1,0))</f>
        <v/>
      </c>
      <c r="AS23" s="13" t="str">
        <f>IF(OR(L23="",Results!L7=""),"",IF(AND(L23=Results!L7,Results!L7&lt;&gt;Games!$C$41),1,0))</f>
        <v/>
      </c>
      <c r="AT23" s="13" t="str">
        <f>IF(OR(M23="",Results!M7=""),"",IF(AND(M23=Results!M7,Results!M7&lt;&gt;Games!$C$42),1,0))</f>
        <v/>
      </c>
      <c r="AU23" s="13" t="str">
        <f>IF(OR(N23="",Results!N7=""),"",IF(AND(N23=Results!N7,Results!N7&lt;&gt;Games!$C$43),1,0))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IF(OR(B24="",Results!B7=""),"",IF(B24=Results!B7,1+IF(OR($O24=1,$P24=1,$Q24=1),1,0),0))</f>
        <v/>
      </c>
      <c r="T24" s="4" t="str">
        <f>IF(OR(C24="",Results!C7=""),"",IF(C24=Results!C7,1+IF(OR($O24=2,$P24=2,$Q24=2),1,0),0))</f>
        <v/>
      </c>
      <c r="U24" s="4" t="str">
        <f>IF(OR(D24="",Results!D7=""),"",IF(D24=Results!D7,1+IF(OR($O24=3,$P24=3,$Q24=3),1,0),0))</f>
        <v/>
      </c>
      <c r="V24" s="4" t="str">
        <f>IF(OR(E24="",Results!E7=""),"",IF(E24=Results!E7,1+IF(OR($O24=4,$P24=4,$Q24=4),1,0),0))</f>
        <v/>
      </c>
      <c r="W24" s="4" t="str">
        <f>IF(OR(F24="",Results!F7=""),"",IF(F24=Results!F7,1+IF(OR($O24=5,$P24=5,$Q24=5),1,0),0))</f>
        <v/>
      </c>
      <c r="X24" s="4" t="str">
        <f>IF(OR(G24="",Results!G7=""),"",IF(G24=Results!G7,1+IF(OR($O24=6,$P24=6,$Q24=6),1,0),0))</f>
        <v/>
      </c>
      <c r="Y24" s="4" t="str">
        <f>IF(OR(H24="",Results!H7=""),"",IF(H24=Results!H7,1+IF(OR($O24=7,$P24=7,$Q24=7),1,0),0))</f>
        <v/>
      </c>
      <c r="Z24" s="4" t="str">
        <f>IF(OR(I24="",Results!I7=""),"",IF(I24=Results!I7,1+IF(OR($O24=8,$P24=8,$Q24=8),1,0),0))</f>
        <v/>
      </c>
      <c r="AA24" s="4" t="str">
        <f>IF(OR(J24="",Results!J7=""),"",IF(J24=Results!J7,1+IF(OR($O24=9,$P24=9,$Q24=9),1,0),0))</f>
        <v/>
      </c>
      <c r="AB24" s="4" t="str">
        <f>IF(OR(K24="",Results!K7=""),"",IF(K24=Results!K7,1+IF(OR($O24=10,$P24=10,$Q24=10),1,0),0))</f>
        <v/>
      </c>
      <c r="AC24" s="4" t="str">
        <f>IF(OR(L24="",Results!L7=""),"",IF(L24=Results!L7,1+IF(OR($O24=11,$P24=11,$Q24=11),1,0),0))</f>
        <v/>
      </c>
      <c r="AD24" s="4" t="str">
        <f>IF(OR(M24="",Results!M7=""),"",IF(M24=Results!M7,1+IF(OR($O24=12,$P24=12,$Q24=12),1,0),0))</f>
        <v/>
      </c>
      <c r="AE24" s="4" t="str">
        <f>IF(OR(N24="",Results!N7=""),"",IF(N24=Results!N7,1+IF(OR($O24=13,$P24=13,$Q24=13),1,0),0))</f>
        <v/>
      </c>
      <c r="AF24" s="11">
        <f t="shared" si="0"/>
        <v>0</v>
      </c>
      <c r="AG24" s="4" t="str">
        <f>IF(OR($R24="",Results!O7=""),"",ABS($R24-Results!O7))</f>
        <v/>
      </c>
      <c r="AH24" s="12">
        <v>47</v>
      </c>
      <c r="AI24" s="13" t="str">
        <f>IF(OR(B24="",Results!B7=""),"",IF(AND(B24=Results!B7,Results!B7&lt;&gt;Games!$C$31),1,0))</f>
        <v/>
      </c>
      <c r="AJ24" s="13" t="str">
        <f>IF(OR(C24="",Results!C7=""),"",IF(AND(C24=Results!C7,Results!C7&lt;&gt;Games!$C$32),1,0))</f>
        <v/>
      </c>
      <c r="AK24" s="13" t="str">
        <f>IF(OR(D24="",Results!D7=""),"",IF(AND(D24=Results!D7,Results!D7&lt;&gt;Games!$C$33),1,0))</f>
        <v/>
      </c>
      <c r="AL24" s="13" t="str">
        <f>IF(OR(E24="",Results!E7=""),"",IF(AND(E24=Results!E7,Results!E7&lt;&gt;Games!$C$34),1,0))</f>
        <v/>
      </c>
      <c r="AM24" s="13" t="str">
        <f>IF(OR(F24="",Results!F7=""),"",IF(AND(F24=Results!F7,Results!F7&lt;&gt;Games!$C$35),1,0))</f>
        <v/>
      </c>
      <c r="AN24" s="13" t="str">
        <f>IF(OR(G24="",Results!G7=""),"",IF(AND(G24=Results!G7,Results!G7&lt;&gt;Games!$C$36),1,0))</f>
        <v/>
      </c>
      <c r="AO24" s="13" t="str">
        <f>IF(OR(H24="",Results!H7=""),"",IF(AND(H24=Results!H7,Results!H7&lt;&gt;Games!$C$37),1,0))</f>
        <v/>
      </c>
      <c r="AP24" s="13" t="str">
        <f>IF(OR(I24="",Results!I7=""),"",IF(AND(I24=Results!I7,Results!I7&lt;&gt;Games!$C$38),1,0))</f>
        <v/>
      </c>
      <c r="AQ24" s="13" t="str">
        <f>IF(OR(J24="",Results!J7=""),"",IF(AND(J24=Results!J7,Results!J7&lt;&gt;Games!$C$39),1,0))</f>
        <v/>
      </c>
      <c r="AR24" s="13" t="str">
        <f>IF(OR(K24="",Results!K7=""),"",IF(AND(K24=Results!K7,Results!K7&lt;&gt;Games!$C$40),1,0))</f>
        <v/>
      </c>
      <c r="AS24" s="13" t="str">
        <f>IF(OR(L24="",Results!L7=""),"",IF(AND(L24=Results!L7,Results!L7&lt;&gt;Games!$C$41),1,0))</f>
        <v/>
      </c>
      <c r="AT24" s="13" t="str">
        <f>IF(OR(M24="",Results!M7=""),"",IF(AND(M24=Results!M7,Results!M7&lt;&gt;Games!$C$42),1,0))</f>
        <v/>
      </c>
      <c r="AU24" s="13" t="str">
        <f>IF(OR(N24="",Results!N7=""),"",IF(AND(N24=Results!N7,Results!N7&lt;&gt;Games!$C$43),1,0))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 t="s">
        <v>255</v>
      </c>
      <c r="C25" s="5" t="s">
        <v>257</v>
      </c>
      <c r="D25" s="5" t="s">
        <v>258</v>
      </c>
      <c r="E25" s="5" t="s">
        <v>261</v>
      </c>
      <c r="F25" s="5" t="s">
        <v>263</v>
      </c>
      <c r="G25" s="5" t="s">
        <v>224</v>
      </c>
      <c r="H25" s="5" t="s">
        <v>239</v>
      </c>
      <c r="I25" s="5" t="s">
        <v>268</v>
      </c>
      <c r="J25" s="5" t="s">
        <v>269</v>
      </c>
      <c r="K25" s="5" t="s">
        <v>223</v>
      </c>
      <c r="L25" s="5" t="s">
        <v>272</v>
      </c>
      <c r="M25" s="5" t="s">
        <v>273</v>
      </c>
      <c r="N25" s="5" t="s">
        <v>191</v>
      </c>
      <c r="O25" s="5">
        <v>3</v>
      </c>
      <c r="P25" s="5">
        <v>10</v>
      </c>
      <c r="Q25" s="5">
        <v>12</v>
      </c>
      <c r="R25" s="5">
        <v>54</v>
      </c>
      <c r="S25" s="4" t="str">
        <f>IF(OR(B25="",Results!B7=""),"",IF(B25=Results!B7,1+IF(OR($O25=1,$P25=1,$Q25=1),1,0),0))</f>
        <v/>
      </c>
      <c r="T25" s="4" t="str">
        <f>IF(OR(C25="",Results!C7=""),"",IF(C25=Results!C7,1+IF(OR($O25=2,$P25=2,$Q25=2),1,0),0))</f>
        <v/>
      </c>
      <c r="U25" s="4" t="str">
        <f>IF(OR(D25="",Results!D7=""),"",IF(D25=Results!D7,1+IF(OR($O25=3,$P25=3,$Q25=3),1,0),0))</f>
        <v/>
      </c>
      <c r="V25" s="4" t="str">
        <f>IF(OR(E25="",Results!E7=""),"",IF(E25=Results!E7,1+IF(OR($O25=4,$P25=4,$Q25=4),1,0),0))</f>
        <v/>
      </c>
      <c r="W25" s="4" t="str">
        <f>IF(OR(F25="",Results!F7=""),"",IF(F25=Results!F7,1+IF(OR($O25=5,$P25=5,$Q25=5),1,0),0))</f>
        <v/>
      </c>
      <c r="X25" s="4" t="str">
        <f>IF(OR(G25="",Results!G7=""),"",IF(G25=Results!G7,1+IF(OR($O25=6,$P25=6,$Q25=6),1,0),0))</f>
        <v/>
      </c>
      <c r="Y25" s="4" t="str">
        <f>IF(OR(H25="",Results!H7=""),"",IF(H25=Results!H7,1+IF(OR($O25=7,$P25=7,$Q25=7),1,0),0))</f>
        <v/>
      </c>
      <c r="Z25" s="4" t="str">
        <f>IF(OR(I25="",Results!I7=""),"",IF(I25=Results!I7,1+IF(OR($O25=8,$P25=8,$Q25=8),1,0),0))</f>
        <v/>
      </c>
      <c r="AA25" s="4" t="str">
        <f>IF(OR(J25="",Results!J7=""),"",IF(J25=Results!J7,1+IF(OR($O25=9,$P25=9,$Q25=9),1,0),0))</f>
        <v/>
      </c>
      <c r="AB25" s="4" t="str">
        <f>IF(OR(K25="",Results!K7=""),"",IF(K25=Results!K7,1+IF(OR($O25=10,$P25=10,$Q25=10),1,0),0))</f>
        <v/>
      </c>
      <c r="AC25" s="4" t="str">
        <f>IF(OR(L25="",Results!L7=""),"",IF(L25=Results!L7,1+IF(OR($O25=11,$P25=11,$Q25=11),1,0),0))</f>
        <v/>
      </c>
      <c r="AD25" s="4" t="str">
        <f>IF(OR(M25="",Results!M7=""),"",IF(M25=Results!M7,1+IF(OR($O25=12,$P25=12,$Q25=12),1,0),0))</f>
        <v/>
      </c>
      <c r="AE25" s="4" t="str">
        <f>IF(OR(N25="",Results!N7=""),"",IF(N25=Results!N7,1+IF(OR($O25=13,$P25=13,$Q25=13),1,0),0))</f>
        <v/>
      </c>
      <c r="AF25" s="11">
        <f t="shared" si="0"/>
        <v>0</v>
      </c>
      <c r="AG25" s="4" t="str">
        <f>IF(OR($R25="",Results!O7=""),"",ABS($R25-Results!O7))</f>
        <v/>
      </c>
      <c r="AH25" s="12">
        <v>54</v>
      </c>
      <c r="AI25" s="13" t="str">
        <f>IF(OR(B25="",Results!B7=""),"",IF(AND(B25=Results!B7,Results!B7&lt;&gt;Games!$C$31),1,0))</f>
        <v/>
      </c>
      <c r="AJ25" s="13" t="str">
        <f>IF(OR(C25="",Results!C7=""),"",IF(AND(C25=Results!C7,Results!C7&lt;&gt;Games!$C$32),1,0))</f>
        <v/>
      </c>
      <c r="AK25" s="13" t="str">
        <f>IF(OR(D25="",Results!D7=""),"",IF(AND(D25=Results!D7,Results!D7&lt;&gt;Games!$C$33),1,0))</f>
        <v/>
      </c>
      <c r="AL25" s="13" t="str">
        <f>IF(OR(E25="",Results!E7=""),"",IF(AND(E25=Results!E7,Results!E7&lt;&gt;Games!$C$34),1,0))</f>
        <v/>
      </c>
      <c r="AM25" s="13" t="str">
        <f>IF(OR(F25="",Results!F7=""),"",IF(AND(F25=Results!F7,Results!F7&lt;&gt;Games!$C$35),1,0))</f>
        <v/>
      </c>
      <c r="AN25" s="13" t="str">
        <f>IF(OR(G25="",Results!G7=""),"",IF(AND(G25=Results!G7,Results!G7&lt;&gt;Games!$C$36),1,0))</f>
        <v/>
      </c>
      <c r="AO25" s="13" t="str">
        <f>IF(OR(H25="",Results!H7=""),"",IF(AND(H25=Results!H7,Results!H7&lt;&gt;Games!$C$37),1,0))</f>
        <v/>
      </c>
      <c r="AP25" s="13" t="str">
        <f>IF(OR(I25="",Results!I7=""),"",IF(AND(I25=Results!I7,Results!I7&lt;&gt;Games!$C$38),1,0))</f>
        <v/>
      </c>
      <c r="AQ25" s="13" t="str">
        <f>IF(OR(J25="",Results!J7=""),"",IF(AND(J25=Results!J7,Results!J7&lt;&gt;Games!$C$39),1,0))</f>
        <v/>
      </c>
      <c r="AR25" s="13" t="str">
        <f>IF(OR(K25="",Results!K7=""),"",IF(AND(K25=Results!K7,Results!K7&lt;&gt;Games!$C$40),1,0))</f>
        <v/>
      </c>
      <c r="AS25" s="13" t="str">
        <f>IF(OR(L25="",Results!L7=""),"",IF(AND(L25=Results!L7,Results!L7&lt;&gt;Games!$C$41),1,0))</f>
        <v/>
      </c>
      <c r="AT25" s="13" t="str">
        <f>IF(OR(M25="",Results!M7=""),"",IF(AND(M25=Results!M7,Results!M7&lt;&gt;Games!$C$42),1,0))</f>
        <v/>
      </c>
      <c r="AU25" s="13" t="str">
        <f>IF(OR(N25="",Results!N7=""),"",IF(AND(N25=Results!N7,Results!N7&lt;&gt;Games!$C$43),1,0))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 t="s">
        <v>255</v>
      </c>
      <c r="C26" s="5" t="s">
        <v>211</v>
      </c>
      <c r="D26" s="5" t="s">
        <v>258</v>
      </c>
      <c r="E26" s="5" t="s">
        <v>260</v>
      </c>
      <c r="F26" s="5" t="s">
        <v>262</v>
      </c>
      <c r="G26" s="5" t="s">
        <v>224</v>
      </c>
      <c r="H26" s="5" t="s">
        <v>266</v>
      </c>
      <c r="I26" s="5" t="s">
        <v>268</v>
      </c>
      <c r="J26" s="5" t="s">
        <v>202</v>
      </c>
      <c r="K26" s="5" t="s">
        <v>223</v>
      </c>
      <c r="L26" s="5" t="s">
        <v>272</v>
      </c>
      <c r="M26" s="5" t="s">
        <v>273</v>
      </c>
      <c r="N26" s="5" t="s">
        <v>191</v>
      </c>
      <c r="O26" s="5">
        <v>1</v>
      </c>
      <c r="P26" s="5">
        <v>6</v>
      </c>
      <c r="Q26" s="5">
        <v>12</v>
      </c>
      <c r="R26" s="5">
        <v>47</v>
      </c>
      <c r="S26" s="4" t="str">
        <f>IF(OR(B26="",Results!B7=""),"",IF(B26=Results!B7,1+IF(OR($O26=1,$P26=1,$Q26=1),1,0),0))</f>
        <v/>
      </c>
      <c r="T26" s="4" t="str">
        <f>IF(OR(C26="",Results!C7=""),"",IF(C26=Results!C7,1+IF(OR($O26=2,$P26=2,$Q26=2),1,0),0))</f>
        <v/>
      </c>
      <c r="U26" s="4" t="str">
        <f>IF(OR(D26="",Results!D7=""),"",IF(D26=Results!D7,1+IF(OR($O26=3,$P26=3,$Q26=3),1,0),0))</f>
        <v/>
      </c>
      <c r="V26" s="4" t="str">
        <f>IF(OR(E26="",Results!E7=""),"",IF(E26=Results!E7,1+IF(OR($O26=4,$P26=4,$Q26=4),1,0),0))</f>
        <v/>
      </c>
      <c r="W26" s="4" t="str">
        <f>IF(OR(F26="",Results!F7=""),"",IF(F26=Results!F7,1+IF(OR($O26=5,$P26=5,$Q26=5),1,0),0))</f>
        <v/>
      </c>
      <c r="X26" s="4" t="str">
        <f>IF(OR(G26="",Results!G7=""),"",IF(G26=Results!G7,1+IF(OR($O26=6,$P26=6,$Q26=6),1,0),0))</f>
        <v/>
      </c>
      <c r="Y26" s="4" t="str">
        <f>IF(OR(H26="",Results!H7=""),"",IF(H26=Results!H7,1+IF(OR($O26=7,$P26=7,$Q26=7),1,0),0))</f>
        <v/>
      </c>
      <c r="Z26" s="4" t="str">
        <f>IF(OR(I26="",Results!I7=""),"",IF(I26=Results!I7,1+IF(OR($O26=8,$P26=8,$Q26=8),1,0),0))</f>
        <v/>
      </c>
      <c r="AA26" s="4" t="str">
        <f>IF(OR(J26="",Results!J7=""),"",IF(J26=Results!J7,1+IF(OR($O26=9,$P26=9,$Q26=9),1,0),0))</f>
        <v/>
      </c>
      <c r="AB26" s="4" t="str">
        <f>IF(OR(K26="",Results!K7=""),"",IF(K26=Results!K7,1+IF(OR($O26=10,$P26=10,$Q26=10),1,0),0))</f>
        <v/>
      </c>
      <c r="AC26" s="4" t="str">
        <f>IF(OR(L26="",Results!L7=""),"",IF(L26=Results!L7,1+IF(OR($O26=11,$P26=11,$Q26=11),1,0),0))</f>
        <v/>
      </c>
      <c r="AD26" s="4" t="str">
        <f>IF(OR(M26="",Results!M7=""),"",IF(M26=Results!M7,1+IF(OR($O26=12,$P26=12,$Q26=12),1,0),0))</f>
        <v/>
      </c>
      <c r="AE26" s="4" t="str">
        <f>IF(OR(N26="",Results!N7=""),"",IF(N26=Results!N7,1+IF(OR($O26=13,$P26=13,$Q26=13),1,0),0))</f>
        <v/>
      </c>
      <c r="AF26" s="11">
        <f t="shared" si="0"/>
        <v>0</v>
      </c>
      <c r="AG26" s="4" t="str">
        <f>IF(OR($R26="",Results!O7=""),"",ABS($R26-Results!O7))</f>
        <v/>
      </c>
      <c r="AH26" s="12">
        <v>48</v>
      </c>
      <c r="AI26" s="13" t="str">
        <f>IF(OR(B26="",Results!B7=""),"",IF(AND(B26=Results!B7,Results!B7&lt;&gt;Games!$C$31),1,0))</f>
        <v/>
      </c>
      <c r="AJ26" s="13" t="str">
        <f>IF(OR(C26="",Results!C7=""),"",IF(AND(C26=Results!C7,Results!C7&lt;&gt;Games!$C$32),1,0))</f>
        <v/>
      </c>
      <c r="AK26" s="13" t="str">
        <f>IF(OR(D26="",Results!D7=""),"",IF(AND(D26=Results!D7,Results!D7&lt;&gt;Games!$C$33),1,0))</f>
        <v/>
      </c>
      <c r="AL26" s="13" t="str">
        <f>IF(OR(E26="",Results!E7=""),"",IF(AND(E26=Results!E7,Results!E7&lt;&gt;Games!$C$34),1,0))</f>
        <v/>
      </c>
      <c r="AM26" s="13" t="str">
        <f>IF(OR(F26="",Results!F7=""),"",IF(AND(F26=Results!F7,Results!F7&lt;&gt;Games!$C$35),1,0))</f>
        <v/>
      </c>
      <c r="AN26" s="13" t="str">
        <f>IF(OR(G26="",Results!G7=""),"",IF(AND(G26=Results!G7,Results!G7&lt;&gt;Games!$C$36),1,0))</f>
        <v/>
      </c>
      <c r="AO26" s="13" t="str">
        <f>IF(OR(H26="",Results!H7=""),"",IF(AND(H26=Results!H7,Results!H7&lt;&gt;Games!$C$37),1,0))</f>
        <v/>
      </c>
      <c r="AP26" s="13" t="str">
        <f>IF(OR(I26="",Results!I7=""),"",IF(AND(I26=Results!I7,Results!I7&lt;&gt;Games!$C$38),1,0))</f>
        <v/>
      </c>
      <c r="AQ26" s="13" t="str">
        <f>IF(OR(J26="",Results!J7=""),"",IF(AND(J26=Results!J7,Results!J7&lt;&gt;Games!$C$39),1,0))</f>
        <v/>
      </c>
      <c r="AR26" s="13" t="str">
        <f>IF(OR(K26="",Results!K7=""),"",IF(AND(K26=Results!K7,Results!K7&lt;&gt;Games!$C$40),1,0))</f>
        <v/>
      </c>
      <c r="AS26" s="13" t="str">
        <f>IF(OR(L26="",Results!L7=""),"",IF(AND(L26=Results!L7,Results!L7&lt;&gt;Games!$C$41),1,0))</f>
        <v/>
      </c>
      <c r="AT26" s="13" t="str">
        <f>IF(OR(M26="",Results!M7=""),"",IF(AND(M26=Results!M7,Results!M7&lt;&gt;Games!$C$42),1,0))</f>
        <v/>
      </c>
      <c r="AU26" s="13" t="str">
        <f>IF(OR(N26="",Results!N7=""),"",IF(AND(N26=Results!N7,Results!N7&lt;&gt;Games!$C$43),1,0))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 t="s">
        <v>255</v>
      </c>
      <c r="C27" s="5" t="s">
        <v>211</v>
      </c>
      <c r="D27" s="5" t="s">
        <v>258</v>
      </c>
      <c r="E27" s="5" t="s">
        <v>260</v>
      </c>
      <c r="F27" s="5" t="s">
        <v>263</v>
      </c>
      <c r="G27" s="5" t="s">
        <v>226</v>
      </c>
      <c r="H27" s="5" t="s">
        <v>266</v>
      </c>
      <c r="I27" s="5" t="s">
        <v>268</v>
      </c>
      <c r="J27" s="5" t="s">
        <v>202</v>
      </c>
      <c r="K27" s="5" t="s">
        <v>210</v>
      </c>
      <c r="L27" s="5" t="s">
        <v>272</v>
      </c>
      <c r="M27" s="5" t="s">
        <v>273</v>
      </c>
      <c r="N27" s="5" t="s">
        <v>191</v>
      </c>
      <c r="O27" s="5">
        <v>1</v>
      </c>
      <c r="P27" s="5">
        <v>2</v>
      </c>
      <c r="Q27" s="5">
        <v>12</v>
      </c>
      <c r="R27" s="5">
        <v>61</v>
      </c>
      <c r="S27" s="4" t="str">
        <f>IF(OR(B27="",Results!B7=""),"",IF(B27=Results!B7,1+IF(OR($O27=1,$P27=1,$Q27=1),1,0),0))</f>
        <v/>
      </c>
      <c r="T27" s="4" t="str">
        <f>IF(OR(C27="",Results!C7=""),"",IF(C27=Results!C7,1+IF(OR($O27=2,$P27=2,$Q27=2),1,0),0))</f>
        <v/>
      </c>
      <c r="U27" s="4" t="str">
        <f>IF(OR(D27="",Results!D7=""),"",IF(D27=Results!D7,1+IF(OR($O27=3,$P27=3,$Q27=3),1,0),0))</f>
        <v/>
      </c>
      <c r="V27" s="4" t="str">
        <f>IF(OR(E27="",Results!E7=""),"",IF(E27=Results!E7,1+IF(OR($O27=4,$P27=4,$Q27=4),1,0),0))</f>
        <v/>
      </c>
      <c r="W27" s="4" t="str">
        <f>IF(OR(F27="",Results!F7=""),"",IF(F27=Results!F7,1+IF(OR($O27=5,$P27=5,$Q27=5),1,0),0))</f>
        <v/>
      </c>
      <c r="X27" s="4" t="str">
        <f>IF(OR(G27="",Results!G7=""),"",IF(G27=Results!G7,1+IF(OR($O27=6,$P27=6,$Q27=6),1,0),0))</f>
        <v/>
      </c>
      <c r="Y27" s="4" t="str">
        <f>IF(OR(H27="",Results!H7=""),"",IF(H27=Results!H7,1+IF(OR($O27=7,$P27=7,$Q27=7),1,0),0))</f>
        <v/>
      </c>
      <c r="Z27" s="4" t="str">
        <f>IF(OR(I27="",Results!I7=""),"",IF(I27=Results!I7,1+IF(OR($O27=8,$P27=8,$Q27=8),1,0),0))</f>
        <v/>
      </c>
      <c r="AA27" s="4" t="str">
        <f>IF(OR(J27="",Results!J7=""),"",IF(J27=Results!J7,1+IF(OR($O27=9,$P27=9,$Q27=9),1,0),0))</f>
        <v/>
      </c>
      <c r="AB27" s="4" t="str">
        <f>IF(OR(K27="",Results!K7=""),"",IF(K27=Results!K7,1+IF(OR($O27=10,$P27=10,$Q27=10),1,0),0))</f>
        <v/>
      </c>
      <c r="AC27" s="4" t="str">
        <f>IF(OR(L27="",Results!L7=""),"",IF(L27=Results!L7,1+IF(OR($O27=11,$P27=11,$Q27=11),1,0),0))</f>
        <v/>
      </c>
      <c r="AD27" s="4" t="str">
        <f>IF(OR(M27="",Results!M7=""),"",IF(M27=Results!M7,1+IF(OR($O27=12,$P27=12,$Q27=12),1,0),0))</f>
        <v/>
      </c>
      <c r="AE27" s="4" t="str">
        <f>IF(OR(N27="",Results!N7=""),"",IF(N27=Results!N7,1+IF(OR($O27=13,$P27=13,$Q27=13),1,0),0))</f>
        <v/>
      </c>
      <c r="AF27" s="11">
        <f t="shared" si="0"/>
        <v>0</v>
      </c>
      <c r="AG27" s="4" t="str">
        <f>IF(OR($R27="",Results!O7=""),"",ABS($R27-Results!O7))</f>
        <v/>
      </c>
      <c r="AH27" s="12">
        <v>38</v>
      </c>
      <c r="AI27" s="13" t="str">
        <f>IF(OR(B27="",Results!B7=""),"",IF(AND(B27=Results!B7,Results!B7&lt;&gt;Games!$C$31),1,0))</f>
        <v/>
      </c>
      <c r="AJ27" s="13" t="str">
        <f>IF(OR(C27="",Results!C7=""),"",IF(AND(C27=Results!C7,Results!C7&lt;&gt;Games!$C$32),1,0))</f>
        <v/>
      </c>
      <c r="AK27" s="13" t="str">
        <f>IF(OR(D27="",Results!D7=""),"",IF(AND(D27=Results!D7,Results!D7&lt;&gt;Games!$C$33),1,0))</f>
        <v/>
      </c>
      <c r="AL27" s="13" t="str">
        <f>IF(OR(E27="",Results!E7=""),"",IF(AND(E27=Results!E7,Results!E7&lt;&gt;Games!$C$34),1,0))</f>
        <v/>
      </c>
      <c r="AM27" s="13" t="str">
        <f>IF(OR(F27="",Results!F7=""),"",IF(AND(F27=Results!F7,Results!F7&lt;&gt;Games!$C$35),1,0))</f>
        <v/>
      </c>
      <c r="AN27" s="13" t="str">
        <f>IF(OR(G27="",Results!G7=""),"",IF(AND(G27=Results!G7,Results!G7&lt;&gt;Games!$C$36),1,0))</f>
        <v/>
      </c>
      <c r="AO27" s="13" t="str">
        <f>IF(OR(H27="",Results!H7=""),"",IF(AND(H27=Results!H7,Results!H7&lt;&gt;Games!$C$37),1,0))</f>
        <v/>
      </c>
      <c r="AP27" s="13" t="str">
        <f>IF(OR(I27="",Results!I7=""),"",IF(AND(I27=Results!I7,Results!I7&lt;&gt;Games!$C$38),1,0))</f>
        <v/>
      </c>
      <c r="AQ27" s="13" t="str">
        <f>IF(OR(J27="",Results!J7=""),"",IF(AND(J27=Results!J7,Results!J7&lt;&gt;Games!$C$39),1,0))</f>
        <v/>
      </c>
      <c r="AR27" s="13" t="str">
        <f>IF(OR(K27="",Results!K7=""),"",IF(AND(K27=Results!K7,Results!K7&lt;&gt;Games!$C$40),1,0))</f>
        <v/>
      </c>
      <c r="AS27" s="13" t="str">
        <f>IF(OR(L27="",Results!L7=""),"",IF(AND(L27=Results!L7,Results!L7&lt;&gt;Games!$C$41),1,0))</f>
        <v/>
      </c>
      <c r="AT27" s="13" t="str">
        <f>IF(OR(M27="",Results!M7=""),"",IF(AND(M27=Results!M7,Results!M7&lt;&gt;Games!$C$42),1,0))</f>
        <v/>
      </c>
      <c r="AU27" s="13" t="str">
        <f>IF(OR(N27="",Results!N7=""),"",IF(AND(N27=Results!N7,Results!N7&lt;&gt;Games!$C$43),1,0))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IF(OR(B28="",Results!B7=""),"",IF(B28=Results!B7,1+IF(OR($O28=1,$P28=1,$Q28=1),1,0),0))</f>
        <v/>
      </c>
      <c r="T28" s="4" t="str">
        <f>IF(OR(C28="",Results!C7=""),"",IF(C28=Results!C7,1+IF(OR($O28=2,$P28=2,$Q28=2),1,0),0))</f>
        <v/>
      </c>
      <c r="U28" s="4" t="str">
        <f>IF(OR(D28="",Results!D7=""),"",IF(D28=Results!D7,1+IF(OR($O28=3,$P28=3,$Q28=3),1,0),0))</f>
        <v/>
      </c>
      <c r="V28" s="4" t="str">
        <f>IF(OR(E28="",Results!E7=""),"",IF(E28=Results!E7,1+IF(OR($O28=4,$P28=4,$Q28=4),1,0),0))</f>
        <v/>
      </c>
      <c r="W28" s="4" t="str">
        <f>IF(OR(F28="",Results!F7=""),"",IF(F28=Results!F7,1+IF(OR($O28=5,$P28=5,$Q28=5),1,0),0))</f>
        <v/>
      </c>
      <c r="X28" s="4" t="str">
        <f>IF(OR(G28="",Results!G7=""),"",IF(G28=Results!G7,1+IF(OR($O28=6,$P28=6,$Q28=6),1,0),0))</f>
        <v/>
      </c>
      <c r="Y28" s="4" t="str">
        <f>IF(OR(H28="",Results!H7=""),"",IF(H28=Results!H7,1+IF(OR($O28=7,$P28=7,$Q28=7),1,0),0))</f>
        <v/>
      </c>
      <c r="Z28" s="4" t="str">
        <f>IF(OR(I28="",Results!I7=""),"",IF(I28=Results!I7,1+IF(OR($O28=8,$P28=8,$Q28=8),1,0),0))</f>
        <v/>
      </c>
      <c r="AA28" s="4" t="str">
        <f>IF(OR(J28="",Results!J7=""),"",IF(J28=Results!J7,1+IF(OR($O28=9,$P28=9,$Q28=9),1,0),0))</f>
        <v/>
      </c>
      <c r="AB28" s="4" t="str">
        <f>IF(OR(K28="",Results!K7=""),"",IF(K28=Results!K7,1+IF(OR($O28=10,$P28=10,$Q28=10),1,0),0))</f>
        <v/>
      </c>
      <c r="AC28" s="4" t="str">
        <f>IF(OR(L28="",Results!L7=""),"",IF(L28=Results!L7,1+IF(OR($O28=11,$P28=11,$Q28=11),1,0),0))</f>
        <v/>
      </c>
      <c r="AD28" s="4" t="str">
        <f>IF(OR(M28="",Results!M7=""),"",IF(M28=Results!M7,1+IF(OR($O28=12,$P28=12,$Q28=12),1,0),0))</f>
        <v/>
      </c>
      <c r="AE28" s="4" t="str">
        <f>IF(OR(N28="",Results!N7=""),"",IF(N28=Results!N7,1+IF(OR($O28=13,$P28=13,$Q28=13),1,0),0))</f>
        <v/>
      </c>
      <c r="AF28" s="11">
        <f t="shared" si="0"/>
        <v>0</v>
      </c>
      <c r="AG28" s="4" t="str">
        <f>IF(OR($R28="",Results!O7=""),"",ABS($R28-Results!O7))</f>
        <v/>
      </c>
      <c r="AH28" s="12">
        <v>60</v>
      </c>
      <c r="AI28" s="13" t="str">
        <f>IF(OR(B28="",Results!B7=""),"",IF(AND(B28=Results!B7,Results!B7&lt;&gt;Games!$C$31),1,0))</f>
        <v/>
      </c>
      <c r="AJ28" s="13" t="str">
        <f>IF(OR(C28="",Results!C7=""),"",IF(AND(C28=Results!C7,Results!C7&lt;&gt;Games!$C$32),1,0))</f>
        <v/>
      </c>
      <c r="AK28" s="13" t="str">
        <f>IF(OR(D28="",Results!D7=""),"",IF(AND(D28=Results!D7,Results!D7&lt;&gt;Games!$C$33),1,0))</f>
        <v/>
      </c>
      <c r="AL28" s="13" t="str">
        <f>IF(OR(E28="",Results!E7=""),"",IF(AND(E28=Results!E7,Results!E7&lt;&gt;Games!$C$34),1,0))</f>
        <v/>
      </c>
      <c r="AM28" s="13" t="str">
        <f>IF(OR(F28="",Results!F7=""),"",IF(AND(F28=Results!F7,Results!F7&lt;&gt;Games!$C$35),1,0))</f>
        <v/>
      </c>
      <c r="AN28" s="13" t="str">
        <f>IF(OR(G28="",Results!G7=""),"",IF(AND(G28=Results!G7,Results!G7&lt;&gt;Games!$C$36),1,0))</f>
        <v/>
      </c>
      <c r="AO28" s="13" t="str">
        <f>IF(OR(H28="",Results!H7=""),"",IF(AND(H28=Results!H7,Results!H7&lt;&gt;Games!$C$37),1,0))</f>
        <v/>
      </c>
      <c r="AP28" s="13" t="str">
        <f>IF(OR(I28="",Results!I7=""),"",IF(AND(I28=Results!I7,Results!I7&lt;&gt;Games!$C$38),1,0))</f>
        <v/>
      </c>
      <c r="AQ28" s="13" t="str">
        <f>IF(OR(J28="",Results!J7=""),"",IF(AND(J28=Results!J7,Results!J7&lt;&gt;Games!$C$39),1,0))</f>
        <v/>
      </c>
      <c r="AR28" s="13" t="str">
        <f>IF(OR(K28="",Results!K7=""),"",IF(AND(K28=Results!K7,Results!K7&lt;&gt;Games!$C$40),1,0))</f>
        <v/>
      </c>
      <c r="AS28" s="13" t="str">
        <f>IF(OR(L28="",Results!L7=""),"",IF(AND(L28=Results!L7,Results!L7&lt;&gt;Games!$C$41),1,0))</f>
        <v/>
      </c>
      <c r="AT28" s="13" t="str">
        <f>IF(OR(M28="",Results!M7=""),"",IF(AND(M28=Results!M7,Results!M7&lt;&gt;Games!$C$42),1,0))</f>
        <v/>
      </c>
      <c r="AU28" s="13" t="str">
        <f>IF(OR(N28="",Results!N7=""),"",IF(AND(N28=Results!N7,Results!N7&lt;&gt;Games!$C$43),1,0))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IF(OR(B29="",Results!B7=""),"",IF(B29=Results!B7,1+IF(OR($O29=1,$P29=1,$Q29=1),1,0),0))</f>
        <v/>
      </c>
      <c r="T29" s="4" t="str">
        <f>IF(OR(C29="",Results!C7=""),"",IF(C29=Results!C7,1+IF(OR($O29=2,$P29=2,$Q29=2),1,0),0))</f>
        <v/>
      </c>
      <c r="U29" s="4" t="str">
        <f>IF(OR(D29="",Results!D7=""),"",IF(D29=Results!D7,1+IF(OR($O29=3,$P29=3,$Q29=3),1,0),0))</f>
        <v/>
      </c>
      <c r="V29" s="4" t="str">
        <f>IF(OR(E29="",Results!E7=""),"",IF(E29=Results!E7,1+IF(OR($O29=4,$P29=4,$Q29=4),1,0),0))</f>
        <v/>
      </c>
      <c r="W29" s="4" t="str">
        <f>IF(OR(F29="",Results!F7=""),"",IF(F29=Results!F7,1+IF(OR($O29=5,$P29=5,$Q29=5),1,0),0))</f>
        <v/>
      </c>
      <c r="X29" s="4" t="str">
        <f>IF(OR(G29="",Results!G7=""),"",IF(G29=Results!G7,1+IF(OR($O29=6,$P29=6,$Q29=6),1,0),0))</f>
        <v/>
      </c>
      <c r="Y29" s="4" t="str">
        <f>IF(OR(H29="",Results!H7=""),"",IF(H29=Results!H7,1+IF(OR($O29=7,$P29=7,$Q29=7),1,0),0))</f>
        <v/>
      </c>
      <c r="Z29" s="4" t="str">
        <f>IF(OR(I29="",Results!I7=""),"",IF(I29=Results!I7,1+IF(OR($O29=8,$P29=8,$Q29=8),1,0),0))</f>
        <v/>
      </c>
      <c r="AA29" s="4" t="str">
        <f>IF(OR(J29="",Results!J7=""),"",IF(J29=Results!J7,1+IF(OR($O29=9,$P29=9,$Q29=9),1,0),0))</f>
        <v/>
      </c>
      <c r="AB29" s="4" t="str">
        <f>IF(OR(K29="",Results!K7=""),"",IF(K29=Results!K7,1+IF(OR($O29=10,$P29=10,$Q29=10),1,0),0))</f>
        <v/>
      </c>
      <c r="AC29" s="4" t="str">
        <f>IF(OR(L29="",Results!L7=""),"",IF(L29=Results!L7,1+IF(OR($O29=11,$P29=11,$Q29=11),1,0),0))</f>
        <v/>
      </c>
      <c r="AD29" s="4" t="str">
        <f>IF(OR(M29="",Results!M7=""),"",IF(M29=Results!M7,1+IF(OR($O29=12,$P29=12,$Q29=12),1,0),0))</f>
        <v/>
      </c>
      <c r="AE29" s="4" t="str">
        <f>IF(OR(N29="",Results!N7=""),"",IF(N29=Results!N7,1+IF(OR($O29=13,$P29=13,$Q29=13),1,0),0))</f>
        <v/>
      </c>
      <c r="AF29" s="11">
        <f t="shared" si="0"/>
        <v>0</v>
      </c>
      <c r="AG29" s="4" t="str">
        <f>IF(OR($R29="",Results!O7=""),"",ABS($R29-Results!O7))</f>
        <v/>
      </c>
      <c r="AH29" s="12">
        <v>11</v>
      </c>
      <c r="AI29" s="13" t="str">
        <f>IF(OR(B29="",Results!B7=""),"",IF(AND(B29=Results!B7,Results!B7&lt;&gt;Games!$C$31),1,0))</f>
        <v/>
      </c>
      <c r="AJ29" s="13" t="str">
        <f>IF(OR(C29="",Results!C7=""),"",IF(AND(C29=Results!C7,Results!C7&lt;&gt;Games!$C$32),1,0))</f>
        <v/>
      </c>
      <c r="AK29" s="13" t="str">
        <f>IF(OR(D29="",Results!D7=""),"",IF(AND(D29=Results!D7,Results!D7&lt;&gt;Games!$C$33),1,0))</f>
        <v/>
      </c>
      <c r="AL29" s="13" t="str">
        <f>IF(OR(E29="",Results!E7=""),"",IF(AND(E29=Results!E7,Results!E7&lt;&gt;Games!$C$34),1,0))</f>
        <v/>
      </c>
      <c r="AM29" s="13" t="str">
        <f>IF(OR(F29="",Results!F7=""),"",IF(AND(F29=Results!F7,Results!F7&lt;&gt;Games!$C$35),1,0))</f>
        <v/>
      </c>
      <c r="AN29" s="13" t="str">
        <f>IF(OR(G29="",Results!G7=""),"",IF(AND(G29=Results!G7,Results!G7&lt;&gt;Games!$C$36),1,0))</f>
        <v/>
      </c>
      <c r="AO29" s="13" t="str">
        <f>IF(OR(H29="",Results!H7=""),"",IF(AND(H29=Results!H7,Results!H7&lt;&gt;Games!$C$37),1,0))</f>
        <v/>
      </c>
      <c r="AP29" s="13" t="str">
        <f>IF(OR(I29="",Results!I7=""),"",IF(AND(I29=Results!I7,Results!I7&lt;&gt;Games!$C$38),1,0))</f>
        <v/>
      </c>
      <c r="AQ29" s="13" t="str">
        <f>IF(OR(J29="",Results!J7=""),"",IF(AND(J29=Results!J7,Results!J7&lt;&gt;Games!$C$39),1,0))</f>
        <v/>
      </c>
      <c r="AR29" s="13" t="str">
        <f>IF(OR(K29="",Results!K7=""),"",IF(AND(K29=Results!K7,Results!K7&lt;&gt;Games!$C$40),1,0))</f>
        <v/>
      </c>
      <c r="AS29" s="13" t="str">
        <f>IF(OR(L29="",Results!L7=""),"",IF(AND(L29=Results!L7,Results!L7&lt;&gt;Games!$C$41),1,0))</f>
        <v/>
      </c>
      <c r="AT29" s="13" t="str">
        <f>IF(OR(M29="",Results!M7=""),"",IF(AND(M29=Results!M7,Results!M7&lt;&gt;Games!$C$42),1,0))</f>
        <v/>
      </c>
      <c r="AU29" s="13" t="str">
        <f>IF(OR(N29="",Results!N7=""),"",IF(AND(N29=Results!N7,Results!N7&lt;&gt;Games!$C$43),1,0))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 t="s">
        <v>255</v>
      </c>
      <c r="C30" s="5" t="s">
        <v>211</v>
      </c>
      <c r="D30" s="5" t="s">
        <v>231</v>
      </c>
      <c r="E30" s="5" t="s">
        <v>260</v>
      </c>
      <c r="F30" s="5" t="s">
        <v>262</v>
      </c>
      <c r="G30" s="5" t="s">
        <v>224</v>
      </c>
      <c r="H30" s="5" t="s">
        <v>266</v>
      </c>
      <c r="I30" s="5" t="s">
        <v>268</v>
      </c>
      <c r="J30" s="5" t="s">
        <v>269</v>
      </c>
      <c r="K30" s="5" t="s">
        <v>210</v>
      </c>
      <c r="L30" s="5" t="s">
        <v>271</v>
      </c>
      <c r="M30" s="5" t="s">
        <v>273</v>
      </c>
      <c r="N30" s="5" t="s">
        <v>276</v>
      </c>
      <c r="O30" s="5">
        <v>1</v>
      </c>
      <c r="P30" s="5">
        <v>2</v>
      </c>
      <c r="Q30" s="5">
        <v>12</v>
      </c>
      <c r="R30" s="5">
        <v>58</v>
      </c>
      <c r="S30" s="4" t="str">
        <f>IF(OR(B30="",Results!B7=""),"",IF(B30=Results!B7,1+IF(OR($O30=1,$P30=1,$Q30=1),1,0),0))</f>
        <v/>
      </c>
      <c r="T30" s="4" t="str">
        <f>IF(OR(C30="",Results!C7=""),"",IF(C30=Results!C7,1+IF(OR($O30=2,$P30=2,$Q30=2),1,0),0))</f>
        <v/>
      </c>
      <c r="U30" s="4" t="str">
        <f>IF(OR(D30="",Results!D7=""),"",IF(D30=Results!D7,1+IF(OR($O30=3,$P30=3,$Q30=3),1,0),0))</f>
        <v/>
      </c>
      <c r="V30" s="4" t="str">
        <f>IF(OR(E30="",Results!E7=""),"",IF(E30=Results!E7,1+IF(OR($O30=4,$P30=4,$Q30=4),1,0),0))</f>
        <v/>
      </c>
      <c r="W30" s="4" t="str">
        <f>IF(OR(F30="",Results!F7=""),"",IF(F30=Results!F7,1+IF(OR($O30=5,$P30=5,$Q30=5),1,0),0))</f>
        <v/>
      </c>
      <c r="X30" s="4" t="str">
        <f>IF(OR(G30="",Results!G7=""),"",IF(G30=Results!G7,1+IF(OR($O30=6,$P30=6,$Q30=6),1,0),0))</f>
        <v/>
      </c>
      <c r="Y30" s="4" t="str">
        <f>IF(OR(H30="",Results!H7=""),"",IF(H30=Results!H7,1+IF(OR($O30=7,$P30=7,$Q30=7),1,0),0))</f>
        <v/>
      </c>
      <c r="Z30" s="4" t="str">
        <f>IF(OR(I30="",Results!I7=""),"",IF(I30=Results!I7,1+IF(OR($O30=8,$P30=8,$Q30=8),1,0),0))</f>
        <v/>
      </c>
      <c r="AA30" s="4" t="str">
        <f>IF(OR(J30="",Results!J7=""),"",IF(J30=Results!J7,1+IF(OR($O30=9,$P30=9,$Q30=9),1,0),0))</f>
        <v/>
      </c>
      <c r="AB30" s="4" t="str">
        <f>IF(OR(K30="",Results!K7=""),"",IF(K30=Results!K7,1+IF(OR($O30=10,$P30=10,$Q30=10),1,0),0))</f>
        <v/>
      </c>
      <c r="AC30" s="4" t="str">
        <f>IF(OR(L30="",Results!L7=""),"",IF(L30=Results!L7,1+IF(OR($O30=11,$P30=11,$Q30=11),1,0),0))</f>
        <v/>
      </c>
      <c r="AD30" s="4" t="str">
        <f>IF(OR(M30="",Results!M7=""),"",IF(M30=Results!M7,1+IF(OR($O30=12,$P30=12,$Q30=12),1,0),0))</f>
        <v/>
      </c>
      <c r="AE30" s="4" t="str">
        <f>IF(OR(N30="",Results!N7=""),"",IF(N30=Results!N7,1+IF(OR($O30=13,$P30=13,$Q30=13),1,0),0))</f>
        <v/>
      </c>
      <c r="AF30" s="11">
        <f t="shared" si="0"/>
        <v>0</v>
      </c>
      <c r="AG30" s="4" t="str">
        <f>IF(OR($R30="",Results!O7=""),"",ABS($R30-Results!O7))</f>
        <v/>
      </c>
      <c r="AH30" s="12">
        <v>12</v>
      </c>
      <c r="AI30" s="13" t="str">
        <f>IF(OR(B30="",Results!B7=""),"",IF(AND(B30=Results!B7,Results!B7&lt;&gt;Games!$C$31),1,0))</f>
        <v/>
      </c>
      <c r="AJ30" s="13" t="str">
        <f>IF(OR(C30="",Results!C7=""),"",IF(AND(C30=Results!C7,Results!C7&lt;&gt;Games!$C$32),1,0))</f>
        <v/>
      </c>
      <c r="AK30" s="13" t="str">
        <f>IF(OR(D30="",Results!D7=""),"",IF(AND(D30=Results!D7,Results!D7&lt;&gt;Games!$C$33),1,0))</f>
        <v/>
      </c>
      <c r="AL30" s="13" t="str">
        <f>IF(OR(E30="",Results!E7=""),"",IF(AND(E30=Results!E7,Results!E7&lt;&gt;Games!$C$34),1,0))</f>
        <v/>
      </c>
      <c r="AM30" s="13" t="str">
        <f>IF(OR(F30="",Results!F7=""),"",IF(AND(F30=Results!F7,Results!F7&lt;&gt;Games!$C$35),1,0))</f>
        <v/>
      </c>
      <c r="AN30" s="13" t="str">
        <f>IF(OR(G30="",Results!G7=""),"",IF(AND(G30=Results!G7,Results!G7&lt;&gt;Games!$C$36),1,0))</f>
        <v/>
      </c>
      <c r="AO30" s="13" t="str">
        <f>IF(OR(H30="",Results!H7=""),"",IF(AND(H30=Results!H7,Results!H7&lt;&gt;Games!$C$37),1,0))</f>
        <v/>
      </c>
      <c r="AP30" s="13" t="str">
        <f>IF(OR(I30="",Results!I7=""),"",IF(AND(I30=Results!I7,Results!I7&lt;&gt;Games!$C$38),1,0))</f>
        <v/>
      </c>
      <c r="AQ30" s="13" t="str">
        <f>IF(OR(J30="",Results!J7=""),"",IF(AND(J30=Results!J7,Results!J7&lt;&gt;Games!$C$39),1,0))</f>
        <v/>
      </c>
      <c r="AR30" s="13" t="str">
        <f>IF(OR(K30="",Results!K7=""),"",IF(AND(K30=Results!K7,Results!K7&lt;&gt;Games!$C$40),1,0))</f>
        <v/>
      </c>
      <c r="AS30" s="13" t="str">
        <f>IF(OR(L30="",Results!L7=""),"",IF(AND(L30=Results!L7,Results!L7&lt;&gt;Games!$C$41),1,0))</f>
        <v/>
      </c>
      <c r="AT30" s="13" t="str">
        <f>IF(OR(M30="",Results!M7=""),"",IF(AND(M30=Results!M7,Results!M7&lt;&gt;Games!$C$42),1,0))</f>
        <v/>
      </c>
      <c r="AU30" s="13" t="str">
        <f>IF(OR(N30="",Results!N7=""),"",IF(AND(N30=Results!N7,Results!N7&lt;&gt;Games!$C$43),1,0))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IF(OR(B31="",Results!B7=""),"",IF(B31=Results!B7,1+IF(OR($O31=1,$P31=1,$Q31=1),1,0),0))</f>
        <v/>
      </c>
      <c r="T31" s="4" t="str">
        <f>IF(OR(C31="",Results!C7=""),"",IF(C31=Results!C7,1+IF(OR($O31=2,$P31=2,$Q31=2),1,0),0))</f>
        <v/>
      </c>
      <c r="U31" s="4" t="str">
        <f>IF(OR(D31="",Results!D7=""),"",IF(D31=Results!D7,1+IF(OR($O31=3,$P31=3,$Q31=3),1,0),0))</f>
        <v/>
      </c>
      <c r="V31" s="4" t="str">
        <f>IF(OR(E31="",Results!E7=""),"",IF(E31=Results!E7,1+IF(OR($O31=4,$P31=4,$Q31=4),1,0),0))</f>
        <v/>
      </c>
      <c r="W31" s="4" t="str">
        <f>IF(OR(F31="",Results!F7=""),"",IF(F31=Results!F7,1+IF(OR($O31=5,$P31=5,$Q31=5),1,0),0))</f>
        <v/>
      </c>
      <c r="X31" s="4" t="str">
        <f>IF(OR(G31="",Results!G7=""),"",IF(G31=Results!G7,1+IF(OR($O31=6,$P31=6,$Q31=6),1,0),0))</f>
        <v/>
      </c>
      <c r="Y31" s="4" t="str">
        <f>IF(OR(H31="",Results!H7=""),"",IF(H31=Results!H7,1+IF(OR($O31=7,$P31=7,$Q31=7),1,0),0))</f>
        <v/>
      </c>
      <c r="Z31" s="4" t="str">
        <f>IF(OR(I31="",Results!I7=""),"",IF(I31=Results!I7,1+IF(OR($O31=8,$P31=8,$Q31=8),1,0),0))</f>
        <v/>
      </c>
      <c r="AA31" s="4" t="str">
        <f>IF(OR(J31="",Results!J7=""),"",IF(J31=Results!J7,1+IF(OR($O31=9,$P31=9,$Q31=9),1,0),0))</f>
        <v/>
      </c>
      <c r="AB31" s="4" t="str">
        <f>IF(OR(K31="",Results!K7=""),"",IF(K31=Results!K7,1+IF(OR($O31=10,$P31=10,$Q31=10),1,0),0))</f>
        <v/>
      </c>
      <c r="AC31" s="4" t="str">
        <f>IF(OR(L31="",Results!L7=""),"",IF(L31=Results!L7,1+IF(OR($O31=11,$P31=11,$Q31=11),1,0),0))</f>
        <v/>
      </c>
      <c r="AD31" s="4" t="str">
        <f>IF(OR(M31="",Results!M7=""),"",IF(M31=Results!M7,1+IF(OR($O31=12,$P31=12,$Q31=12),1,0),0))</f>
        <v/>
      </c>
      <c r="AE31" s="4" t="str">
        <f>IF(OR(N31="",Results!N7=""),"",IF(N31=Results!N7,1+IF(OR($O31=13,$P31=13,$Q31=13),1,0),0))</f>
        <v/>
      </c>
      <c r="AF31" s="11">
        <f t="shared" si="0"/>
        <v>0</v>
      </c>
      <c r="AG31" s="4" t="str">
        <f>IF(OR($R31="",Results!O7=""),"",ABS($R31-Results!O7))</f>
        <v/>
      </c>
      <c r="AH31" s="12">
        <v>13</v>
      </c>
      <c r="AI31" s="13" t="str">
        <f>IF(OR(B31="",Results!B7=""),"",IF(AND(B31=Results!B7,Results!B7&lt;&gt;Games!$C$31),1,0))</f>
        <v/>
      </c>
      <c r="AJ31" s="13" t="str">
        <f>IF(OR(C31="",Results!C7=""),"",IF(AND(C31=Results!C7,Results!C7&lt;&gt;Games!$C$32),1,0))</f>
        <v/>
      </c>
      <c r="AK31" s="13" t="str">
        <f>IF(OR(D31="",Results!D7=""),"",IF(AND(D31=Results!D7,Results!D7&lt;&gt;Games!$C$33),1,0))</f>
        <v/>
      </c>
      <c r="AL31" s="13" t="str">
        <f>IF(OR(E31="",Results!E7=""),"",IF(AND(E31=Results!E7,Results!E7&lt;&gt;Games!$C$34),1,0))</f>
        <v/>
      </c>
      <c r="AM31" s="13" t="str">
        <f>IF(OR(F31="",Results!F7=""),"",IF(AND(F31=Results!F7,Results!F7&lt;&gt;Games!$C$35),1,0))</f>
        <v/>
      </c>
      <c r="AN31" s="13" t="str">
        <f>IF(OR(G31="",Results!G7=""),"",IF(AND(G31=Results!G7,Results!G7&lt;&gt;Games!$C$36),1,0))</f>
        <v/>
      </c>
      <c r="AO31" s="13" t="str">
        <f>IF(OR(H31="",Results!H7=""),"",IF(AND(H31=Results!H7,Results!H7&lt;&gt;Games!$C$37),1,0))</f>
        <v/>
      </c>
      <c r="AP31" s="13" t="str">
        <f>IF(OR(I31="",Results!I7=""),"",IF(AND(I31=Results!I7,Results!I7&lt;&gt;Games!$C$38),1,0))</f>
        <v/>
      </c>
      <c r="AQ31" s="13" t="str">
        <f>IF(OR(J31="",Results!J7=""),"",IF(AND(J31=Results!J7,Results!J7&lt;&gt;Games!$C$39),1,0))</f>
        <v/>
      </c>
      <c r="AR31" s="13" t="str">
        <f>IF(OR(K31="",Results!K7=""),"",IF(AND(K31=Results!K7,Results!K7&lt;&gt;Games!$C$40),1,0))</f>
        <v/>
      </c>
      <c r="AS31" s="13" t="str">
        <f>IF(OR(L31="",Results!L7=""),"",IF(AND(L31=Results!L7,Results!L7&lt;&gt;Games!$C$41),1,0))</f>
        <v/>
      </c>
      <c r="AT31" s="13" t="str">
        <f>IF(OR(M31="",Results!M7=""),"",IF(AND(M31=Results!M7,Results!M7&lt;&gt;Games!$C$42),1,0))</f>
        <v/>
      </c>
      <c r="AU31" s="13" t="str">
        <f>IF(OR(N31="",Results!N7=""),"",IF(AND(N31=Results!N7,Results!N7&lt;&gt;Games!$C$43),1,0))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IF(OR(B32="",Results!B7=""),"",IF(B32=Results!B7,1+IF(OR($O32=1,$P32=1,$Q32=1),1,0),0))</f>
        <v/>
      </c>
      <c r="T32" s="4" t="str">
        <f>IF(OR(C32="",Results!C7=""),"",IF(C32=Results!C7,1+IF(OR($O32=2,$P32=2,$Q32=2),1,0),0))</f>
        <v/>
      </c>
      <c r="U32" s="4" t="str">
        <f>IF(OR(D32="",Results!D7=""),"",IF(D32=Results!D7,1+IF(OR($O32=3,$P32=3,$Q32=3),1,0),0))</f>
        <v/>
      </c>
      <c r="V32" s="4" t="str">
        <f>IF(OR(E32="",Results!E7=""),"",IF(E32=Results!E7,1+IF(OR($O32=4,$P32=4,$Q32=4),1,0),0))</f>
        <v/>
      </c>
      <c r="W32" s="4" t="str">
        <f>IF(OR(F32="",Results!F7=""),"",IF(F32=Results!F7,1+IF(OR($O32=5,$P32=5,$Q32=5),1,0),0))</f>
        <v/>
      </c>
      <c r="X32" s="4" t="str">
        <f>IF(OR(G32="",Results!G7=""),"",IF(G32=Results!G7,1+IF(OR($O32=6,$P32=6,$Q32=6),1,0),0))</f>
        <v/>
      </c>
      <c r="Y32" s="4" t="str">
        <f>IF(OR(H32="",Results!H7=""),"",IF(H32=Results!H7,1+IF(OR($O32=7,$P32=7,$Q32=7),1,0),0))</f>
        <v/>
      </c>
      <c r="Z32" s="4" t="str">
        <f>IF(OR(I32="",Results!I7=""),"",IF(I32=Results!I7,1+IF(OR($O32=8,$P32=8,$Q32=8),1,0),0))</f>
        <v/>
      </c>
      <c r="AA32" s="4" t="str">
        <f>IF(OR(J32="",Results!J7=""),"",IF(J32=Results!J7,1+IF(OR($O32=9,$P32=9,$Q32=9),1,0),0))</f>
        <v/>
      </c>
      <c r="AB32" s="4" t="str">
        <f>IF(OR(K32="",Results!K7=""),"",IF(K32=Results!K7,1+IF(OR($O32=10,$P32=10,$Q32=10),1,0),0))</f>
        <v/>
      </c>
      <c r="AC32" s="4" t="str">
        <f>IF(OR(L32="",Results!L7=""),"",IF(L32=Results!L7,1+IF(OR($O32=11,$P32=11,$Q32=11),1,0),0))</f>
        <v/>
      </c>
      <c r="AD32" s="4" t="str">
        <f>IF(OR(M32="",Results!M7=""),"",IF(M32=Results!M7,1+IF(OR($O32=12,$P32=12,$Q32=12),1,0),0))</f>
        <v/>
      </c>
      <c r="AE32" s="4" t="str">
        <f>IF(OR(N32="",Results!N7=""),"",IF(N32=Results!N7,1+IF(OR($O32=13,$P32=13,$Q32=13),1,0),0))</f>
        <v/>
      </c>
      <c r="AF32" s="11">
        <f t="shared" si="0"/>
        <v>0</v>
      </c>
      <c r="AG32" s="4" t="str">
        <f>IF(OR($R32="",Results!O7=""),"",ABS($R32-Results!O7))</f>
        <v/>
      </c>
      <c r="AH32" s="12">
        <v>14</v>
      </c>
      <c r="AI32" s="13" t="str">
        <f>IF(OR(B32="",Results!B7=""),"",IF(AND(B32=Results!B7,Results!B7&lt;&gt;Games!$C$31),1,0))</f>
        <v/>
      </c>
      <c r="AJ32" s="13" t="str">
        <f>IF(OR(C32="",Results!C7=""),"",IF(AND(C32=Results!C7,Results!C7&lt;&gt;Games!$C$32),1,0))</f>
        <v/>
      </c>
      <c r="AK32" s="13" t="str">
        <f>IF(OR(D32="",Results!D7=""),"",IF(AND(D32=Results!D7,Results!D7&lt;&gt;Games!$C$33),1,0))</f>
        <v/>
      </c>
      <c r="AL32" s="13" t="str">
        <f>IF(OR(E32="",Results!E7=""),"",IF(AND(E32=Results!E7,Results!E7&lt;&gt;Games!$C$34),1,0))</f>
        <v/>
      </c>
      <c r="AM32" s="13" t="str">
        <f>IF(OR(F32="",Results!F7=""),"",IF(AND(F32=Results!F7,Results!F7&lt;&gt;Games!$C$35),1,0))</f>
        <v/>
      </c>
      <c r="AN32" s="13" t="str">
        <f>IF(OR(G32="",Results!G7=""),"",IF(AND(G32=Results!G7,Results!G7&lt;&gt;Games!$C$36),1,0))</f>
        <v/>
      </c>
      <c r="AO32" s="13" t="str">
        <f>IF(OR(H32="",Results!H7=""),"",IF(AND(H32=Results!H7,Results!H7&lt;&gt;Games!$C$37),1,0))</f>
        <v/>
      </c>
      <c r="AP32" s="13" t="str">
        <f>IF(OR(I32="",Results!I7=""),"",IF(AND(I32=Results!I7,Results!I7&lt;&gt;Games!$C$38),1,0))</f>
        <v/>
      </c>
      <c r="AQ32" s="13" t="str">
        <f>IF(OR(J32="",Results!J7=""),"",IF(AND(J32=Results!J7,Results!J7&lt;&gt;Games!$C$39),1,0))</f>
        <v/>
      </c>
      <c r="AR32" s="13" t="str">
        <f>IF(OR(K32="",Results!K7=""),"",IF(AND(K32=Results!K7,Results!K7&lt;&gt;Games!$C$40),1,0))</f>
        <v/>
      </c>
      <c r="AS32" s="13" t="str">
        <f>IF(OR(L32="",Results!L7=""),"",IF(AND(L32=Results!L7,Results!L7&lt;&gt;Games!$C$41),1,0))</f>
        <v/>
      </c>
      <c r="AT32" s="13" t="str">
        <f>IF(OR(M32="",Results!M7=""),"",IF(AND(M32=Results!M7,Results!M7&lt;&gt;Games!$C$42),1,0))</f>
        <v/>
      </c>
      <c r="AU32" s="13" t="str">
        <f>IF(OR(N32="",Results!N7=""),"",IF(AND(N32=Results!N7,Results!N7&lt;&gt;Games!$C$43),1,0))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 t="s">
        <v>255</v>
      </c>
      <c r="C33" s="5" t="s">
        <v>211</v>
      </c>
      <c r="D33" s="5" t="s">
        <v>258</v>
      </c>
      <c r="E33" s="5" t="s">
        <v>261</v>
      </c>
      <c r="F33" s="5" t="s">
        <v>262</v>
      </c>
      <c r="G33" s="5" t="s">
        <v>226</v>
      </c>
      <c r="H33" s="5" t="s">
        <v>266</v>
      </c>
      <c r="I33" s="5" t="s">
        <v>268</v>
      </c>
      <c r="J33" s="5" t="s">
        <v>269</v>
      </c>
      <c r="K33" s="5" t="s">
        <v>223</v>
      </c>
      <c r="L33" s="5" t="s">
        <v>271</v>
      </c>
      <c r="M33" s="5" t="s">
        <v>273</v>
      </c>
      <c r="N33" s="5" t="s">
        <v>276</v>
      </c>
      <c r="O33" s="5">
        <v>1</v>
      </c>
      <c r="P33" s="5">
        <v>9</v>
      </c>
      <c r="Q33" s="5">
        <v>12</v>
      </c>
      <c r="R33" s="5">
        <v>62</v>
      </c>
      <c r="S33" s="4" t="str">
        <f>IF(OR(B33="",Results!B7=""),"",IF(B33=Results!B7,1+IF(OR($O33=1,$P33=1,$Q33=1),1,0),0))</f>
        <v/>
      </c>
      <c r="T33" s="4" t="str">
        <f>IF(OR(C33="",Results!C7=""),"",IF(C33=Results!C7,1+IF(OR($O33=2,$P33=2,$Q33=2),1,0),0))</f>
        <v/>
      </c>
      <c r="U33" s="4" t="str">
        <f>IF(OR(D33="",Results!D7=""),"",IF(D33=Results!D7,1+IF(OR($O33=3,$P33=3,$Q33=3),1,0),0))</f>
        <v/>
      </c>
      <c r="V33" s="4" t="str">
        <f>IF(OR(E33="",Results!E7=""),"",IF(E33=Results!E7,1+IF(OR($O33=4,$P33=4,$Q33=4),1,0),0))</f>
        <v/>
      </c>
      <c r="W33" s="4" t="str">
        <f>IF(OR(F33="",Results!F7=""),"",IF(F33=Results!F7,1+IF(OR($O33=5,$P33=5,$Q33=5),1,0),0))</f>
        <v/>
      </c>
      <c r="X33" s="4" t="str">
        <f>IF(OR(G33="",Results!G7=""),"",IF(G33=Results!G7,1+IF(OR($O33=6,$P33=6,$Q33=6),1,0),0))</f>
        <v/>
      </c>
      <c r="Y33" s="4" t="str">
        <f>IF(OR(H33="",Results!H7=""),"",IF(H33=Results!H7,1+IF(OR($O33=7,$P33=7,$Q33=7),1,0),0))</f>
        <v/>
      </c>
      <c r="Z33" s="4" t="str">
        <f>IF(OR(I33="",Results!I7=""),"",IF(I33=Results!I7,1+IF(OR($O33=8,$P33=8,$Q33=8),1,0),0))</f>
        <v/>
      </c>
      <c r="AA33" s="4" t="str">
        <f>IF(OR(J33="",Results!J7=""),"",IF(J33=Results!J7,1+IF(OR($O33=9,$P33=9,$Q33=9),1,0),0))</f>
        <v/>
      </c>
      <c r="AB33" s="4" t="str">
        <f>IF(OR(K33="",Results!K7=""),"",IF(K33=Results!K7,1+IF(OR($O33=10,$P33=10,$Q33=10),1,0),0))</f>
        <v/>
      </c>
      <c r="AC33" s="4" t="str">
        <f>IF(OR(L33="",Results!L7=""),"",IF(L33=Results!L7,1+IF(OR($O33=11,$P33=11,$Q33=11),1,0),0))</f>
        <v/>
      </c>
      <c r="AD33" s="4" t="str">
        <f>IF(OR(M33="",Results!M7=""),"",IF(M33=Results!M7,1+IF(OR($O33=12,$P33=12,$Q33=12),1,0),0))</f>
        <v/>
      </c>
      <c r="AE33" s="4" t="str">
        <f>IF(OR(N33="",Results!N7=""),"",IF(N33=Results!N7,1+IF(OR($O33=13,$P33=13,$Q33=13),1,0),0))</f>
        <v/>
      </c>
      <c r="AF33" s="11">
        <f t="shared" si="0"/>
        <v>0</v>
      </c>
      <c r="AG33" s="4" t="str">
        <f>IF(OR($R33="",Results!O7=""),"",ABS($R33-Results!O7))</f>
        <v/>
      </c>
      <c r="AH33" s="12">
        <v>15</v>
      </c>
      <c r="AI33" s="13" t="str">
        <f>IF(OR(B33="",Results!B7=""),"",IF(AND(B33=Results!B7,Results!B7&lt;&gt;Games!$C$31),1,0))</f>
        <v/>
      </c>
      <c r="AJ33" s="13" t="str">
        <f>IF(OR(C33="",Results!C7=""),"",IF(AND(C33=Results!C7,Results!C7&lt;&gt;Games!$C$32),1,0))</f>
        <v/>
      </c>
      <c r="AK33" s="13" t="str">
        <f>IF(OR(D33="",Results!D7=""),"",IF(AND(D33=Results!D7,Results!D7&lt;&gt;Games!$C$33),1,0))</f>
        <v/>
      </c>
      <c r="AL33" s="13" t="str">
        <f>IF(OR(E33="",Results!E7=""),"",IF(AND(E33=Results!E7,Results!E7&lt;&gt;Games!$C$34),1,0))</f>
        <v/>
      </c>
      <c r="AM33" s="13" t="str">
        <f>IF(OR(F33="",Results!F7=""),"",IF(AND(F33=Results!F7,Results!F7&lt;&gt;Games!$C$35),1,0))</f>
        <v/>
      </c>
      <c r="AN33" s="13" t="str">
        <f>IF(OR(G33="",Results!G7=""),"",IF(AND(G33=Results!G7,Results!G7&lt;&gt;Games!$C$36),1,0))</f>
        <v/>
      </c>
      <c r="AO33" s="13" t="str">
        <f>IF(OR(H33="",Results!H7=""),"",IF(AND(H33=Results!H7,Results!H7&lt;&gt;Games!$C$37),1,0))</f>
        <v/>
      </c>
      <c r="AP33" s="13" t="str">
        <f>IF(OR(I33="",Results!I7=""),"",IF(AND(I33=Results!I7,Results!I7&lt;&gt;Games!$C$38),1,0))</f>
        <v/>
      </c>
      <c r="AQ33" s="13" t="str">
        <f>IF(OR(J33="",Results!J7=""),"",IF(AND(J33=Results!J7,Results!J7&lt;&gt;Games!$C$39),1,0))</f>
        <v/>
      </c>
      <c r="AR33" s="13" t="str">
        <f>IF(OR(K33="",Results!K7=""),"",IF(AND(K33=Results!K7,Results!K7&lt;&gt;Games!$C$40),1,0))</f>
        <v/>
      </c>
      <c r="AS33" s="13" t="str">
        <f>IF(OR(L33="",Results!L7=""),"",IF(AND(L33=Results!L7,Results!L7&lt;&gt;Games!$C$41),1,0))</f>
        <v/>
      </c>
      <c r="AT33" s="13" t="str">
        <f>IF(OR(M33="",Results!M7=""),"",IF(AND(M33=Results!M7,Results!M7&lt;&gt;Games!$C$42),1,0))</f>
        <v/>
      </c>
      <c r="AU33" s="13" t="str">
        <f>IF(OR(N33="",Results!N7=""),"",IF(AND(N33=Results!N7,Results!N7&lt;&gt;Games!$C$43),1,0))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IF(OR(B34="",Results!B7=""),"",IF(B34=Results!B7,1+IF(OR($O34=1,$P34=1,$Q34=1),1,0),0))</f>
        <v/>
      </c>
      <c r="T34" s="4" t="str">
        <f>IF(OR(C34="",Results!C7=""),"",IF(C34=Results!C7,1+IF(OR($O34=2,$P34=2,$Q34=2),1,0),0))</f>
        <v/>
      </c>
      <c r="U34" s="4" t="str">
        <f>IF(OR(D34="",Results!D7=""),"",IF(D34=Results!D7,1+IF(OR($O34=3,$P34=3,$Q34=3),1,0),0))</f>
        <v/>
      </c>
      <c r="V34" s="4" t="str">
        <f>IF(OR(E34="",Results!E7=""),"",IF(E34=Results!E7,1+IF(OR($O34=4,$P34=4,$Q34=4),1,0),0))</f>
        <v/>
      </c>
      <c r="W34" s="4" t="str">
        <f>IF(OR(F34="",Results!F7=""),"",IF(F34=Results!F7,1+IF(OR($O34=5,$P34=5,$Q34=5),1,0),0))</f>
        <v/>
      </c>
      <c r="X34" s="4" t="str">
        <f>IF(OR(G34="",Results!G7=""),"",IF(G34=Results!G7,1+IF(OR($O34=6,$P34=6,$Q34=6),1,0),0))</f>
        <v/>
      </c>
      <c r="Y34" s="4" t="str">
        <f>IF(OR(H34="",Results!H7=""),"",IF(H34=Results!H7,1+IF(OR($O34=7,$P34=7,$Q34=7),1,0),0))</f>
        <v/>
      </c>
      <c r="Z34" s="4" t="str">
        <f>IF(OR(I34="",Results!I7=""),"",IF(I34=Results!I7,1+IF(OR($O34=8,$P34=8,$Q34=8),1,0),0))</f>
        <v/>
      </c>
      <c r="AA34" s="4" t="str">
        <f>IF(OR(J34="",Results!J7=""),"",IF(J34=Results!J7,1+IF(OR($O34=9,$P34=9,$Q34=9),1,0),0))</f>
        <v/>
      </c>
      <c r="AB34" s="4" t="str">
        <f>IF(OR(K34="",Results!K7=""),"",IF(K34=Results!K7,1+IF(OR($O34=10,$P34=10,$Q34=10),1,0),0))</f>
        <v/>
      </c>
      <c r="AC34" s="4" t="str">
        <f>IF(OR(L34="",Results!L7=""),"",IF(L34=Results!L7,1+IF(OR($O34=11,$P34=11,$Q34=11),1,0),0))</f>
        <v/>
      </c>
      <c r="AD34" s="4" t="str">
        <f>IF(OR(M34="",Results!M7=""),"",IF(M34=Results!M7,1+IF(OR($O34=12,$P34=12,$Q34=12),1,0),0))</f>
        <v/>
      </c>
      <c r="AE34" s="4" t="str">
        <f>IF(OR(N34="",Results!N7=""),"",IF(N34=Results!N7,1+IF(OR($O34=13,$P34=13,$Q34=13),1,0),0))</f>
        <v/>
      </c>
      <c r="AF34" s="11">
        <f t="shared" si="0"/>
        <v>0</v>
      </c>
      <c r="AG34" s="4" t="str">
        <f>IF(OR($R34="",Results!O7=""),"",ABS($R34-Results!O7))</f>
        <v/>
      </c>
      <c r="AH34" s="12">
        <v>16</v>
      </c>
      <c r="AI34" s="13" t="str">
        <f>IF(OR(B34="",Results!B7=""),"",IF(AND(B34=Results!B7,Results!B7&lt;&gt;Games!$C$31),1,0))</f>
        <v/>
      </c>
      <c r="AJ34" s="13" t="str">
        <f>IF(OR(C34="",Results!C7=""),"",IF(AND(C34=Results!C7,Results!C7&lt;&gt;Games!$C$32),1,0))</f>
        <v/>
      </c>
      <c r="AK34" s="13" t="str">
        <f>IF(OR(D34="",Results!D7=""),"",IF(AND(D34=Results!D7,Results!D7&lt;&gt;Games!$C$33),1,0))</f>
        <v/>
      </c>
      <c r="AL34" s="13" t="str">
        <f>IF(OR(E34="",Results!E7=""),"",IF(AND(E34=Results!E7,Results!E7&lt;&gt;Games!$C$34),1,0))</f>
        <v/>
      </c>
      <c r="AM34" s="13" t="str">
        <f>IF(OR(F34="",Results!F7=""),"",IF(AND(F34=Results!F7,Results!F7&lt;&gt;Games!$C$35),1,0))</f>
        <v/>
      </c>
      <c r="AN34" s="13" t="str">
        <f>IF(OR(G34="",Results!G7=""),"",IF(AND(G34=Results!G7,Results!G7&lt;&gt;Games!$C$36),1,0))</f>
        <v/>
      </c>
      <c r="AO34" s="13" t="str">
        <f>IF(OR(H34="",Results!H7=""),"",IF(AND(H34=Results!H7,Results!H7&lt;&gt;Games!$C$37),1,0))</f>
        <v/>
      </c>
      <c r="AP34" s="13" t="str">
        <f>IF(OR(I34="",Results!I7=""),"",IF(AND(I34=Results!I7,Results!I7&lt;&gt;Games!$C$38),1,0))</f>
        <v/>
      </c>
      <c r="AQ34" s="13" t="str">
        <f>IF(OR(J34="",Results!J7=""),"",IF(AND(J34=Results!J7,Results!J7&lt;&gt;Games!$C$39),1,0))</f>
        <v/>
      </c>
      <c r="AR34" s="13" t="str">
        <f>IF(OR(K34="",Results!K7=""),"",IF(AND(K34=Results!K7,Results!K7&lt;&gt;Games!$C$40),1,0))</f>
        <v/>
      </c>
      <c r="AS34" s="13" t="str">
        <f>IF(OR(L34="",Results!L7=""),"",IF(AND(L34=Results!L7,Results!L7&lt;&gt;Games!$C$41),1,0))</f>
        <v/>
      </c>
      <c r="AT34" s="13" t="str">
        <f>IF(OR(M34="",Results!M7=""),"",IF(AND(M34=Results!M7,Results!M7&lt;&gt;Games!$C$42),1,0))</f>
        <v/>
      </c>
      <c r="AU34" s="13" t="str">
        <f>IF(OR(N34="",Results!N7=""),"",IF(AND(N34=Results!N7,Results!N7&lt;&gt;Games!$C$43),1,0))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IF(OR(B35="",Results!B7=""),"",IF(B35=Results!B7,1+IF(OR($O35=1,$P35=1,$Q35=1),1,0),0))</f>
        <v/>
      </c>
      <c r="T35" s="4" t="str">
        <f>IF(OR(C35="",Results!C7=""),"",IF(C35=Results!C7,1+IF(OR($O35=2,$P35=2,$Q35=2),1,0),0))</f>
        <v/>
      </c>
      <c r="U35" s="4" t="str">
        <f>IF(OR(D35="",Results!D7=""),"",IF(D35=Results!D7,1+IF(OR($O35=3,$P35=3,$Q35=3),1,0),0))</f>
        <v/>
      </c>
      <c r="V35" s="4" t="str">
        <f>IF(OR(E35="",Results!E7=""),"",IF(E35=Results!E7,1+IF(OR($O35=4,$P35=4,$Q35=4),1,0),0))</f>
        <v/>
      </c>
      <c r="W35" s="4" t="str">
        <f>IF(OR(F35="",Results!F7=""),"",IF(F35=Results!F7,1+IF(OR($O35=5,$P35=5,$Q35=5),1,0),0))</f>
        <v/>
      </c>
      <c r="X35" s="4" t="str">
        <f>IF(OR(G35="",Results!G7=""),"",IF(G35=Results!G7,1+IF(OR($O35=6,$P35=6,$Q35=6),1,0),0))</f>
        <v/>
      </c>
      <c r="Y35" s="4" t="str">
        <f>IF(OR(H35="",Results!H7=""),"",IF(H35=Results!H7,1+IF(OR($O35=7,$P35=7,$Q35=7),1,0),0))</f>
        <v/>
      </c>
      <c r="Z35" s="4" t="str">
        <f>IF(OR(I35="",Results!I7=""),"",IF(I35=Results!I7,1+IF(OR($O35=8,$P35=8,$Q35=8),1,0),0))</f>
        <v/>
      </c>
      <c r="AA35" s="4" t="str">
        <f>IF(OR(J35="",Results!J7=""),"",IF(J35=Results!J7,1+IF(OR($O35=9,$P35=9,$Q35=9),1,0),0))</f>
        <v/>
      </c>
      <c r="AB35" s="4" t="str">
        <f>IF(OR(K35="",Results!K7=""),"",IF(K35=Results!K7,1+IF(OR($O35=10,$P35=10,$Q35=10),1,0),0))</f>
        <v/>
      </c>
      <c r="AC35" s="4" t="str">
        <f>IF(OR(L35="",Results!L7=""),"",IF(L35=Results!L7,1+IF(OR($O35=11,$P35=11,$Q35=11),1,0),0))</f>
        <v/>
      </c>
      <c r="AD35" s="4" t="str">
        <f>IF(OR(M35="",Results!M7=""),"",IF(M35=Results!M7,1+IF(OR($O35=12,$P35=12,$Q35=12),1,0),0))</f>
        <v/>
      </c>
      <c r="AE35" s="4" t="str">
        <f>IF(OR(N35="",Results!N7=""),"",IF(N35=Results!N7,1+IF(OR($O35=13,$P35=13,$Q35=13),1,0),0))</f>
        <v/>
      </c>
      <c r="AF35" s="11">
        <f t="shared" si="0"/>
        <v>0</v>
      </c>
      <c r="AG35" s="4" t="str">
        <f>IF(OR($R35="",Results!O7=""),"",ABS($R35-Results!O7))</f>
        <v/>
      </c>
      <c r="AH35" s="12">
        <v>17</v>
      </c>
      <c r="AI35" s="13" t="str">
        <f>IF(OR(B35="",Results!B7=""),"",IF(AND(B35=Results!B7,Results!B7&lt;&gt;Games!$C$31),1,0))</f>
        <v/>
      </c>
      <c r="AJ35" s="13" t="str">
        <f>IF(OR(C35="",Results!C7=""),"",IF(AND(C35=Results!C7,Results!C7&lt;&gt;Games!$C$32),1,0))</f>
        <v/>
      </c>
      <c r="AK35" s="13" t="str">
        <f>IF(OR(D35="",Results!D7=""),"",IF(AND(D35=Results!D7,Results!D7&lt;&gt;Games!$C$33),1,0))</f>
        <v/>
      </c>
      <c r="AL35" s="13" t="str">
        <f>IF(OR(E35="",Results!E7=""),"",IF(AND(E35=Results!E7,Results!E7&lt;&gt;Games!$C$34),1,0))</f>
        <v/>
      </c>
      <c r="AM35" s="13" t="str">
        <f>IF(OR(F35="",Results!F7=""),"",IF(AND(F35=Results!F7,Results!F7&lt;&gt;Games!$C$35),1,0))</f>
        <v/>
      </c>
      <c r="AN35" s="13" t="str">
        <f>IF(OR(G35="",Results!G7=""),"",IF(AND(G35=Results!G7,Results!G7&lt;&gt;Games!$C$36),1,0))</f>
        <v/>
      </c>
      <c r="AO35" s="13" t="str">
        <f>IF(OR(H35="",Results!H7=""),"",IF(AND(H35=Results!H7,Results!H7&lt;&gt;Games!$C$37),1,0))</f>
        <v/>
      </c>
      <c r="AP35" s="13" t="str">
        <f>IF(OR(I35="",Results!I7=""),"",IF(AND(I35=Results!I7,Results!I7&lt;&gt;Games!$C$38),1,0))</f>
        <v/>
      </c>
      <c r="AQ35" s="13" t="str">
        <f>IF(OR(J35="",Results!J7=""),"",IF(AND(J35=Results!J7,Results!J7&lt;&gt;Games!$C$39),1,0))</f>
        <v/>
      </c>
      <c r="AR35" s="13" t="str">
        <f>IF(OR(K35="",Results!K7=""),"",IF(AND(K35=Results!K7,Results!K7&lt;&gt;Games!$C$40),1,0))</f>
        <v/>
      </c>
      <c r="AS35" s="13" t="str">
        <f>IF(OR(L35="",Results!L7=""),"",IF(AND(L35=Results!L7,Results!L7&lt;&gt;Games!$C$41),1,0))</f>
        <v/>
      </c>
      <c r="AT35" s="13" t="str">
        <f>IF(OR(M35="",Results!M7=""),"",IF(AND(M35=Results!M7,Results!M7&lt;&gt;Games!$C$42),1,0))</f>
        <v/>
      </c>
      <c r="AU35" s="13" t="str">
        <f>IF(OR(N35="",Results!N7=""),"",IF(AND(N35=Results!N7,Results!N7&lt;&gt;Games!$C$43),1,0))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IF(OR(B36="",Results!B7=""),"",IF(B36=Results!B7,1+IF(OR($O36=1,$P36=1,$Q36=1),1,0),0))</f>
        <v/>
      </c>
      <c r="T36" s="4" t="str">
        <f>IF(OR(C36="",Results!C7=""),"",IF(C36=Results!C7,1+IF(OR($O36=2,$P36=2,$Q36=2),1,0),0))</f>
        <v/>
      </c>
      <c r="U36" s="4" t="str">
        <f>IF(OR(D36="",Results!D7=""),"",IF(D36=Results!D7,1+IF(OR($O36=3,$P36=3,$Q36=3),1,0),0))</f>
        <v/>
      </c>
      <c r="V36" s="4" t="str">
        <f>IF(OR(E36="",Results!E7=""),"",IF(E36=Results!E7,1+IF(OR($O36=4,$P36=4,$Q36=4),1,0),0))</f>
        <v/>
      </c>
      <c r="W36" s="4" t="str">
        <f>IF(OR(F36="",Results!F7=""),"",IF(F36=Results!F7,1+IF(OR($O36=5,$P36=5,$Q36=5),1,0),0))</f>
        <v/>
      </c>
      <c r="X36" s="4" t="str">
        <f>IF(OR(G36="",Results!G7=""),"",IF(G36=Results!G7,1+IF(OR($O36=6,$P36=6,$Q36=6),1,0),0))</f>
        <v/>
      </c>
      <c r="Y36" s="4" t="str">
        <f>IF(OR(H36="",Results!H7=""),"",IF(H36=Results!H7,1+IF(OR($O36=7,$P36=7,$Q36=7),1,0),0))</f>
        <v/>
      </c>
      <c r="Z36" s="4" t="str">
        <f>IF(OR(I36="",Results!I7=""),"",IF(I36=Results!I7,1+IF(OR($O36=8,$P36=8,$Q36=8),1,0),0))</f>
        <v/>
      </c>
      <c r="AA36" s="4" t="str">
        <f>IF(OR(J36="",Results!J7=""),"",IF(J36=Results!J7,1+IF(OR($O36=9,$P36=9,$Q36=9),1,0),0))</f>
        <v/>
      </c>
      <c r="AB36" s="4" t="str">
        <f>IF(OR(K36="",Results!K7=""),"",IF(K36=Results!K7,1+IF(OR($O36=10,$P36=10,$Q36=10),1,0),0))</f>
        <v/>
      </c>
      <c r="AC36" s="4" t="str">
        <f>IF(OR(L36="",Results!L7=""),"",IF(L36=Results!L7,1+IF(OR($O36=11,$P36=11,$Q36=11),1,0),0))</f>
        <v/>
      </c>
      <c r="AD36" s="4" t="str">
        <f>IF(OR(M36="",Results!M7=""),"",IF(M36=Results!M7,1+IF(OR($O36=12,$P36=12,$Q36=12),1,0),0))</f>
        <v/>
      </c>
      <c r="AE36" s="4" t="str">
        <f>IF(OR(N36="",Results!N7=""),"",IF(N36=Results!N7,1+IF(OR($O36=13,$P36=13,$Q36=13),1,0),0))</f>
        <v/>
      </c>
      <c r="AF36" s="11">
        <f t="shared" si="0"/>
        <v>0</v>
      </c>
      <c r="AG36" s="4" t="str">
        <f>IF(OR($R36="",Results!O7=""),"",ABS($R36-Results!O7))</f>
        <v/>
      </c>
      <c r="AH36" s="12">
        <v>39</v>
      </c>
      <c r="AI36" s="13" t="str">
        <f>IF(OR(B36="",Results!B7=""),"",IF(AND(B36=Results!B7,Results!B7&lt;&gt;Games!$C$31),1,0))</f>
        <v/>
      </c>
      <c r="AJ36" s="13" t="str">
        <f>IF(OR(C36="",Results!C7=""),"",IF(AND(C36=Results!C7,Results!C7&lt;&gt;Games!$C$32),1,0))</f>
        <v/>
      </c>
      <c r="AK36" s="13" t="str">
        <f>IF(OR(D36="",Results!D7=""),"",IF(AND(D36=Results!D7,Results!D7&lt;&gt;Games!$C$33),1,0))</f>
        <v/>
      </c>
      <c r="AL36" s="13" t="str">
        <f>IF(OR(E36="",Results!E7=""),"",IF(AND(E36=Results!E7,Results!E7&lt;&gt;Games!$C$34),1,0))</f>
        <v/>
      </c>
      <c r="AM36" s="13" t="str">
        <f>IF(OR(F36="",Results!F7=""),"",IF(AND(F36=Results!F7,Results!F7&lt;&gt;Games!$C$35),1,0))</f>
        <v/>
      </c>
      <c r="AN36" s="13" t="str">
        <f>IF(OR(G36="",Results!G7=""),"",IF(AND(G36=Results!G7,Results!G7&lt;&gt;Games!$C$36),1,0))</f>
        <v/>
      </c>
      <c r="AO36" s="13" t="str">
        <f>IF(OR(H36="",Results!H7=""),"",IF(AND(H36=Results!H7,Results!H7&lt;&gt;Games!$C$37),1,0))</f>
        <v/>
      </c>
      <c r="AP36" s="13" t="str">
        <f>IF(OR(I36="",Results!I7=""),"",IF(AND(I36=Results!I7,Results!I7&lt;&gt;Games!$C$38),1,0))</f>
        <v/>
      </c>
      <c r="AQ36" s="13" t="str">
        <f>IF(OR(J36="",Results!J7=""),"",IF(AND(J36=Results!J7,Results!J7&lt;&gt;Games!$C$39),1,0))</f>
        <v/>
      </c>
      <c r="AR36" s="13" t="str">
        <f>IF(OR(K36="",Results!K7=""),"",IF(AND(K36=Results!K7,Results!K7&lt;&gt;Games!$C$40),1,0))</f>
        <v/>
      </c>
      <c r="AS36" s="13" t="str">
        <f>IF(OR(L36="",Results!L7=""),"",IF(AND(L36=Results!L7,Results!L7&lt;&gt;Games!$C$41),1,0))</f>
        <v/>
      </c>
      <c r="AT36" s="13" t="str">
        <f>IF(OR(M36="",Results!M7=""),"",IF(AND(M36=Results!M7,Results!M7&lt;&gt;Games!$C$42),1,0))</f>
        <v/>
      </c>
      <c r="AU36" s="13" t="str">
        <f>IF(OR(N36="",Results!N7=""),"",IF(AND(N36=Results!N7,Results!N7&lt;&gt;Games!$C$43),1,0))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IF(OR(B37="",Results!B7=""),"",IF(B37=Results!B7,1+IF(OR($O37=1,$P37=1,$Q37=1),1,0),0))</f>
        <v/>
      </c>
      <c r="T37" s="4" t="str">
        <f>IF(OR(C37="",Results!C7=""),"",IF(C37=Results!C7,1+IF(OR($O37=2,$P37=2,$Q37=2),1,0),0))</f>
        <v/>
      </c>
      <c r="U37" s="4" t="str">
        <f>IF(OR(D37="",Results!D7=""),"",IF(D37=Results!D7,1+IF(OR($O37=3,$P37=3,$Q37=3),1,0),0))</f>
        <v/>
      </c>
      <c r="V37" s="4" t="str">
        <f>IF(OR(E37="",Results!E7=""),"",IF(E37=Results!E7,1+IF(OR($O37=4,$P37=4,$Q37=4),1,0),0))</f>
        <v/>
      </c>
      <c r="W37" s="4" t="str">
        <f>IF(OR(F37="",Results!F7=""),"",IF(F37=Results!F7,1+IF(OR($O37=5,$P37=5,$Q37=5),1,0),0))</f>
        <v/>
      </c>
      <c r="X37" s="4" t="str">
        <f>IF(OR(G37="",Results!G7=""),"",IF(G37=Results!G7,1+IF(OR($O37=6,$P37=6,$Q37=6),1,0),0))</f>
        <v/>
      </c>
      <c r="Y37" s="4" t="str">
        <f>IF(OR(H37="",Results!H7=""),"",IF(H37=Results!H7,1+IF(OR($O37=7,$P37=7,$Q37=7),1,0),0))</f>
        <v/>
      </c>
      <c r="Z37" s="4" t="str">
        <f>IF(OR(I37="",Results!I7=""),"",IF(I37=Results!I7,1+IF(OR($O37=8,$P37=8,$Q37=8),1,0),0))</f>
        <v/>
      </c>
      <c r="AA37" s="4" t="str">
        <f>IF(OR(J37="",Results!J7=""),"",IF(J37=Results!J7,1+IF(OR($O37=9,$P37=9,$Q37=9),1,0),0))</f>
        <v/>
      </c>
      <c r="AB37" s="4" t="str">
        <f>IF(OR(K37="",Results!K7=""),"",IF(K37=Results!K7,1+IF(OR($O37=10,$P37=10,$Q37=10),1,0),0))</f>
        <v/>
      </c>
      <c r="AC37" s="4" t="str">
        <f>IF(OR(L37="",Results!L7=""),"",IF(L37=Results!L7,1+IF(OR($O37=11,$P37=11,$Q37=11),1,0),0))</f>
        <v/>
      </c>
      <c r="AD37" s="4" t="str">
        <f>IF(OR(M37="",Results!M7=""),"",IF(M37=Results!M7,1+IF(OR($O37=12,$P37=12,$Q37=12),1,0),0))</f>
        <v/>
      </c>
      <c r="AE37" s="4" t="str">
        <f>IF(OR(N37="",Results!N7=""),"",IF(N37=Results!N7,1+IF(OR($O37=13,$P37=13,$Q37=13),1,0),0))</f>
        <v/>
      </c>
      <c r="AF37" s="11">
        <f t="shared" si="0"/>
        <v>0</v>
      </c>
      <c r="AG37" s="4" t="str">
        <f>IF(OR($R37="",Results!O7=""),"",ABS($R37-Results!O7))</f>
        <v/>
      </c>
      <c r="AH37" s="12">
        <v>49</v>
      </c>
      <c r="AI37" s="13" t="str">
        <f>IF(OR(B37="",Results!B7=""),"",IF(AND(B37=Results!B7,Results!B7&lt;&gt;Games!$C$31),1,0))</f>
        <v/>
      </c>
      <c r="AJ37" s="13" t="str">
        <f>IF(OR(C37="",Results!C7=""),"",IF(AND(C37=Results!C7,Results!C7&lt;&gt;Games!$C$32),1,0))</f>
        <v/>
      </c>
      <c r="AK37" s="13" t="str">
        <f>IF(OR(D37="",Results!D7=""),"",IF(AND(D37=Results!D7,Results!D7&lt;&gt;Games!$C$33),1,0))</f>
        <v/>
      </c>
      <c r="AL37" s="13" t="str">
        <f>IF(OR(E37="",Results!E7=""),"",IF(AND(E37=Results!E7,Results!E7&lt;&gt;Games!$C$34),1,0))</f>
        <v/>
      </c>
      <c r="AM37" s="13" t="str">
        <f>IF(OR(F37="",Results!F7=""),"",IF(AND(F37=Results!F7,Results!F7&lt;&gt;Games!$C$35),1,0))</f>
        <v/>
      </c>
      <c r="AN37" s="13" t="str">
        <f>IF(OR(G37="",Results!G7=""),"",IF(AND(G37=Results!G7,Results!G7&lt;&gt;Games!$C$36),1,0))</f>
        <v/>
      </c>
      <c r="AO37" s="13" t="str">
        <f>IF(OR(H37="",Results!H7=""),"",IF(AND(H37=Results!H7,Results!H7&lt;&gt;Games!$C$37),1,0))</f>
        <v/>
      </c>
      <c r="AP37" s="13" t="str">
        <f>IF(OR(I37="",Results!I7=""),"",IF(AND(I37=Results!I7,Results!I7&lt;&gt;Games!$C$38),1,0))</f>
        <v/>
      </c>
      <c r="AQ37" s="13" t="str">
        <f>IF(OR(J37="",Results!J7=""),"",IF(AND(J37=Results!J7,Results!J7&lt;&gt;Games!$C$39),1,0))</f>
        <v/>
      </c>
      <c r="AR37" s="13" t="str">
        <f>IF(OR(K37="",Results!K7=""),"",IF(AND(K37=Results!K7,Results!K7&lt;&gt;Games!$C$40),1,0))</f>
        <v/>
      </c>
      <c r="AS37" s="13" t="str">
        <f>IF(OR(L37="",Results!L7=""),"",IF(AND(L37=Results!L7,Results!L7&lt;&gt;Games!$C$41),1,0))</f>
        <v/>
      </c>
      <c r="AT37" s="13" t="str">
        <f>IF(OR(M37="",Results!M7=""),"",IF(AND(M37=Results!M7,Results!M7&lt;&gt;Games!$C$42),1,0))</f>
        <v/>
      </c>
      <c r="AU37" s="13" t="str">
        <f>IF(OR(N37="",Results!N7=""),"",IF(AND(N37=Results!N7,Results!N7&lt;&gt;Games!$C$43),1,0))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 t="s">
        <v>255</v>
      </c>
      <c r="C38" s="5" t="s">
        <v>211</v>
      </c>
      <c r="D38" s="5" t="s">
        <v>258</v>
      </c>
      <c r="E38" s="5" t="s">
        <v>260</v>
      </c>
      <c r="F38" s="5" t="s">
        <v>262</v>
      </c>
      <c r="G38" s="5" t="s">
        <v>224</v>
      </c>
      <c r="H38" s="5" t="s">
        <v>266</v>
      </c>
      <c r="I38" s="5" t="s">
        <v>268</v>
      </c>
      <c r="J38" s="5" t="s">
        <v>269</v>
      </c>
      <c r="K38" s="5" t="s">
        <v>210</v>
      </c>
      <c r="L38" s="5" t="s">
        <v>271</v>
      </c>
      <c r="M38" s="5" t="s">
        <v>273</v>
      </c>
      <c r="N38" s="5" t="s">
        <v>276</v>
      </c>
      <c r="O38" s="5">
        <v>1</v>
      </c>
      <c r="P38" s="5">
        <v>3</v>
      </c>
      <c r="Q38" s="5">
        <v>12</v>
      </c>
      <c r="R38" s="5">
        <v>59</v>
      </c>
      <c r="S38" s="4" t="str">
        <f>IF(OR(B38="",Results!B7=""),"",IF(B38=Results!B7,1+IF(OR($O38=1,$P38=1,$Q38=1),1,0),0))</f>
        <v/>
      </c>
      <c r="T38" s="4" t="str">
        <f>IF(OR(C38="",Results!C7=""),"",IF(C38=Results!C7,1+IF(OR($O38=2,$P38=2,$Q38=2),1,0),0))</f>
        <v/>
      </c>
      <c r="U38" s="4" t="str">
        <f>IF(OR(D38="",Results!D7=""),"",IF(D38=Results!D7,1+IF(OR($O38=3,$P38=3,$Q38=3),1,0),0))</f>
        <v/>
      </c>
      <c r="V38" s="4" t="str">
        <f>IF(OR(E38="",Results!E7=""),"",IF(E38=Results!E7,1+IF(OR($O38=4,$P38=4,$Q38=4),1,0),0))</f>
        <v/>
      </c>
      <c r="W38" s="4" t="str">
        <f>IF(OR(F38="",Results!F7=""),"",IF(F38=Results!F7,1+IF(OR($O38=5,$P38=5,$Q38=5),1,0),0))</f>
        <v/>
      </c>
      <c r="X38" s="4" t="str">
        <f>IF(OR(G38="",Results!G7=""),"",IF(G38=Results!G7,1+IF(OR($O38=6,$P38=6,$Q38=6),1,0),0))</f>
        <v/>
      </c>
      <c r="Y38" s="4" t="str">
        <f>IF(OR(H38="",Results!H7=""),"",IF(H38=Results!H7,1+IF(OR($O38=7,$P38=7,$Q38=7),1,0),0))</f>
        <v/>
      </c>
      <c r="Z38" s="4" t="str">
        <f>IF(OR(I38="",Results!I7=""),"",IF(I38=Results!I7,1+IF(OR($O38=8,$P38=8,$Q38=8),1,0),0))</f>
        <v/>
      </c>
      <c r="AA38" s="4" t="str">
        <f>IF(OR(J38="",Results!J7=""),"",IF(J38=Results!J7,1+IF(OR($O38=9,$P38=9,$Q38=9),1,0),0))</f>
        <v/>
      </c>
      <c r="AB38" s="4" t="str">
        <f>IF(OR(K38="",Results!K7=""),"",IF(K38=Results!K7,1+IF(OR($O38=10,$P38=10,$Q38=10),1,0),0))</f>
        <v/>
      </c>
      <c r="AC38" s="4" t="str">
        <f>IF(OR(L38="",Results!L7=""),"",IF(L38=Results!L7,1+IF(OR($O38=11,$P38=11,$Q38=11),1,0),0))</f>
        <v/>
      </c>
      <c r="AD38" s="4" t="str">
        <f>IF(OR(M38="",Results!M7=""),"",IF(M38=Results!M7,1+IF(OR($O38=12,$P38=12,$Q38=12),1,0),0))</f>
        <v/>
      </c>
      <c r="AE38" s="4" t="str">
        <f>IF(OR(N38="",Results!N7=""),"",IF(N38=Results!N7,1+IF(OR($O38=13,$P38=13,$Q38=13),1,0),0))</f>
        <v/>
      </c>
      <c r="AF38" s="11">
        <f t="shared" ref="AF38:AF65" si="2">SUM(S38:AE38)</f>
        <v>0</v>
      </c>
      <c r="AG38" s="4" t="str">
        <f>IF(OR($R38="",Results!O7=""),"",ABS($R38-Results!O7))</f>
        <v/>
      </c>
      <c r="AH38" s="12">
        <v>18</v>
      </c>
      <c r="AI38" s="13" t="str">
        <f>IF(OR(B38="",Results!B7=""),"",IF(AND(B38=Results!B7,Results!B7&lt;&gt;Games!$C$31),1,0))</f>
        <v/>
      </c>
      <c r="AJ38" s="13" t="str">
        <f>IF(OR(C38="",Results!C7=""),"",IF(AND(C38=Results!C7,Results!C7&lt;&gt;Games!$C$32),1,0))</f>
        <v/>
      </c>
      <c r="AK38" s="13" t="str">
        <f>IF(OR(D38="",Results!D7=""),"",IF(AND(D38=Results!D7,Results!D7&lt;&gt;Games!$C$33),1,0))</f>
        <v/>
      </c>
      <c r="AL38" s="13" t="str">
        <f>IF(OR(E38="",Results!E7=""),"",IF(AND(E38=Results!E7,Results!E7&lt;&gt;Games!$C$34),1,0))</f>
        <v/>
      </c>
      <c r="AM38" s="13" t="str">
        <f>IF(OR(F38="",Results!F7=""),"",IF(AND(F38=Results!F7,Results!F7&lt;&gt;Games!$C$35),1,0))</f>
        <v/>
      </c>
      <c r="AN38" s="13" t="str">
        <f>IF(OR(G38="",Results!G7=""),"",IF(AND(G38=Results!G7,Results!G7&lt;&gt;Games!$C$36),1,0))</f>
        <v/>
      </c>
      <c r="AO38" s="13" t="str">
        <f>IF(OR(H38="",Results!H7=""),"",IF(AND(H38=Results!H7,Results!H7&lt;&gt;Games!$C$37),1,0))</f>
        <v/>
      </c>
      <c r="AP38" s="13" t="str">
        <f>IF(OR(I38="",Results!I7=""),"",IF(AND(I38=Results!I7,Results!I7&lt;&gt;Games!$C$38),1,0))</f>
        <v/>
      </c>
      <c r="AQ38" s="13" t="str">
        <f>IF(OR(J38="",Results!J7=""),"",IF(AND(J38=Results!J7,Results!J7&lt;&gt;Games!$C$39),1,0))</f>
        <v/>
      </c>
      <c r="AR38" s="13" t="str">
        <f>IF(OR(K38="",Results!K7=""),"",IF(AND(K38=Results!K7,Results!K7&lt;&gt;Games!$C$40),1,0))</f>
        <v/>
      </c>
      <c r="AS38" s="13" t="str">
        <f>IF(OR(L38="",Results!L7=""),"",IF(AND(L38=Results!L7,Results!L7&lt;&gt;Games!$C$41),1,0))</f>
        <v/>
      </c>
      <c r="AT38" s="13" t="str">
        <f>IF(OR(M38="",Results!M7=""),"",IF(AND(M38=Results!M7,Results!M7&lt;&gt;Games!$C$42),1,0))</f>
        <v/>
      </c>
      <c r="AU38" s="13" t="str">
        <f>IF(OR(N38="",Results!N7=""),"",IF(AND(N38=Results!N7,Results!N7&lt;&gt;Games!$C$43),1,0))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IF(OR(B39="",Results!B7=""),"",IF(B39=Results!B7,1+IF(OR($O39=1,$P39=1,$Q39=1),1,0),0))</f>
        <v/>
      </c>
      <c r="T39" s="4" t="str">
        <f>IF(OR(C39="",Results!C7=""),"",IF(C39=Results!C7,1+IF(OR($O39=2,$P39=2,$Q39=2),1,0),0))</f>
        <v/>
      </c>
      <c r="U39" s="4" t="str">
        <f>IF(OR(D39="",Results!D7=""),"",IF(D39=Results!D7,1+IF(OR($O39=3,$P39=3,$Q39=3),1,0),0))</f>
        <v/>
      </c>
      <c r="V39" s="4" t="str">
        <f>IF(OR(E39="",Results!E7=""),"",IF(E39=Results!E7,1+IF(OR($O39=4,$P39=4,$Q39=4),1,0),0))</f>
        <v/>
      </c>
      <c r="W39" s="4" t="str">
        <f>IF(OR(F39="",Results!F7=""),"",IF(F39=Results!F7,1+IF(OR($O39=5,$P39=5,$Q39=5),1,0),0))</f>
        <v/>
      </c>
      <c r="X39" s="4" t="str">
        <f>IF(OR(G39="",Results!G7=""),"",IF(G39=Results!G7,1+IF(OR($O39=6,$P39=6,$Q39=6),1,0),0))</f>
        <v/>
      </c>
      <c r="Y39" s="4" t="str">
        <f>IF(OR(H39="",Results!H7=""),"",IF(H39=Results!H7,1+IF(OR($O39=7,$P39=7,$Q39=7),1,0),0))</f>
        <v/>
      </c>
      <c r="Z39" s="4" t="str">
        <f>IF(OR(I39="",Results!I7=""),"",IF(I39=Results!I7,1+IF(OR($O39=8,$P39=8,$Q39=8),1,0),0))</f>
        <v/>
      </c>
      <c r="AA39" s="4" t="str">
        <f>IF(OR(J39="",Results!J7=""),"",IF(J39=Results!J7,1+IF(OR($O39=9,$P39=9,$Q39=9),1,0),0))</f>
        <v/>
      </c>
      <c r="AB39" s="4" t="str">
        <f>IF(OR(K39="",Results!K7=""),"",IF(K39=Results!K7,1+IF(OR($O39=10,$P39=10,$Q39=10),1,0),0))</f>
        <v/>
      </c>
      <c r="AC39" s="4" t="str">
        <f>IF(OR(L39="",Results!L7=""),"",IF(L39=Results!L7,1+IF(OR($O39=11,$P39=11,$Q39=11),1,0),0))</f>
        <v/>
      </c>
      <c r="AD39" s="4" t="str">
        <f>IF(OR(M39="",Results!M7=""),"",IF(M39=Results!M7,1+IF(OR($O39=12,$P39=12,$Q39=12),1,0),0))</f>
        <v/>
      </c>
      <c r="AE39" s="4" t="str">
        <f>IF(OR(N39="",Results!N7=""),"",IF(N39=Results!N7,1+IF(OR($O39=13,$P39=13,$Q39=13),1,0),0))</f>
        <v/>
      </c>
      <c r="AF39" s="11">
        <f t="shared" si="2"/>
        <v>0</v>
      </c>
      <c r="AG39" s="4" t="str">
        <f>IF(OR($R39="",Results!O7=""),"",ABS($R39-Results!O7))</f>
        <v/>
      </c>
      <c r="AH39" s="12">
        <v>50</v>
      </c>
      <c r="AI39" s="13" t="str">
        <f>IF(OR(B39="",Results!B7=""),"",IF(AND(B39=Results!B7,Results!B7&lt;&gt;Games!$C$31),1,0))</f>
        <v/>
      </c>
      <c r="AJ39" s="13" t="str">
        <f>IF(OR(C39="",Results!C7=""),"",IF(AND(C39=Results!C7,Results!C7&lt;&gt;Games!$C$32),1,0))</f>
        <v/>
      </c>
      <c r="AK39" s="13" t="str">
        <f>IF(OR(D39="",Results!D7=""),"",IF(AND(D39=Results!D7,Results!D7&lt;&gt;Games!$C$33),1,0))</f>
        <v/>
      </c>
      <c r="AL39" s="13" t="str">
        <f>IF(OR(E39="",Results!E7=""),"",IF(AND(E39=Results!E7,Results!E7&lt;&gt;Games!$C$34),1,0))</f>
        <v/>
      </c>
      <c r="AM39" s="13" t="str">
        <f>IF(OR(F39="",Results!F7=""),"",IF(AND(F39=Results!F7,Results!F7&lt;&gt;Games!$C$35),1,0))</f>
        <v/>
      </c>
      <c r="AN39" s="13" t="str">
        <f>IF(OR(G39="",Results!G7=""),"",IF(AND(G39=Results!G7,Results!G7&lt;&gt;Games!$C$36),1,0))</f>
        <v/>
      </c>
      <c r="AO39" s="13" t="str">
        <f>IF(OR(H39="",Results!H7=""),"",IF(AND(H39=Results!H7,Results!H7&lt;&gt;Games!$C$37),1,0))</f>
        <v/>
      </c>
      <c r="AP39" s="13" t="str">
        <f>IF(OR(I39="",Results!I7=""),"",IF(AND(I39=Results!I7,Results!I7&lt;&gt;Games!$C$38),1,0))</f>
        <v/>
      </c>
      <c r="AQ39" s="13" t="str">
        <f>IF(OR(J39="",Results!J7=""),"",IF(AND(J39=Results!J7,Results!J7&lt;&gt;Games!$C$39),1,0))</f>
        <v/>
      </c>
      <c r="AR39" s="13" t="str">
        <f>IF(OR(K39="",Results!K7=""),"",IF(AND(K39=Results!K7,Results!K7&lt;&gt;Games!$C$40),1,0))</f>
        <v/>
      </c>
      <c r="AS39" s="13" t="str">
        <f>IF(OR(L39="",Results!L7=""),"",IF(AND(L39=Results!L7,Results!L7&lt;&gt;Games!$C$41),1,0))</f>
        <v/>
      </c>
      <c r="AT39" s="13" t="str">
        <f>IF(OR(M39="",Results!M7=""),"",IF(AND(M39=Results!M7,Results!M7&lt;&gt;Games!$C$42),1,0))</f>
        <v/>
      </c>
      <c r="AU39" s="13" t="str">
        <f>IF(OR(N39="",Results!N7=""),"",IF(AND(N39=Results!N7,Results!N7&lt;&gt;Games!$C$43),1,0))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 t="s">
        <v>255</v>
      </c>
      <c r="C40" s="5" t="s">
        <v>211</v>
      </c>
      <c r="D40" s="5" t="s">
        <v>258</v>
      </c>
      <c r="E40" s="5" t="s">
        <v>261</v>
      </c>
      <c r="F40" s="5" t="s">
        <v>262</v>
      </c>
      <c r="G40" s="5" t="s">
        <v>224</v>
      </c>
      <c r="H40" s="5" t="s">
        <v>266</v>
      </c>
      <c r="I40" s="5" t="s">
        <v>268</v>
      </c>
      <c r="J40" s="5" t="s">
        <v>269</v>
      </c>
      <c r="K40" s="5" t="s">
        <v>223</v>
      </c>
      <c r="L40" s="5" t="s">
        <v>271</v>
      </c>
      <c r="M40" s="5" t="s">
        <v>273</v>
      </c>
      <c r="N40" s="5" t="s">
        <v>191</v>
      </c>
      <c r="O40" s="5">
        <v>1</v>
      </c>
      <c r="P40" s="5">
        <v>3</v>
      </c>
      <c r="Q40" s="5">
        <v>12</v>
      </c>
      <c r="R40" s="5">
        <v>59</v>
      </c>
      <c r="S40" s="4" t="str">
        <f>IF(OR(B40="",Results!B7=""),"",IF(B40=Results!B7,1+IF(OR($O40=1,$P40=1,$Q40=1),1,0),0))</f>
        <v/>
      </c>
      <c r="T40" s="4" t="str">
        <f>IF(OR(C40="",Results!C7=""),"",IF(C40=Results!C7,1+IF(OR($O40=2,$P40=2,$Q40=2),1,0),0))</f>
        <v/>
      </c>
      <c r="U40" s="4" t="str">
        <f>IF(OR(D40="",Results!D7=""),"",IF(D40=Results!D7,1+IF(OR($O40=3,$P40=3,$Q40=3),1,0),0))</f>
        <v/>
      </c>
      <c r="V40" s="4" t="str">
        <f>IF(OR(E40="",Results!E7=""),"",IF(E40=Results!E7,1+IF(OR($O40=4,$P40=4,$Q40=4),1,0),0))</f>
        <v/>
      </c>
      <c r="W40" s="4" t="str">
        <f>IF(OR(F40="",Results!F7=""),"",IF(F40=Results!F7,1+IF(OR($O40=5,$P40=5,$Q40=5),1,0),0))</f>
        <v/>
      </c>
      <c r="X40" s="4" t="str">
        <f>IF(OR(G40="",Results!G7=""),"",IF(G40=Results!G7,1+IF(OR($O40=6,$P40=6,$Q40=6),1,0),0))</f>
        <v/>
      </c>
      <c r="Y40" s="4" t="str">
        <f>IF(OR(H40="",Results!H7=""),"",IF(H40=Results!H7,1+IF(OR($O40=7,$P40=7,$Q40=7),1,0),0))</f>
        <v/>
      </c>
      <c r="Z40" s="4" t="str">
        <f>IF(OR(I40="",Results!I7=""),"",IF(I40=Results!I7,1+IF(OR($O40=8,$P40=8,$Q40=8),1,0),0))</f>
        <v/>
      </c>
      <c r="AA40" s="4" t="str">
        <f>IF(OR(J40="",Results!J7=""),"",IF(J40=Results!J7,1+IF(OR($O40=9,$P40=9,$Q40=9),1,0),0))</f>
        <v/>
      </c>
      <c r="AB40" s="4" t="str">
        <f>IF(OR(K40="",Results!K7=""),"",IF(K40=Results!K7,1+IF(OR($O40=10,$P40=10,$Q40=10),1,0),0))</f>
        <v/>
      </c>
      <c r="AC40" s="4" t="str">
        <f>IF(OR(L40="",Results!L7=""),"",IF(L40=Results!L7,1+IF(OR($O40=11,$P40=11,$Q40=11),1,0),0))</f>
        <v/>
      </c>
      <c r="AD40" s="4" t="str">
        <f>IF(OR(M40="",Results!M7=""),"",IF(M40=Results!M7,1+IF(OR($O40=12,$P40=12,$Q40=12),1,0),0))</f>
        <v/>
      </c>
      <c r="AE40" s="4" t="str">
        <f>IF(OR(N40="",Results!N7=""),"",IF(N40=Results!N7,1+IF(OR($O40=13,$P40=13,$Q40=13),1,0),0))</f>
        <v/>
      </c>
      <c r="AF40" s="11">
        <f t="shared" si="2"/>
        <v>0</v>
      </c>
      <c r="AG40" s="4" t="str">
        <f>IF(OR($R40="",Results!O7=""),"",ABS($R40-Results!O7))</f>
        <v/>
      </c>
      <c r="AH40" s="12">
        <v>19</v>
      </c>
      <c r="AI40" s="13" t="str">
        <f>IF(OR(B40="",Results!B7=""),"",IF(AND(B40=Results!B7,Results!B7&lt;&gt;Games!$C$31),1,0))</f>
        <v/>
      </c>
      <c r="AJ40" s="13" t="str">
        <f>IF(OR(C40="",Results!C7=""),"",IF(AND(C40=Results!C7,Results!C7&lt;&gt;Games!$C$32),1,0))</f>
        <v/>
      </c>
      <c r="AK40" s="13" t="str">
        <f>IF(OR(D40="",Results!D7=""),"",IF(AND(D40=Results!D7,Results!D7&lt;&gt;Games!$C$33),1,0))</f>
        <v/>
      </c>
      <c r="AL40" s="13" t="str">
        <f>IF(OR(E40="",Results!E7=""),"",IF(AND(E40=Results!E7,Results!E7&lt;&gt;Games!$C$34),1,0))</f>
        <v/>
      </c>
      <c r="AM40" s="13" t="str">
        <f>IF(OR(F40="",Results!F7=""),"",IF(AND(F40=Results!F7,Results!F7&lt;&gt;Games!$C$35),1,0))</f>
        <v/>
      </c>
      <c r="AN40" s="13" t="str">
        <f>IF(OR(G40="",Results!G7=""),"",IF(AND(G40=Results!G7,Results!G7&lt;&gt;Games!$C$36),1,0))</f>
        <v/>
      </c>
      <c r="AO40" s="13" t="str">
        <f>IF(OR(H40="",Results!H7=""),"",IF(AND(H40=Results!H7,Results!H7&lt;&gt;Games!$C$37),1,0))</f>
        <v/>
      </c>
      <c r="AP40" s="13" t="str">
        <f>IF(OR(I40="",Results!I7=""),"",IF(AND(I40=Results!I7,Results!I7&lt;&gt;Games!$C$38),1,0))</f>
        <v/>
      </c>
      <c r="AQ40" s="13" t="str">
        <f>IF(OR(J40="",Results!J7=""),"",IF(AND(J40=Results!J7,Results!J7&lt;&gt;Games!$C$39),1,0))</f>
        <v/>
      </c>
      <c r="AR40" s="13" t="str">
        <f>IF(OR(K40="",Results!K7=""),"",IF(AND(K40=Results!K7,Results!K7&lt;&gt;Games!$C$40),1,0))</f>
        <v/>
      </c>
      <c r="AS40" s="13" t="str">
        <f>IF(OR(L40="",Results!L7=""),"",IF(AND(L40=Results!L7,Results!L7&lt;&gt;Games!$C$41),1,0))</f>
        <v/>
      </c>
      <c r="AT40" s="13" t="str">
        <f>IF(OR(M40="",Results!M7=""),"",IF(AND(M40=Results!M7,Results!M7&lt;&gt;Games!$C$42),1,0))</f>
        <v/>
      </c>
      <c r="AU40" s="13" t="str">
        <f>IF(OR(N40="",Results!N7=""),"",IF(AND(N40=Results!N7,Results!N7&lt;&gt;Games!$C$43),1,0))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IF(OR(B41="",Results!B7=""),"",IF(B41=Results!B7,1+IF(OR($O41=1,$P41=1,$Q41=1),1,0),0))</f>
        <v/>
      </c>
      <c r="T41" s="4" t="str">
        <f>IF(OR(C41="",Results!C7=""),"",IF(C41=Results!C7,1+IF(OR($O41=2,$P41=2,$Q41=2),1,0),0))</f>
        <v/>
      </c>
      <c r="U41" s="4" t="str">
        <f>IF(OR(D41="",Results!D7=""),"",IF(D41=Results!D7,1+IF(OR($O41=3,$P41=3,$Q41=3),1,0),0))</f>
        <v/>
      </c>
      <c r="V41" s="4" t="str">
        <f>IF(OR(E41="",Results!E7=""),"",IF(E41=Results!E7,1+IF(OR($O41=4,$P41=4,$Q41=4),1,0),0))</f>
        <v/>
      </c>
      <c r="W41" s="4" t="str">
        <f>IF(OR(F41="",Results!F7=""),"",IF(F41=Results!F7,1+IF(OR($O41=5,$P41=5,$Q41=5),1,0),0))</f>
        <v/>
      </c>
      <c r="X41" s="4" t="str">
        <f>IF(OR(G41="",Results!G7=""),"",IF(G41=Results!G7,1+IF(OR($O41=6,$P41=6,$Q41=6),1,0),0))</f>
        <v/>
      </c>
      <c r="Y41" s="4" t="str">
        <f>IF(OR(H41="",Results!H7=""),"",IF(H41=Results!H7,1+IF(OR($O41=7,$P41=7,$Q41=7),1,0),0))</f>
        <v/>
      </c>
      <c r="Z41" s="4" t="str">
        <f>IF(OR(I41="",Results!I7=""),"",IF(I41=Results!I7,1+IF(OR($O41=8,$P41=8,$Q41=8),1,0),0))</f>
        <v/>
      </c>
      <c r="AA41" s="4" t="str">
        <f>IF(OR(J41="",Results!J7=""),"",IF(J41=Results!J7,1+IF(OR($O41=9,$P41=9,$Q41=9),1,0),0))</f>
        <v/>
      </c>
      <c r="AB41" s="4" t="str">
        <f>IF(OR(K41="",Results!K7=""),"",IF(K41=Results!K7,1+IF(OR($O41=10,$P41=10,$Q41=10),1,0),0))</f>
        <v/>
      </c>
      <c r="AC41" s="4" t="str">
        <f>IF(OR(L41="",Results!L7=""),"",IF(L41=Results!L7,1+IF(OR($O41=11,$P41=11,$Q41=11),1,0),0))</f>
        <v/>
      </c>
      <c r="AD41" s="4" t="str">
        <f>IF(OR(M41="",Results!M7=""),"",IF(M41=Results!M7,1+IF(OR($O41=12,$P41=12,$Q41=12),1,0),0))</f>
        <v/>
      </c>
      <c r="AE41" s="4" t="str">
        <f>IF(OR(N41="",Results!N7=""),"",IF(N41=Results!N7,1+IF(OR($O41=13,$P41=13,$Q41=13),1,0),0))</f>
        <v/>
      </c>
      <c r="AF41" s="11">
        <f t="shared" si="2"/>
        <v>0</v>
      </c>
      <c r="AG41" s="4" t="str">
        <f>IF(OR($R41="",Results!O7=""),"",ABS($R41-Results!O7))</f>
        <v/>
      </c>
      <c r="AH41" s="12">
        <v>20</v>
      </c>
      <c r="AI41" s="13" t="str">
        <f>IF(OR(B41="",Results!B7=""),"",IF(AND(B41=Results!B7,Results!B7&lt;&gt;Games!$C$31),1,0))</f>
        <v/>
      </c>
      <c r="AJ41" s="13" t="str">
        <f>IF(OR(C41="",Results!C7=""),"",IF(AND(C41=Results!C7,Results!C7&lt;&gt;Games!$C$32),1,0))</f>
        <v/>
      </c>
      <c r="AK41" s="13" t="str">
        <f>IF(OR(D41="",Results!D7=""),"",IF(AND(D41=Results!D7,Results!D7&lt;&gt;Games!$C$33),1,0))</f>
        <v/>
      </c>
      <c r="AL41" s="13" t="str">
        <f>IF(OR(E41="",Results!E7=""),"",IF(AND(E41=Results!E7,Results!E7&lt;&gt;Games!$C$34),1,0))</f>
        <v/>
      </c>
      <c r="AM41" s="13" t="str">
        <f>IF(OR(F41="",Results!F7=""),"",IF(AND(F41=Results!F7,Results!F7&lt;&gt;Games!$C$35),1,0))</f>
        <v/>
      </c>
      <c r="AN41" s="13" t="str">
        <f>IF(OR(G41="",Results!G7=""),"",IF(AND(G41=Results!G7,Results!G7&lt;&gt;Games!$C$36),1,0))</f>
        <v/>
      </c>
      <c r="AO41" s="13" t="str">
        <f>IF(OR(H41="",Results!H7=""),"",IF(AND(H41=Results!H7,Results!H7&lt;&gt;Games!$C$37),1,0))</f>
        <v/>
      </c>
      <c r="AP41" s="13" t="str">
        <f>IF(OR(I41="",Results!I7=""),"",IF(AND(I41=Results!I7,Results!I7&lt;&gt;Games!$C$38),1,0))</f>
        <v/>
      </c>
      <c r="AQ41" s="13" t="str">
        <f>IF(OR(J41="",Results!J7=""),"",IF(AND(J41=Results!J7,Results!J7&lt;&gt;Games!$C$39),1,0))</f>
        <v/>
      </c>
      <c r="AR41" s="13" t="str">
        <f>IF(OR(K41="",Results!K7=""),"",IF(AND(K41=Results!K7,Results!K7&lt;&gt;Games!$C$40),1,0))</f>
        <v/>
      </c>
      <c r="AS41" s="13" t="str">
        <f>IF(OR(L41="",Results!L7=""),"",IF(AND(L41=Results!L7,Results!L7&lt;&gt;Games!$C$41),1,0))</f>
        <v/>
      </c>
      <c r="AT41" s="13" t="str">
        <f>IF(OR(M41="",Results!M7=""),"",IF(AND(M41=Results!M7,Results!M7&lt;&gt;Games!$C$42),1,0))</f>
        <v/>
      </c>
      <c r="AU41" s="13" t="str">
        <f>IF(OR(N41="",Results!N7=""),"",IF(AND(N41=Results!N7,Results!N7&lt;&gt;Games!$C$43),1,0))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 t="s">
        <v>255</v>
      </c>
      <c r="C42" s="5" t="s">
        <v>211</v>
      </c>
      <c r="D42" s="5" t="s">
        <v>258</v>
      </c>
      <c r="E42" s="5" t="s">
        <v>261</v>
      </c>
      <c r="F42" s="5" t="s">
        <v>262</v>
      </c>
      <c r="G42" s="5" t="s">
        <v>224</v>
      </c>
      <c r="H42" s="5" t="s">
        <v>266</v>
      </c>
      <c r="I42" s="5" t="s">
        <v>184</v>
      </c>
      <c r="J42" s="5" t="s">
        <v>269</v>
      </c>
      <c r="K42" s="5" t="s">
        <v>223</v>
      </c>
      <c r="L42" s="5" t="s">
        <v>271</v>
      </c>
      <c r="M42" s="5" t="s">
        <v>273</v>
      </c>
      <c r="N42" s="5" t="s">
        <v>276</v>
      </c>
      <c r="O42" s="5">
        <v>1</v>
      </c>
      <c r="P42" s="5">
        <v>3</v>
      </c>
      <c r="Q42" s="5">
        <v>12</v>
      </c>
      <c r="R42" s="5">
        <v>66</v>
      </c>
      <c r="S42" s="4" t="str">
        <f>IF(OR(B42="",Results!B7=""),"",IF(B42=Results!B7,1+IF(OR($O42=1,$P42=1,$Q42=1),1,0),0))</f>
        <v/>
      </c>
      <c r="T42" s="4" t="str">
        <f>IF(OR(C42="",Results!C7=""),"",IF(C42=Results!C7,1+IF(OR($O42=2,$P42=2,$Q42=2),1,0),0))</f>
        <v/>
      </c>
      <c r="U42" s="4" t="str">
        <f>IF(OR(D42="",Results!D7=""),"",IF(D42=Results!D7,1+IF(OR($O42=3,$P42=3,$Q42=3),1,0),0))</f>
        <v/>
      </c>
      <c r="V42" s="4" t="str">
        <f>IF(OR(E42="",Results!E7=""),"",IF(E42=Results!E7,1+IF(OR($O42=4,$P42=4,$Q42=4),1,0),0))</f>
        <v/>
      </c>
      <c r="W42" s="4" t="str">
        <f>IF(OR(F42="",Results!F7=""),"",IF(F42=Results!F7,1+IF(OR($O42=5,$P42=5,$Q42=5),1,0),0))</f>
        <v/>
      </c>
      <c r="X42" s="4" t="str">
        <f>IF(OR(G42="",Results!G7=""),"",IF(G42=Results!G7,1+IF(OR($O42=6,$P42=6,$Q42=6),1,0),0))</f>
        <v/>
      </c>
      <c r="Y42" s="4" t="str">
        <f>IF(OR(H42="",Results!H7=""),"",IF(H42=Results!H7,1+IF(OR($O42=7,$P42=7,$Q42=7),1,0),0))</f>
        <v/>
      </c>
      <c r="Z42" s="4" t="str">
        <f>IF(OR(I42="",Results!I7=""),"",IF(I42=Results!I7,1+IF(OR($O42=8,$P42=8,$Q42=8),1,0),0))</f>
        <v/>
      </c>
      <c r="AA42" s="4" t="str">
        <f>IF(OR(J42="",Results!J7=""),"",IF(J42=Results!J7,1+IF(OR($O42=9,$P42=9,$Q42=9),1,0),0))</f>
        <v/>
      </c>
      <c r="AB42" s="4" t="str">
        <f>IF(OR(K42="",Results!K7=""),"",IF(K42=Results!K7,1+IF(OR($O42=10,$P42=10,$Q42=10),1,0),0))</f>
        <v/>
      </c>
      <c r="AC42" s="4" t="str">
        <f>IF(OR(L42="",Results!L7=""),"",IF(L42=Results!L7,1+IF(OR($O42=11,$P42=11,$Q42=11),1,0),0))</f>
        <v/>
      </c>
      <c r="AD42" s="4" t="str">
        <f>IF(OR(M42="",Results!M7=""),"",IF(M42=Results!M7,1+IF(OR($O42=12,$P42=12,$Q42=12),1,0),0))</f>
        <v/>
      </c>
      <c r="AE42" s="4" t="str">
        <f>IF(OR(N42="",Results!N7=""),"",IF(N42=Results!N7,1+IF(OR($O42=13,$P42=13,$Q42=13),1,0),0))</f>
        <v/>
      </c>
      <c r="AF42" s="11">
        <f t="shared" si="2"/>
        <v>0</v>
      </c>
      <c r="AG42" s="4" t="str">
        <f>IF(OR($R42="",Results!O7=""),"",ABS($R42-Results!O7))</f>
        <v/>
      </c>
      <c r="AH42" s="12">
        <v>21</v>
      </c>
      <c r="AI42" s="13" t="str">
        <f>IF(OR(B42="",Results!B7=""),"",IF(AND(B42=Results!B7,Results!B7&lt;&gt;Games!$C$31),1,0))</f>
        <v/>
      </c>
      <c r="AJ42" s="13" t="str">
        <f>IF(OR(C42="",Results!C7=""),"",IF(AND(C42=Results!C7,Results!C7&lt;&gt;Games!$C$32),1,0))</f>
        <v/>
      </c>
      <c r="AK42" s="13" t="str">
        <f>IF(OR(D42="",Results!D7=""),"",IF(AND(D42=Results!D7,Results!D7&lt;&gt;Games!$C$33),1,0))</f>
        <v/>
      </c>
      <c r="AL42" s="13" t="str">
        <f>IF(OR(E42="",Results!E7=""),"",IF(AND(E42=Results!E7,Results!E7&lt;&gt;Games!$C$34),1,0))</f>
        <v/>
      </c>
      <c r="AM42" s="13" t="str">
        <f>IF(OR(F42="",Results!F7=""),"",IF(AND(F42=Results!F7,Results!F7&lt;&gt;Games!$C$35),1,0))</f>
        <v/>
      </c>
      <c r="AN42" s="13" t="str">
        <f>IF(OR(G42="",Results!G7=""),"",IF(AND(G42=Results!G7,Results!G7&lt;&gt;Games!$C$36),1,0))</f>
        <v/>
      </c>
      <c r="AO42" s="13" t="str">
        <f>IF(OR(H42="",Results!H7=""),"",IF(AND(H42=Results!H7,Results!H7&lt;&gt;Games!$C$37),1,0))</f>
        <v/>
      </c>
      <c r="AP42" s="13" t="str">
        <f>IF(OR(I42="",Results!I7=""),"",IF(AND(I42=Results!I7,Results!I7&lt;&gt;Games!$C$38),1,0))</f>
        <v/>
      </c>
      <c r="AQ42" s="13" t="str">
        <f>IF(OR(J42="",Results!J7=""),"",IF(AND(J42=Results!J7,Results!J7&lt;&gt;Games!$C$39),1,0))</f>
        <v/>
      </c>
      <c r="AR42" s="13" t="str">
        <f>IF(OR(K42="",Results!K7=""),"",IF(AND(K42=Results!K7,Results!K7&lt;&gt;Games!$C$40),1,0))</f>
        <v/>
      </c>
      <c r="AS42" s="13" t="str">
        <f>IF(OR(L42="",Results!L7=""),"",IF(AND(L42=Results!L7,Results!L7&lt;&gt;Games!$C$41),1,0))</f>
        <v/>
      </c>
      <c r="AT42" s="13" t="str">
        <f>IF(OR(M42="",Results!M7=""),"",IF(AND(M42=Results!M7,Results!M7&lt;&gt;Games!$C$42),1,0))</f>
        <v/>
      </c>
      <c r="AU42" s="13" t="str">
        <f>IF(OR(N42="",Results!N7=""),"",IF(AND(N42=Results!N7,Results!N7&lt;&gt;Games!$C$43),1,0))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 t="s">
        <v>255</v>
      </c>
      <c r="C43" s="5" t="s">
        <v>211</v>
      </c>
      <c r="D43" s="5" t="s">
        <v>258</v>
      </c>
      <c r="E43" s="5" t="s">
        <v>261</v>
      </c>
      <c r="F43" s="5" t="s">
        <v>262</v>
      </c>
      <c r="G43" s="5" t="s">
        <v>226</v>
      </c>
      <c r="H43" s="5" t="s">
        <v>266</v>
      </c>
      <c r="I43" s="5" t="s">
        <v>268</v>
      </c>
      <c r="J43" s="5" t="s">
        <v>202</v>
      </c>
      <c r="K43" s="5" t="s">
        <v>210</v>
      </c>
      <c r="L43" s="5" t="s">
        <v>272</v>
      </c>
      <c r="M43" s="5" t="s">
        <v>273</v>
      </c>
      <c r="N43" s="5" t="s">
        <v>191</v>
      </c>
      <c r="O43" s="5">
        <v>1</v>
      </c>
      <c r="P43" s="5">
        <v>7</v>
      </c>
      <c r="Q43" s="5">
        <v>12</v>
      </c>
      <c r="R43" s="5">
        <v>60</v>
      </c>
      <c r="S43" s="4" t="str">
        <f>IF(OR(B43="",Results!B7=""),"",IF(B43=Results!B7,1+IF(OR($O43=1,$P43=1,$Q43=1),1,0),0))</f>
        <v/>
      </c>
      <c r="T43" s="4" t="str">
        <f>IF(OR(C43="",Results!C7=""),"",IF(C43=Results!C7,1+IF(OR($O43=2,$P43=2,$Q43=2),1,0),0))</f>
        <v/>
      </c>
      <c r="U43" s="4" t="str">
        <f>IF(OR(D43="",Results!D7=""),"",IF(D43=Results!D7,1+IF(OR($O43=3,$P43=3,$Q43=3),1,0),0))</f>
        <v/>
      </c>
      <c r="V43" s="4" t="str">
        <f>IF(OR(E43="",Results!E7=""),"",IF(E43=Results!E7,1+IF(OR($O43=4,$P43=4,$Q43=4),1,0),0))</f>
        <v/>
      </c>
      <c r="W43" s="4" t="str">
        <f>IF(OR(F43="",Results!F7=""),"",IF(F43=Results!F7,1+IF(OR($O43=5,$P43=5,$Q43=5),1,0),0))</f>
        <v/>
      </c>
      <c r="X43" s="4" t="str">
        <f>IF(OR(G43="",Results!G7=""),"",IF(G43=Results!G7,1+IF(OR($O43=6,$P43=6,$Q43=6),1,0),0))</f>
        <v/>
      </c>
      <c r="Y43" s="4" t="str">
        <f>IF(OR(H43="",Results!H7=""),"",IF(H43=Results!H7,1+IF(OR($O43=7,$P43=7,$Q43=7),1,0),0))</f>
        <v/>
      </c>
      <c r="Z43" s="4" t="str">
        <f>IF(OR(I43="",Results!I7=""),"",IF(I43=Results!I7,1+IF(OR($O43=8,$P43=8,$Q43=8),1,0),0))</f>
        <v/>
      </c>
      <c r="AA43" s="4" t="str">
        <f>IF(OR(J43="",Results!J7=""),"",IF(J43=Results!J7,1+IF(OR($O43=9,$P43=9,$Q43=9),1,0),0))</f>
        <v/>
      </c>
      <c r="AB43" s="4" t="str">
        <f>IF(OR(K43="",Results!K7=""),"",IF(K43=Results!K7,1+IF(OR($O43=10,$P43=10,$Q43=10),1,0),0))</f>
        <v/>
      </c>
      <c r="AC43" s="4" t="str">
        <f>IF(OR(L43="",Results!L7=""),"",IF(L43=Results!L7,1+IF(OR($O43=11,$P43=11,$Q43=11),1,0),0))</f>
        <v/>
      </c>
      <c r="AD43" s="4" t="str">
        <f>IF(OR(M43="",Results!M7=""),"",IF(M43=Results!M7,1+IF(OR($O43=12,$P43=12,$Q43=12),1,0),0))</f>
        <v/>
      </c>
      <c r="AE43" s="4" t="str">
        <f>IF(OR(N43="",Results!N7=""),"",IF(N43=Results!N7,1+IF(OR($O43=13,$P43=13,$Q43=13),1,0),0))</f>
        <v/>
      </c>
      <c r="AF43" s="11">
        <f t="shared" si="2"/>
        <v>0</v>
      </c>
      <c r="AG43" s="4" t="str">
        <f>IF(OR($R43="",Results!O7=""),"",ABS($R43-Results!O7))</f>
        <v/>
      </c>
      <c r="AH43" s="12">
        <v>22</v>
      </c>
      <c r="AI43" s="13" t="str">
        <f>IF(OR(B43="",Results!B7=""),"",IF(AND(B43=Results!B7,Results!B7&lt;&gt;Games!$C$31),1,0))</f>
        <v/>
      </c>
      <c r="AJ43" s="13" t="str">
        <f>IF(OR(C43="",Results!C7=""),"",IF(AND(C43=Results!C7,Results!C7&lt;&gt;Games!$C$32),1,0))</f>
        <v/>
      </c>
      <c r="AK43" s="13" t="str">
        <f>IF(OR(D43="",Results!D7=""),"",IF(AND(D43=Results!D7,Results!D7&lt;&gt;Games!$C$33),1,0))</f>
        <v/>
      </c>
      <c r="AL43" s="13" t="str">
        <f>IF(OR(E43="",Results!E7=""),"",IF(AND(E43=Results!E7,Results!E7&lt;&gt;Games!$C$34),1,0))</f>
        <v/>
      </c>
      <c r="AM43" s="13" t="str">
        <f>IF(OR(F43="",Results!F7=""),"",IF(AND(F43=Results!F7,Results!F7&lt;&gt;Games!$C$35),1,0))</f>
        <v/>
      </c>
      <c r="AN43" s="13" t="str">
        <f>IF(OR(G43="",Results!G7=""),"",IF(AND(G43=Results!G7,Results!G7&lt;&gt;Games!$C$36),1,0))</f>
        <v/>
      </c>
      <c r="AO43" s="13" t="str">
        <f>IF(OR(H43="",Results!H7=""),"",IF(AND(H43=Results!H7,Results!H7&lt;&gt;Games!$C$37),1,0))</f>
        <v/>
      </c>
      <c r="AP43" s="13" t="str">
        <f>IF(OR(I43="",Results!I7=""),"",IF(AND(I43=Results!I7,Results!I7&lt;&gt;Games!$C$38),1,0))</f>
        <v/>
      </c>
      <c r="AQ43" s="13" t="str">
        <f>IF(OR(J43="",Results!J7=""),"",IF(AND(J43=Results!J7,Results!J7&lt;&gt;Games!$C$39),1,0))</f>
        <v/>
      </c>
      <c r="AR43" s="13" t="str">
        <f>IF(OR(K43="",Results!K7=""),"",IF(AND(K43=Results!K7,Results!K7&lt;&gt;Games!$C$40),1,0))</f>
        <v/>
      </c>
      <c r="AS43" s="13" t="str">
        <f>IF(OR(L43="",Results!L7=""),"",IF(AND(L43=Results!L7,Results!L7&lt;&gt;Games!$C$41),1,0))</f>
        <v/>
      </c>
      <c r="AT43" s="13" t="str">
        <f>IF(OR(M43="",Results!M7=""),"",IF(AND(M43=Results!M7,Results!M7&lt;&gt;Games!$C$42),1,0))</f>
        <v/>
      </c>
      <c r="AU43" s="13" t="str">
        <f>IF(OR(N43="",Results!N7=""),"",IF(AND(N43=Results!N7,Results!N7&lt;&gt;Games!$C$43),1,0))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 t="s">
        <v>255</v>
      </c>
      <c r="C44" s="5" t="s">
        <v>257</v>
      </c>
      <c r="D44" s="5" t="s">
        <v>258</v>
      </c>
      <c r="E44" s="5" t="s">
        <v>261</v>
      </c>
      <c r="F44" s="5" t="s">
        <v>262</v>
      </c>
      <c r="G44" s="5" t="s">
        <v>224</v>
      </c>
      <c r="H44" s="5" t="s">
        <v>239</v>
      </c>
      <c r="I44" s="5" t="s">
        <v>268</v>
      </c>
      <c r="J44" s="5" t="s">
        <v>269</v>
      </c>
      <c r="K44" s="5" t="s">
        <v>210</v>
      </c>
      <c r="L44" s="5" t="s">
        <v>271</v>
      </c>
      <c r="M44" s="5" t="s">
        <v>273</v>
      </c>
      <c r="N44" s="5" t="s">
        <v>191</v>
      </c>
      <c r="O44" s="5">
        <v>1</v>
      </c>
      <c r="P44" s="5">
        <v>3</v>
      </c>
      <c r="Q44" s="5">
        <v>12</v>
      </c>
      <c r="R44" s="5">
        <v>55</v>
      </c>
      <c r="S44" s="4" t="str">
        <f>IF(OR(B44="",Results!B7=""),"",IF(B44=Results!B7,1+IF(OR($O44=1,$P44=1,$Q44=1),1,0),0))</f>
        <v/>
      </c>
      <c r="T44" s="4" t="str">
        <f>IF(OR(C44="",Results!C7=""),"",IF(C44=Results!C7,1+IF(OR($O44=2,$P44=2,$Q44=2),1,0),0))</f>
        <v/>
      </c>
      <c r="U44" s="4" t="str">
        <f>IF(OR(D44="",Results!D7=""),"",IF(D44=Results!D7,1+IF(OR($O44=3,$P44=3,$Q44=3),1,0),0))</f>
        <v/>
      </c>
      <c r="V44" s="4" t="str">
        <f>IF(OR(E44="",Results!E7=""),"",IF(E44=Results!E7,1+IF(OR($O44=4,$P44=4,$Q44=4),1,0),0))</f>
        <v/>
      </c>
      <c r="W44" s="4" t="str">
        <f>IF(OR(F44="",Results!F7=""),"",IF(F44=Results!F7,1+IF(OR($O44=5,$P44=5,$Q44=5),1,0),0))</f>
        <v/>
      </c>
      <c r="X44" s="4" t="str">
        <f>IF(OR(G44="",Results!G7=""),"",IF(G44=Results!G7,1+IF(OR($O44=6,$P44=6,$Q44=6),1,0),0))</f>
        <v/>
      </c>
      <c r="Y44" s="4" t="str">
        <f>IF(OR(H44="",Results!H7=""),"",IF(H44=Results!H7,1+IF(OR($O44=7,$P44=7,$Q44=7),1,0),0))</f>
        <v/>
      </c>
      <c r="Z44" s="4" t="str">
        <f>IF(OR(I44="",Results!I7=""),"",IF(I44=Results!I7,1+IF(OR($O44=8,$P44=8,$Q44=8),1,0),0))</f>
        <v/>
      </c>
      <c r="AA44" s="4" t="str">
        <f>IF(OR(J44="",Results!J7=""),"",IF(J44=Results!J7,1+IF(OR($O44=9,$P44=9,$Q44=9),1,0),0))</f>
        <v/>
      </c>
      <c r="AB44" s="4" t="str">
        <f>IF(OR(K44="",Results!K7=""),"",IF(K44=Results!K7,1+IF(OR($O44=10,$P44=10,$Q44=10),1,0),0))</f>
        <v/>
      </c>
      <c r="AC44" s="4" t="str">
        <f>IF(OR(L44="",Results!L7=""),"",IF(L44=Results!L7,1+IF(OR($O44=11,$P44=11,$Q44=11),1,0),0))</f>
        <v/>
      </c>
      <c r="AD44" s="4" t="str">
        <f>IF(OR(M44="",Results!M7=""),"",IF(M44=Results!M7,1+IF(OR($O44=12,$P44=12,$Q44=12),1,0),0))</f>
        <v/>
      </c>
      <c r="AE44" s="4" t="str">
        <f>IF(OR(N44="",Results!N7=""),"",IF(N44=Results!N7,1+IF(OR($O44=13,$P44=13,$Q44=13),1,0),0))</f>
        <v/>
      </c>
      <c r="AF44" s="11">
        <f t="shared" si="2"/>
        <v>0</v>
      </c>
      <c r="AG44" s="4" t="str">
        <f>IF(OR($R44="",Results!O7=""),"",ABS($R44-Results!O7))</f>
        <v/>
      </c>
      <c r="AH44" s="12">
        <v>23</v>
      </c>
      <c r="AI44" s="13" t="str">
        <f>IF(OR(B44="",Results!B7=""),"",IF(AND(B44=Results!B7,Results!B7&lt;&gt;Games!$C$31),1,0))</f>
        <v/>
      </c>
      <c r="AJ44" s="13" t="str">
        <f>IF(OR(C44="",Results!C7=""),"",IF(AND(C44=Results!C7,Results!C7&lt;&gt;Games!$C$32),1,0))</f>
        <v/>
      </c>
      <c r="AK44" s="13" t="str">
        <f>IF(OR(D44="",Results!D7=""),"",IF(AND(D44=Results!D7,Results!D7&lt;&gt;Games!$C$33),1,0))</f>
        <v/>
      </c>
      <c r="AL44" s="13" t="str">
        <f>IF(OR(E44="",Results!E7=""),"",IF(AND(E44=Results!E7,Results!E7&lt;&gt;Games!$C$34),1,0))</f>
        <v/>
      </c>
      <c r="AM44" s="13" t="str">
        <f>IF(OR(F44="",Results!F7=""),"",IF(AND(F44=Results!F7,Results!F7&lt;&gt;Games!$C$35),1,0))</f>
        <v/>
      </c>
      <c r="AN44" s="13" t="str">
        <f>IF(OR(G44="",Results!G7=""),"",IF(AND(G44=Results!G7,Results!G7&lt;&gt;Games!$C$36),1,0))</f>
        <v/>
      </c>
      <c r="AO44" s="13" t="str">
        <f>IF(OR(H44="",Results!H7=""),"",IF(AND(H44=Results!H7,Results!H7&lt;&gt;Games!$C$37),1,0))</f>
        <v/>
      </c>
      <c r="AP44" s="13" t="str">
        <f>IF(OR(I44="",Results!I7=""),"",IF(AND(I44=Results!I7,Results!I7&lt;&gt;Games!$C$38),1,0))</f>
        <v/>
      </c>
      <c r="AQ44" s="13" t="str">
        <f>IF(OR(J44="",Results!J7=""),"",IF(AND(J44=Results!J7,Results!J7&lt;&gt;Games!$C$39),1,0))</f>
        <v/>
      </c>
      <c r="AR44" s="13" t="str">
        <f>IF(OR(K44="",Results!K7=""),"",IF(AND(K44=Results!K7,Results!K7&lt;&gt;Games!$C$40),1,0))</f>
        <v/>
      </c>
      <c r="AS44" s="13" t="str">
        <f>IF(OR(L44="",Results!L7=""),"",IF(AND(L44=Results!L7,Results!L7&lt;&gt;Games!$C$41),1,0))</f>
        <v/>
      </c>
      <c r="AT44" s="13" t="str">
        <f>IF(OR(M44="",Results!M7=""),"",IF(AND(M44=Results!M7,Results!M7&lt;&gt;Games!$C$42),1,0))</f>
        <v/>
      </c>
      <c r="AU44" s="13" t="str">
        <f>IF(OR(N44="",Results!N7=""),"",IF(AND(N44=Results!N7,Results!N7&lt;&gt;Games!$C$43),1,0))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IF(OR(B45="",Results!B7=""),"",IF(B45=Results!B7,1+IF(OR($O45=1,$P45=1,$Q45=1),1,0),0))</f>
        <v/>
      </c>
      <c r="T45" s="4" t="str">
        <f>IF(OR(C45="",Results!C7=""),"",IF(C45=Results!C7,1+IF(OR($O45=2,$P45=2,$Q45=2),1,0),0))</f>
        <v/>
      </c>
      <c r="U45" s="4" t="str">
        <f>IF(OR(D45="",Results!D7=""),"",IF(D45=Results!D7,1+IF(OR($O45=3,$P45=3,$Q45=3),1,0),0))</f>
        <v/>
      </c>
      <c r="V45" s="4" t="str">
        <f>IF(OR(E45="",Results!E7=""),"",IF(E45=Results!E7,1+IF(OR($O45=4,$P45=4,$Q45=4),1,0),0))</f>
        <v/>
      </c>
      <c r="W45" s="4" t="str">
        <f>IF(OR(F45="",Results!F7=""),"",IF(F45=Results!F7,1+IF(OR($O45=5,$P45=5,$Q45=5),1,0),0))</f>
        <v/>
      </c>
      <c r="X45" s="4" t="str">
        <f>IF(OR(G45="",Results!G7=""),"",IF(G45=Results!G7,1+IF(OR($O45=6,$P45=6,$Q45=6),1,0),0))</f>
        <v/>
      </c>
      <c r="Y45" s="4" t="str">
        <f>IF(OR(H45="",Results!H7=""),"",IF(H45=Results!H7,1+IF(OR($O45=7,$P45=7,$Q45=7),1,0),0))</f>
        <v/>
      </c>
      <c r="Z45" s="4" t="str">
        <f>IF(OR(I45="",Results!I7=""),"",IF(I45=Results!I7,1+IF(OR($O45=8,$P45=8,$Q45=8),1,0),0))</f>
        <v/>
      </c>
      <c r="AA45" s="4" t="str">
        <f>IF(OR(J45="",Results!J7=""),"",IF(J45=Results!J7,1+IF(OR($O45=9,$P45=9,$Q45=9),1,0),0))</f>
        <v/>
      </c>
      <c r="AB45" s="4" t="str">
        <f>IF(OR(K45="",Results!K7=""),"",IF(K45=Results!K7,1+IF(OR($O45=10,$P45=10,$Q45=10),1,0),0))</f>
        <v/>
      </c>
      <c r="AC45" s="4" t="str">
        <f>IF(OR(L45="",Results!L7=""),"",IF(L45=Results!L7,1+IF(OR($O45=11,$P45=11,$Q45=11),1,0),0))</f>
        <v/>
      </c>
      <c r="AD45" s="4" t="str">
        <f>IF(OR(M45="",Results!M7=""),"",IF(M45=Results!M7,1+IF(OR($O45=12,$P45=12,$Q45=12),1,0),0))</f>
        <v/>
      </c>
      <c r="AE45" s="4" t="str">
        <f>IF(OR(N45="",Results!N7=""),"",IF(N45=Results!N7,1+IF(OR($O45=13,$P45=13,$Q45=13),1,0),0))</f>
        <v/>
      </c>
      <c r="AF45" s="11">
        <f t="shared" si="2"/>
        <v>0</v>
      </c>
      <c r="AG45" s="4" t="str">
        <f>IF(OR($R45="",Results!O7=""),"",ABS($R45-Results!O7))</f>
        <v/>
      </c>
      <c r="AH45" s="12">
        <v>24</v>
      </c>
      <c r="AI45" s="13" t="str">
        <f>IF(OR(B45="",Results!B7=""),"",IF(AND(B45=Results!B7,Results!B7&lt;&gt;Games!$C$31),1,0))</f>
        <v/>
      </c>
      <c r="AJ45" s="13" t="str">
        <f>IF(OR(C45="",Results!C7=""),"",IF(AND(C45=Results!C7,Results!C7&lt;&gt;Games!$C$32),1,0))</f>
        <v/>
      </c>
      <c r="AK45" s="13" t="str">
        <f>IF(OR(D45="",Results!D7=""),"",IF(AND(D45=Results!D7,Results!D7&lt;&gt;Games!$C$33),1,0))</f>
        <v/>
      </c>
      <c r="AL45" s="13" t="str">
        <f>IF(OR(E45="",Results!E7=""),"",IF(AND(E45=Results!E7,Results!E7&lt;&gt;Games!$C$34),1,0))</f>
        <v/>
      </c>
      <c r="AM45" s="13" t="str">
        <f>IF(OR(F45="",Results!F7=""),"",IF(AND(F45=Results!F7,Results!F7&lt;&gt;Games!$C$35),1,0))</f>
        <v/>
      </c>
      <c r="AN45" s="13" t="str">
        <f>IF(OR(G45="",Results!G7=""),"",IF(AND(G45=Results!G7,Results!G7&lt;&gt;Games!$C$36),1,0))</f>
        <v/>
      </c>
      <c r="AO45" s="13" t="str">
        <f>IF(OR(H45="",Results!H7=""),"",IF(AND(H45=Results!H7,Results!H7&lt;&gt;Games!$C$37),1,0))</f>
        <v/>
      </c>
      <c r="AP45" s="13" t="str">
        <f>IF(OR(I45="",Results!I7=""),"",IF(AND(I45=Results!I7,Results!I7&lt;&gt;Games!$C$38),1,0))</f>
        <v/>
      </c>
      <c r="AQ45" s="13" t="str">
        <f>IF(OR(J45="",Results!J7=""),"",IF(AND(J45=Results!J7,Results!J7&lt;&gt;Games!$C$39),1,0))</f>
        <v/>
      </c>
      <c r="AR45" s="13" t="str">
        <f>IF(OR(K45="",Results!K7=""),"",IF(AND(K45=Results!K7,Results!K7&lt;&gt;Games!$C$40),1,0))</f>
        <v/>
      </c>
      <c r="AS45" s="13" t="str">
        <f>IF(OR(L45="",Results!L7=""),"",IF(AND(L45=Results!L7,Results!L7&lt;&gt;Games!$C$41),1,0))</f>
        <v/>
      </c>
      <c r="AT45" s="13" t="str">
        <f>IF(OR(M45="",Results!M7=""),"",IF(AND(M45=Results!M7,Results!M7&lt;&gt;Games!$C$42),1,0))</f>
        <v/>
      </c>
      <c r="AU45" s="13" t="str">
        <f>IF(OR(N45="",Results!N7=""),"",IF(AND(N45=Results!N7,Results!N7&lt;&gt;Games!$C$43),1,0))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IF(OR(B46="",Results!B7=""),"",IF(B46=Results!B7,1+IF(OR($O46=1,$P46=1,$Q46=1),1,0),0))</f>
        <v/>
      </c>
      <c r="T46" s="4" t="str">
        <f>IF(OR(C46="",Results!C7=""),"",IF(C46=Results!C7,1+IF(OR($O46=2,$P46=2,$Q46=2),1,0),0))</f>
        <v/>
      </c>
      <c r="U46" s="4" t="str">
        <f>IF(OR(D46="",Results!D7=""),"",IF(D46=Results!D7,1+IF(OR($O46=3,$P46=3,$Q46=3),1,0),0))</f>
        <v/>
      </c>
      <c r="V46" s="4" t="str">
        <f>IF(OR(E46="",Results!E7=""),"",IF(E46=Results!E7,1+IF(OR($O46=4,$P46=4,$Q46=4),1,0),0))</f>
        <v/>
      </c>
      <c r="W46" s="4" t="str">
        <f>IF(OR(F46="",Results!F7=""),"",IF(F46=Results!F7,1+IF(OR($O46=5,$P46=5,$Q46=5),1,0),0))</f>
        <v/>
      </c>
      <c r="X46" s="4" t="str">
        <f>IF(OR(G46="",Results!G7=""),"",IF(G46=Results!G7,1+IF(OR($O46=6,$P46=6,$Q46=6),1,0),0))</f>
        <v/>
      </c>
      <c r="Y46" s="4" t="str">
        <f>IF(OR(H46="",Results!H7=""),"",IF(H46=Results!H7,1+IF(OR($O46=7,$P46=7,$Q46=7),1,0),0))</f>
        <v/>
      </c>
      <c r="Z46" s="4" t="str">
        <f>IF(OR(I46="",Results!I7=""),"",IF(I46=Results!I7,1+IF(OR($O46=8,$P46=8,$Q46=8),1,0),0))</f>
        <v/>
      </c>
      <c r="AA46" s="4" t="str">
        <f>IF(OR(J46="",Results!J7=""),"",IF(J46=Results!J7,1+IF(OR($O46=9,$P46=9,$Q46=9),1,0),0))</f>
        <v/>
      </c>
      <c r="AB46" s="4" t="str">
        <f>IF(OR(K46="",Results!K7=""),"",IF(K46=Results!K7,1+IF(OR($O46=10,$P46=10,$Q46=10),1,0),0))</f>
        <v/>
      </c>
      <c r="AC46" s="4" t="str">
        <f>IF(OR(L46="",Results!L7=""),"",IF(L46=Results!L7,1+IF(OR($O46=11,$P46=11,$Q46=11),1,0),0))</f>
        <v/>
      </c>
      <c r="AD46" s="4" t="str">
        <f>IF(OR(M46="",Results!M7=""),"",IF(M46=Results!M7,1+IF(OR($O46=12,$P46=12,$Q46=12),1,0),0))</f>
        <v/>
      </c>
      <c r="AE46" s="4" t="str">
        <f>IF(OR(N46="",Results!N7=""),"",IF(N46=Results!N7,1+IF(OR($O46=13,$P46=13,$Q46=13),1,0),0))</f>
        <v/>
      </c>
      <c r="AF46" s="11">
        <f t="shared" si="2"/>
        <v>0</v>
      </c>
      <c r="AG46" s="4" t="str">
        <f>IF(OR($R46="",Results!O7=""),"",ABS($R46-Results!O7))</f>
        <v/>
      </c>
      <c r="AH46" s="12">
        <v>36</v>
      </c>
      <c r="AI46" s="13" t="str">
        <f>IF(OR(B46="",Results!B7=""),"",IF(AND(B46=Results!B7,Results!B7&lt;&gt;Games!$C$31),1,0))</f>
        <v/>
      </c>
      <c r="AJ46" s="13" t="str">
        <f>IF(OR(C46="",Results!C7=""),"",IF(AND(C46=Results!C7,Results!C7&lt;&gt;Games!$C$32),1,0))</f>
        <v/>
      </c>
      <c r="AK46" s="13" t="str">
        <f>IF(OR(D46="",Results!D7=""),"",IF(AND(D46=Results!D7,Results!D7&lt;&gt;Games!$C$33),1,0))</f>
        <v/>
      </c>
      <c r="AL46" s="13" t="str">
        <f>IF(OR(E46="",Results!E7=""),"",IF(AND(E46=Results!E7,Results!E7&lt;&gt;Games!$C$34),1,0))</f>
        <v/>
      </c>
      <c r="AM46" s="13" t="str">
        <f>IF(OR(F46="",Results!F7=""),"",IF(AND(F46=Results!F7,Results!F7&lt;&gt;Games!$C$35),1,0))</f>
        <v/>
      </c>
      <c r="AN46" s="13" t="str">
        <f>IF(OR(G46="",Results!G7=""),"",IF(AND(G46=Results!G7,Results!G7&lt;&gt;Games!$C$36),1,0))</f>
        <v/>
      </c>
      <c r="AO46" s="13" t="str">
        <f>IF(OR(H46="",Results!H7=""),"",IF(AND(H46=Results!H7,Results!H7&lt;&gt;Games!$C$37),1,0))</f>
        <v/>
      </c>
      <c r="AP46" s="13" t="str">
        <f>IF(OR(I46="",Results!I7=""),"",IF(AND(I46=Results!I7,Results!I7&lt;&gt;Games!$C$38),1,0))</f>
        <v/>
      </c>
      <c r="AQ46" s="13" t="str">
        <f>IF(OR(J46="",Results!J7=""),"",IF(AND(J46=Results!J7,Results!J7&lt;&gt;Games!$C$39),1,0))</f>
        <v/>
      </c>
      <c r="AR46" s="13" t="str">
        <f>IF(OR(K46="",Results!K7=""),"",IF(AND(K46=Results!K7,Results!K7&lt;&gt;Games!$C$40),1,0))</f>
        <v/>
      </c>
      <c r="AS46" s="13" t="str">
        <f>IF(OR(L46="",Results!L7=""),"",IF(AND(L46=Results!L7,Results!L7&lt;&gt;Games!$C$41),1,0))</f>
        <v/>
      </c>
      <c r="AT46" s="13" t="str">
        <f>IF(OR(M46="",Results!M7=""),"",IF(AND(M46=Results!M7,Results!M7&lt;&gt;Games!$C$42),1,0))</f>
        <v/>
      </c>
      <c r="AU46" s="13" t="str">
        <f>IF(OR(N46="",Results!N7=""),"",IF(AND(N46=Results!N7,Results!N7&lt;&gt;Games!$C$43),1,0))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 t="s">
        <v>255</v>
      </c>
      <c r="C47" s="5" t="s">
        <v>211</v>
      </c>
      <c r="D47" s="5" t="s">
        <v>231</v>
      </c>
      <c r="E47" s="5" t="s">
        <v>260</v>
      </c>
      <c r="F47" s="5" t="s">
        <v>262</v>
      </c>
      <c r="G47" s="5" t="s">
        <v>226</v>
      </c>
      <c r="H47" s="5" t="s">
        <v>239</v>
      </c>
      <c r="I47" s="5" t="s">
        <v>184</v>
      </c>
      <c r="J47" s="5" t="s">
        <v>269</v>
      </c>
      <c r="K47" s="5" t="s">
        <v>210</v>
      </c>
      <c r="L47" s="5" t="s">
        <v>271</v>
      </c>
      <c r="M47" s="5" t="s">
        <v>274</v>
      </c>
      <c r="N47" s="5" t="s">
        <v>191</v>
      </c>
      <c r="O47" s="5">
        <v>1</v>
      </c>
      <c r="P47" s="5">
        <v>9</v>
      </c>
      <c r="Q47" s="5">
        <v>13</v>
      </c>
      <c r="R47" s="5">
        <v>55</v>
      </c>
      <c r="S47" s="4" t="str">
        <f>IF(OR(B47="",Results!B7=""),"",IF(B47=Results!B7,1+IF(OR($O47=1,$P47=1,$Q47=1),1,0),0))</f>
        <v/>
      </c>
      <c r="T47" s="4" t="str">
        <f>IF(OR(C47="",Results!C7=""),"",IF(C47=Results!C7,1+IF(OR($O47=2,$P47=2,$Q47=2),1,0),0))</f>
        <v/>
      </c>
      <c r="U47" s="4" t="str">
        <f>IF(OR(D47="",Results!D7=""),"",IF(D47=Results!D7,1+IF(OR($O47=3,$P47=3,$Q47=3),1,0),0))</f>
        <v/>
      </c>
      <c r="V47" s="4" t="str">
        <f>IF(OR(E47="",Results!E7=""),"",IF(E47=Results!E7,1+IF(OR($O47=4,$P47=4,$Q47=4),1,0),0))</f>
        <v/>
      </c>
      <c r="W47" s="4" t="str">
        <f>IF(OR(F47="",Results!F7=""),"",IF(F47=Results!F7,1+IF(OR($O47=5,$P47=5,$Q47=5),1,0),0))</f>
        <v/>
      </c>
      <c r="X47" s="4" t="str">
        <f>IF(OR(G47="",Results!G7=""),"",IF(G47=Results!G7,1+IF(OR($O47=6,$P47=6,$Q47=6),1,0),0))</f>
        <v/>
      </c>
      <c r="Y47" s="4" t="str">
        <f>IF(OR(H47="",Results!H7=""),"",IF(H47=Results!H7,1+IF(OR($O47=7,$P47=7,$Q47=7),1,0),0))</f>
        <v/>
      </c>
      <c r="Z47" s="4" t="str">
        <f>IF(OR(I47="",Results!I7=""),"",IF(I47=Results!I7,1+IF(OR($O47=8,$P47=8,$Q47=8),1,0),0))</f>
        <v/>
      </c>
      <c r="AA47" s="4" t="str">
        <f>IF(OR(J47="",Results!J7=""),"",IF(J47=Results!J7,1+IF(OR($O47=9,$P47=9,$Q47=9),1,0),0))</f>
        <v/>
      </c>
      <c r="AB47" s="4" t="str">
        <f>IF(OR(K47="",Results!K7=""),"",IF(K47=Results!K7,1+IF(OR($O47=10,$P47=10,$Q47=10),1,0),0))</f>
        <v/>
      </c>
      <c r="AC47" s="4" t="str">
        <f>IF(OR(L47="",Results!L7=""),"",IF(L47=Results!L7,1+IF(OR($O47=11,$P47=11,$Q47=11),1,0),0))</f>
        <v/>
      </c>
      <c r="AD47" s="4" t="str">
        <f>IF(OR(M47="",Results!M7=""),"",IF(M47=Results!M7,1+IF(OR($O47=12,$P47=12,$Q47=12),1,0),0))</f>
        <v/>
      </c>
      <c r="AE47" s="4" t="str">
        <f>IF(OR(N47="",Results!N7=""),"",IF(N47=Results!N7,1+IF(OR($O47=13,$P47=13,$Q47=13),1,0),0))</f>
        <v/>
      </c>
      <c r="AF47" s="11">
        <f t="shared" si="2"/>
        <v>0</v>
      </c>
      <c r="AG47" s="4" t="str">
        <f>IF(OR($R47="",Results!O7=""),"",ABS($R47-Results!O7))</f>
        <v/>
      </c>
      <c r="AH47" s="12">
        <v>25</v>
      </c>
      <c r="AI47" s="13" t="str">
        <f>IF(OR(B47="",Results!B7=""),"",IF(AND(B47=Results!B7,Results!B7&lt;&gt;Games!$C$31),1,0))</f>
        <v/>
      </c>
      <c r="AJ47" s="13" t="str">
        <f>IF(OR(C47="",Results!C7=""),"",IF(AND(C47=Results!C7,Results!C7&lt;&gt;Games!$C$32),1,0))</f>
        <v/>
      </c>
      <c r="AK47" s="13" t="str">
        <f>IF(OR(D47="",Results!D7=""),"",IF(AND(D47=Results!D7,Results!D7&lt;&gt;Games!$C$33),1,0))</f>
        <v/>
      </c>
      <c r="AL47" s="13" t="str">
        <f>IF(OR(E47="",Results!E7=""),"",IF(AND(E47=Results!E7,Results!E7&lt;&gt;Games!$C$34),1,0))</f>
        <v/>
      </c>
      <c r="AM47" s="13" t="str">
        <f>IF(OR(F47="",Results!F7=""),"",IF(AND(F47=Results!F7,Results!F7&lt;&gt;Games!$C$35),1,0))</f>
        <v/>
      </c>
      <c r="AN47" s="13" t="str">
        <f>IF(OR(G47="",Results!G7=""),"",IF(AND(G47=Results!G7,Results!G7&lt;&gt;Games!$C$36),1,0))</f>
        <v/>
      </c>
      <c r="AO47" s="13" t="str">
        <f>IF(OR(H47="",Results!H7=""),"",IF(AND(H47=Results!H7,Results!H7&lt;&gt;Games!$C$37),1,0))</f>
        <v/>
      </c>
      <c r="AP47" s="13" t="str">
        <f>IF(OR(I47="",Results!I7=""),"",IF(AND(I47=Results!I7,Results!I7&lt;&gt;Games!$C$38),1,0))</f>
        <v/>
      </c>
      <c r="AQ47" s="13" t="str">
        <f>IF(OR(J47="",Results!J7=""),"",IF(AND(J47=Results!J7,Results!J7&lt;&gt;Games!$C$39),1,0))</f>
        <v/>
      </c>
      <c r="AR47" s="13" t="str">
        <f>IF(OR(K47="",Results!K7=""),"",IF(AND(K47=Results!K7,Results!K7&lt;&gt;Games!$C$40),1,0))</f>
        <v/>
      </c>
      <c r="AS47" s="13" t="str">
        <f>IF(OR(L47="",Results!L7=""),"",IF(AND(L47=Results!L7,Results!L7&lt;&gt;Games!$C$41),1,0))</f>
        <v/>
      </c>
      <c r="AT47" s="13" t="str">
        <f>IF(OR(M47="",Results!M7=""),"",IF(AND(M47=Results!M7,Results!M7&lt;&gt;Games!$C$42),1,0))</f>
        <v/>
      </c>
      <c r="AU47" s="13" t="str">
        <f>IF(OR(N47="",Results!N7=""),"",IF(AND(N47=Results!N7,Results!N7&lt;&gt;Games!$C$43),1,0))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IF(OR(B48="",Results!B7=""),"",IF(B48=Results!B7,1+IF(OR($O48=1,$P48=1,$Q48=1),1,0),0))</f>
        <v/>
      </c>
      <c r="T48" s="4" t="str">
        <f>IF(OR(C48="",Results!C7=""),"",IF(C48=Results!C7,1+IF(OR($O48=2,$P48=2,$Q48=2),1,0),0))</f>
        <v/>
      </c>
      <c r="U48" s="4" t="str">
        <f>IF(OR(D48="",Results!D7=""),"",IF(D48=Results!D7,1+IF(OR($O48=3,$P48=3,$Q48=3),1,0),0))</f>
        <v/>
      </c>
      <c r="V48" s="4" t="str">
        <f>IF(OR(E48="",Results!E7=""),"",IF(E48=Results!E7,1+IF(OR($O48=4,$P48=4,$Q48=4),1,0),0))</f>
        <v/>
      </c>
      <c r="W48" s="4" t="str">
        <f>IF(OR(F48="",Results!F7=""),"",IF(F48=Results!F7,1+IF(OR($O48=5,$P48=5,$Q48=5),1,0),0))</f>
        <v/>
      </c>
      <c r="X48" s="4" t="str">
        <f>IF(OR(G48="",Results!G7=""),"",IF(G48=Results!G7,1+IF(OR($O48=6,$P48=6,$Q48=6),1,0),0))</f>
        <v/>
      </c>
      <c r="Y48" s="4" t="str">
        <f>IF(OR(H48="",Results!H7=""),"",IF(H48=Results!H7,1+IF(OR($O48=7,$P48=7,$Q48=7),1,0),0))</f>
        <v/>
      </c>
      <c r="Z48" s="4" t="str">
        <f>IF(OR(I48="",Results!I7=""),"",IF(I48=Results!I7,1+IF(OR($O48=8,$P48=8,$Q48=8),1,0),0))</f>
        <v/>
      </c>
      <c r="AA48" s="4" t="str">
        <f>IF(OR(J48="",Results!J7=""),"",IF(J48=Results!J7,1+IF(OR($O48=9,$P48=9,$Q48=9),1,0),0))</f>
        <v/>
      </c>
      <c r="AB48" s="4" t="str">
        <f>IF(OR(K48="",Results!K7=""),"",IF(K48=Results!K7,1+IF(OR($O48=10,$P48=10,$Q48=10),1,0),0))</f>
        <v/>
      </c>
      <c r="AC48" s="4" t="str">
        <f>IF(OR(L48="",Results!L7=""),"",IF(L48=Results!L7,1+IF(OR($O48=11,$P48=11,$Q48=11),1,0),0))</f>
        <v/>
      </c>
      <c r="AD48" s="4" t="str">
        <f>IF(OR(M48="",Results!M7=""),"",IF(M48=Results!M7,1+IF(OR($O48=12,$P48=12,$Q48=12),1,0),0))</f>
        <v/>
      </c>
      <c r="AE48" s="4" t="str">
        <f>IF(OR(N48="",Results!N7=""),"",IF(N48=Results!N7,1+IF(OR($O48=13,$P48=13,$Q48=13),1,0),0))</f>
        <v/>
      </c>
      <c r="AF48" s="11">
        <f t="shared" si="2"/>
        <v>0</v>
      </c>
      <c r="AG48" s="4" t="str">
        <f>IF(OR($R48="",Results!O7=""),"",ABS($R48-Results!O7))</f>
        <v/>
      </c>
      <c r="AH48" s="12">
        <v>56</v>
      </c>
      <c r="AI48" s="13" t="str">
        <f>IF(OR(B48="",Results!B7=""),"",IF(AND(B48=Results!B7,Results!B7&lt;&gt;Games!$C$31),1,0))</f>
        <v/>
      </c>
      <c r="AJ48" s="13" t="str">
        <f>IF(OR(C48="",Results!C7=""),"",IF(AND(C48=Results!C7,Results!C7&lt;&gt;Games!$C$32),1,0))</f>
        <v/>
      </c>
      <c r="AK48" s="13" t="str">
        <f>IF(OR(D48="",Results!D7=""),"",IF(AND(D48=Results!D7,Results!D7&lt;&gt;Games!$C$33),1,0))</f>
        <v/>
      </c>
      <c r="AL48" s="13" t="str">
        <f>IF(OR(E48="",Results!E7=""),"",IF(AND(E48=Results!E7,Results!E7&lt;&gt;Games!$C$34),1,0))</f>
        <v/>
      </c>
      <c r="AM48" s="13" t="str">
        <f>IF(OR(F48="",Results!F7=""),"",IF(AND(F48=Results!F7,Results!F7&lt;&gt;Games!$C$35),1,0))</f>
        <v/>
      </c>
      <c r="AN48" s="13" t="str">
        <f>IF(OR(G48="",Results!G7=""),"",IF(AND(G48=Results!G7,Results!G7&lt;&gt;Games!$C$36),1,0))</f>
        <v/>
      </c>
      <c r="AO48" s="13" t="str">
        <f>IF(OR(H48="",Results!H7=""),"",IF(AND(H48=Results!H7,Results!H7&lt;&gt;Games!$C$37),1,0))</f>
        <v/>
      </c>
      <c r="AP48" s="13" t="str">
        <f>IF(OR(I48="",Results!I7=""),"",IF(AND(I48=Results!I7,Results!I7&lt;&gt;Games!$C$38),1,0))</f>
        <v/>
      </c>
      <c r="AQ48" s="13" t="str">
        <f>IF(OR(J48="",Results!J7=""),"",IF(AND(J48=Results!J7,Results!J7&lt;&gt;Games!$C$39),1,0))</f>
        <v/>
      </c>
      <c r="AR48" s="13" t="str">
        <f>IF(OR(K48="",Results!K7=""),"",IF(AND(K48=Results!K7,Results!K7&lt;&gt;Games!$C$40),1,0))</f>
        <v/>
      </c>
      <c r="AS48" s="13" t="str">
        <f>IF(OR(L48="",Results!L7=""),"",IF(AND(L48=Results!L7,Results!L7&lt;&gt;Games!$C$41),1,0))</f>
        <v/>
      </c>
      <c r="AT48" s="13" t="str">
        <f>IF(OR(M48="",Results!M7=""),"",IF(AND(M48=Results!M7,Results!M7&lt;&gt;Games!$C$42),1,0))</f>
        <v/>
      </c>
      <c r="AU48" s="13" t="str">
        <f>IF(OR(N48="",Results!N7=""),"",IF(AND(N48=Results!N7,Results!N7&lt;&gt;Games!$C$43),1,0))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 t="s">
        <v>256</v>
      </c>
      <c r="C49" s="5" t="s">
        <v>211</v>
      </c>
      <c r="D49" s="5" t="s">
        <v>258</v>
      </c>
      <c r="E49" s="5" t="s">
        <v>261</v>
      </c>
      <c r="F49" s="5" t="s">
        <v>263</v>
      </c>
      <c r="G49" s="5" t="s">
        <v>224</v>
      </c>
      <c r="H49" s="5" t="s">
        <v>239</v>
      </c>
      <c r="I49" s="5" t="s">
        <v>184</v>
      </c>
      <c r="J49" s="5" t="s">
        <v>202</v>
      </c>
      <c r="K49" s="5" t="s">
        <v>223</v>
      </c>
      <c r="L49" s="5" t="s">
        <v>271</v>
      </c>
      <c r="M49" s="5" t="s">
        <v>273</v>
      </c>
      <c r="N49" s="5" t="s">
        <v>191</v>
      </c>
      <c r="O49" s="5">
        <v>2</v>
      </c>
      <c r="P49" s="5">
        <v>3</v>
      </c>
      <c r="Q49" s="5">
        <v>12</v>
      </c>
      <c r="R49" s="5">
        <v>52</v>
      </c>
      <c r="S49" s="4" t="str">
        <f>IF(OR(B49="",Results!B7=""),"",IF(B49=Results!B7,1+IF(OR($O49=1,$P49=1,$Q49=1),1,0),0))</f>
        <v/>
      </c>
      <c r="T49" s="4" t="str">
        <f>IF(OR(C49="",Results!C7=""),"",IF(C49=Results!C7,1+IF(OR($O49=2,$P49=2,$Q49=2),1,0),0))</f>
        <v/>
      </c>
      <c r="U49" s="4" t="str">
        <f>IF(OR(D49="",Results!D7=""),"",IF(D49=Results!D7,1+IF(OR($O49=3,$P49=3,$Q49=3),1,0),0))</f>
        <v/>
      </c>
      <c r="V49" s="4" t="str">
        <f>IF(OR(E49="",Results!E7=""),"",IF(E49=Results!E7,1+IF(OR($O49=4,$P49=4,$Q49=4),1,0),0))</f>
        <v/>
      </c>
      <c r="W49" s="4" t="str">
        <f>IF(OR(F49="",Results!F7=""),"",IF(F49=Results!F7,1+IF(OR($O49=5,$P49=5,$Q49=5),1,0),0))</f>
        <v/>
      </c>
      <c r="X49" s="4" t="str">
        <f>IF(OR(G49="",Results!G7=""),"",IF(G49=Results!G7,1+IF(OR($O49=6,$P49=6,$Q49=6),1,0),0))</f>
        <v/>
      </c>
      <c r="Y49" s="4" t="str">
        <f>IF(OR(H49="",Results!H7=""),"",IF(H49=Results!H7,1+IF(OR($O49=7,$P49=7,$Q49=7),1,0),0))</f>
        <v/>
      </c>
      <c r="Z49" s="4" t="str">
        <f>IF(OR(I49="",Results!I7=""),"",IF(I49=Results!I7,1+IF(OR($O49=8,$P49=8,$Q49=8),1,0),0))</f>
        <v/>
      </c>
      <c r="AA49" s="4" t="str">
        <f>IF(OR(J49="",Results!J7=""),"",IF(J49=Results!J7,1+IF(OR($O49=9,$P49=9,$Q49=9),1,0),0))</f>
        <v/>
      </c>
      <c r="AB49" s="4" t="str">
        <f>IF(OR(K49="",Results!K7=""),"",IF(K49=Results!K7,1+IF(OR($O49=10,$P49=10,$Q49=10),1,0),0))</f>
        <v/>
      </c>
      <c r="AC49" s="4" t="str">
        <f>IF(OR(L49="",Results!L7=""),"",IF(L49=Results!L7,1+IF(OR($O49=11,$P49=11,$Q49=11),1,0),0))</f>
        <v/>
      </c>
      <c r="AD49" s="4" t="str">
        <f>IF(OR(M49="",Results!M7=""),"",IF(M49=Results!M7,1+IF(OR($O49=12,$P49=12,$Q49=12),1,0),0))</f>
        <v/>
      </c>
      <c r="AE49" s="4" t="str">
        <f>IF(OR(N49="",Results!N7=""),"",IF(N49=Results!N7,1+IF(OR($O49=13,$P49=13,$Q49=13),1,0),0))</f>
        <v/>
      </c>
      <c r="AF49" s="11">
        <f t="shared" si="2"/>
        <v>0</v>
      </c>
      <c r="AG49" s="4" t="str">
        <f>IF(OR($R49="",Results!O7=""),"",ABS($R49-Results!O7))</f>
        <v/>
      </c>
      <c r="AH49" s="12">
        <v>34</v>
      </c>
      <c r="AI49" s="13" t="str">
        <f>IF(OR(B49="",Results!B7=""),"",IF(AND(B49=Results!B7,Results!B7&lt;&gt;Games!$C$31),1,0))</f>
        <v/>
      </c>
      <c r="AJ49" s="13" t="str">
        <f>IF(OR(C49="",Results!C7=""),"",IF(AND(C49=Results!C7,Results!C7&lt;&gt;Games!$C$32),1,0))</f>
        <v/>
      </c>
      <c r="AK49" s="13" t="str">
        <f>IF(OR(D49="",Results!D7=""),"",IF(AND(D49=Results!D7,Results!D7&lt;&gt;Games!$C$33),1,0))</f>
        <v/>
      </c>
      <c r="AL49" s="13" t="str">
        <f>IF(OR(E49="",Results!E7=""),"",IF(AND(E49=Results!E7,Results!E7&lt;&gt;Games!$C$34),1,0))</f>
        <v/>
      </c>
      <c r="AM49" s="13" t="str">
        <f>IF(OR(F49="",Results!F7=""),"",IF(AND(F49=Results!F7,Results!F7&lt;&gt;Games!$C$35),1,0))</f>
        <v/>
      </c>
      <c r="AN49" s="13" t="str">
        <f>IF(OR(G49="",Results!G7=""),"",IF(AND(G49=Results!G7,Results!G7&lt;&gt;Games!$C$36),1,0))</f>
        <v/>
      </c>
      <c r="AO49" s="13" t="str">
        <f>IF(OR(H49="",Results!H7=""),"",IF(AND(H49=Results!H7,Results!H7&lt;&gt;Games!$C$37),1,0))</f>
        <v/>
      </c>
      <c r="AP49" s="13" t="str">
        <f>IF(OR(I49="",Results!I7=""),"",IF(AND(I49=Results!I7,Results!I7&lt;&gt;Games!$C$38),1,0))</f>
        <v/>
      </c>
      <c r="AQ49" s="13" t="str">
        <f>IF(OR(J49="",Results!J7=""),"",IF(AND(J49=Results!J7,Results!J7&lt;&gt;Games!$C$39),1,0))</f>
        <v/>
      </c>
      <c r="AR49" s="13" t="str">
        <f>IF(OR(K49="",Results!K7=""),"",IF(AND(K49=Results!K7,Results!K7&lt;&gt;Games!$C$40),1,0))</f>
        <v/>
      </c>
      <c r="AS49" s="13" t="str">
        <f>IF(OR(L49="",Results!L7=""),"",IF(AND(L49=Results!L7,Results!L7&lt;&gt;Games!$C$41),1,0))</f>
        <v/>
      </c>
      <c r="AT49" s="13" t="str">
        <f>IF(OR(M49="",Results!M7=""),"",IF(AND(M49=Results!M7,Results!M7&lt;&gt;Games!$C$42),1,0))</f>
        <v/>
      </c>
      <c r="AU49" s="13" t="str">
        <f>IF(OR(N49="",Results!N7=""),"",IF(AND(N49=Results!N7,Results!N7&lt;&gt;Games!$C$43),1,0))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IF(OR(B50="",Results!B7=""),"",IF(B50=Results!B7,1+IF(OR($O50=1,$P50=1,$Q50=1),1,0),0))</f>
        <v/>
      </c>
      <c r="T50" s="4" t="str">
        <f>IF(OR(C50="",Results!C7=""),"",IF(C50=Results!C7,1+IF(OR($O50=2,$P50=2,$Q50=2),1,0),0))</f>
        <v/>
      </c>
      <c r="U50" s="4" t="str">
        <f>IF(OR(D50="",Results!D7=""),"",IF(D50=Results!D7,1+IF(OR($O50=3,$P50=3,$Q50=3),1,0),0))</f>
        <v/>
      </c>
      <c r="V50" s="4" t="str">
        <f>IF(OR(E50="",Results!E7=""),"",IF(E50=Results!E7,1+IF(OR($O50=4,$P50=4,$Q50=4),1,0),0))</f>
        <v/>
      </c>
      <c r="W50" s="4" t="str">
        <f>IF(OR(F50="",Results!F7=""),"",IF(F50=Results!F7,1+IF(OR($O50=5,$P50=5,$Q50=5),1,0),0))</f>
        <v/>
      </c>
      <c r="X50" s="4" t="str">
        <f>IF(OR(G50="",Results!G7=""),"",IF(G50=Results!G7,1+IF(OR($O50=6,$P50=6,$Q50=6),1,0),0))</f>
        <v/>
      </c>
      <c r="Y50" s="4" t="str">
        <f>IF(OR(H50="",Results!H7=""),"",IF(H50=Results!H7,1+IF(OR($O50=7,$P50=7,$Q50=7),1,0),0))</f>
        <v/>
      </c>
      <c r="Z50" s="4" t="str">
        <f>IF(OR(I50="",Results!I7=""),"",IF(I50=Results!I7,1+IF(OR($O50=8,$P50=8,$Q50=8),1,0),0))</f>
        <v/>
      </c>
      <c r="AA50" s="4" t="str">
        <f>IF(OR(J50="",Results!J7=""),"",IF(J50=Results!J7,1+IF(OR($O50=9,$P50=9,$Q50=9),1,0),0))</f>
        <v/>
      </c>
      <c r="AB50" s="4" t="str">
        <f>IF(OR(K50="",Results!K7=""),"",IF(K50=Results!K7,1+IF(OR($O50=10,$P50=10,$Q50=10),1,0),0))</f>
        <v/>
      </c>
      <c r="AC50" s="4" t="str">
        <f>IF(OR(L50="",Results!L7=""),"",IF(L50=Results!L7,1+IF(OR($O50=11,$P50=11,$Q50=11),1,0),0))</f>
        <v/>
      </c>
      <c r="AD50" s="4" t="str">
        <f>IF(OR(M50="",Results!M7=""),"",IF(M50=Results!M7,1+IF(OR($O50=12,$P50=12,$Q50=12),1,0),0))</f>
        <v/>
      </c>
      <c r="AE50" s="4" t="str">
        <f>IF(OR(N50="",Results!N7=""),"",IF(N50=Results!N7,1+IF(OR($O50=13,$P50=13,$Q50=13),1,0),0))</f>
        <v/>
      </c>
      <c r="AF50" s="11">
        <f t="shared" si="2"/>
        <v>0</v>
      </c>
      <c r="AG50" s="4" t="str">
        <f>IF(OR($R50="",Results!O7=""),"",ABS($R50-Results!O7))</f>
        <v/>
      </c>
      <c r="AH50" s="12">
        <v>40</v>
      </c>
      <c r="AI50" s="13" t="str">
        <f>IF(OR(B50="",Results!B7=""),"",IF(AND(B50=Results!B7,Results!B7&lt;&gt;Games!$C$31),1,0))</f>
        <v/>
      </c>
      <c r="AJ50" s="13" t="str">
        <f>IF(OR(C50="",Results!C7=""),"",IF(AND(C50=Results!C7,Results!C7&lt;&gt;Games!$C$32),1,0))</f>
        <v/>
      </c>
      <c r="AK50" s="13" t="str">
        <f>IF(OR(D50="",Results!D7=""),"",IF(AND(D50=Results!D7,Results!D7&lt;&gt;Games!$C$33),1,0))</f>
        <v/>
      </c>
      <c r="AL50" s="13" t="str">
        <f>IF(OR(E50="",Results!E7=""),"",IF(AND(E50=Results!E7,Results!E7&lt;&gt;Games!$C$34),1,0))</f>
        <v/>
      </c>
      <c r="AM50" s="13" t="str">
        <f>IF(OR(F50="",Results!F7=""),"",IF(AND(F50=Results!F7,Results!F7&lt;&gt;Games!$C$35),1,0))</f>
        <v/>
      </c>
      <c r="AN50" s="13" t="str">
        <f>IF(OR(G50="",Results!G7=""),"",IF(AND(G50=Results!G7,Results!G7&lt;&gt;Games!$C$36),1,0))</f>
        <v/>
      </c>
      <c r="AO50" s="13" t="str">
        <f>IF(OR(H50="",Results!H7=""),"",IF(AND(H50=Results!H7,Results!H7&lt;&gt;Games!$C$37),1,0))</f>
        <v/>
      </c>
      <c r="AP50" s="13" t="str">
        <f>IF(OR(I50="",Results!I7=""),"",IF(AND(I50=Results!I7,Results!I7&lt;&gt;Games!$C$38),1,0))</f>
        <v/>
      </c>
      <c r="AQ50" s="13" t="str">
        <f>IF(OR(J50="",Results!J7=""),"",IF(AND(J50=Results!J7,Results!J7&lt;&gt;Games!$C$39),1,0))</f>
        <v/>
      </c>
      <c r="AR50" s="13" t="str">
        <f>IF(OR(K50="",Results!K7=""),"",IF(AND(K50=Results!K7,Results!K7&lt;&gt;Games!$C$40),1,0))</f>
        <v/>
      </c>
      <c r="AS50" s="13" t="str">
        <f>IF(OR(L50="",Results!L7=""),"",IF(AND(L50=Results!L7,Results!L7&lt;&gt;Games!$C$41),1,0))</f>
        <v/>
      </c>
      <c r="AT50" s="13" t="str">
        <f>IF(OR(M50="",Results!M7=""),"",IF(AND(M50=Results!M7,Results!M7&lt;&gt;Games!$C$42),1,0))</f>
        <v/>
      </c>
      <c r="AU50" s="13" t="str">
        <f>IF(OR(N50="",Results!N7=""),"",IF(AND(N50=Results!N7,Results!N7&lt;&gt;Games!$C$43),1,0))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IF(OR(B51="",Results!B7=""),"",IF(B51=Results!B7,1+IF(OR($O51=1,$P51=1,$Q51=1),1,0),0))</f>
        <v/>
      </c>
      <c r="T51" s="4" t="str">
        <f>IF(OR(C51="",Results!C7=""),"",IF(C51=Results!C7,1+IF(OR($O51=2,$P51=2,$Q51=2),1,0),0))</f>
        <v/>
      </c>
      <c r="U51" s="4" t="str">
        <f>IF(OR(D51="",Results!D7=""),"",IF(D51=Results!D7,1+IF(OR($O51=3,$P51=3,$Q51=3),1,0),0))</f>
        <v/>
      </c>
      <c r="V51" s="4" t="str">
        <f>IF(OR(E51="",Results!E7=""),"",IF(E51=Results!E7,1+IF(OR($O51=4,$P51=4,$Q51=4),1,0),0))</f>
        <v/>
      </c>
      <c r="W51" s="4" t="str">
        <f>IF(OR(F51="",Results!F7=""),"",IF(F51=Results!F7,1+IF(OR($O51=5,$P51=5,$Q51=5),1,0),0))</f>
        <v/>
      </c>
      <c r="X51" s="4" t="str">
        <f>IF(OR(G51="",Results!G7=""),"",IF(G51=Results!G7,1+IF(OR($O51=6,$P51=6,$Q51=6),1,0),0))</f>
        <v/>
      </c>
      <c r="Y51" s="4" t="str">
        <f>IF(OR(H51="",Results!H7=""),"",IF(H51=Results!H7,1+IF(OR($O51=7,$P51=7,$Q51=7),1,0),0))</f>
        <v/>
      </c>
      <c r="Z51" s="4" t="str">
        <f>IF(OR(I51="",Results!I7=""),"",IF(I51=Results!I7,1+IF(OR($O51=8,$P51=8,$Q51=8),1,0),0))</f>
        <v/>
      </c>
      <c r="AA51" s="4" t="str">
        <f>IF(OR(J51="",Results!J7=""),"",IF(J51=Results!J7,1+IF(OR($O51=9,$P51=9,$Q51=9),1,0),0))</f>
        <v/>
      </c>
      <c r="AB51" s="4" t="str">
        <f>IF(OR(K51="",Results!K7=""),"",IF(K51=Results!K7,1+IF(OR($O51=10,$P51=10,$Q51=10),1,0),0))</f>
        <v/>
      </c>
      <c r="AC51" s="4" t="str">
        <f>IF(OR(L51="",Results!L7=""),"",IF(L51=Results!L7,1+IF(OR($O51=11,$P51=11,$Q51=11),1,0),0))</f>
        <v/>
      </c>
      <c r="AD51" s="4" t="str">
        <f>IF(OR(M51="",Results!M7=""),"",IF(M51=Results!M7,1+IF(OR($O51=12,$P51=12,$Q51=12),1,0),0))</f>
        <v/>
      </c>
      <c r="AE51" s="4" t="str">
        <f>IF(OR(N51="",Results!N7=""),"",IF(N51=Results!N7,1+IF(OR($O51=13,$P51=13,$Q51=13),1,0),0))</f>
        <v/>
      </c>
      <c r="AF51" s="11">
        <f t="shared" si="2"/>
        <v>0</v>
      </c>
      <c r="AG51" s="4" t="str">
        <f>IF(OR($R51="",Results!O7=""),"",ABS($R51-Results!O7))</f>
        <v/>
      </c>
      <c r="AH51" s="12">
        <v>42</v>
      </c>
      <c r="AI51" s="13" t="str">
        <f>IF(OR(B51="",Results!B7=""),"",IF(AND(B51=Results!B7,Results!B7&lt;&gt;Games!$C$31),1,0))</f>
        <v/>
      </c>
      <c r="AJ51" s="13" t="str">
        <f>IF(OR(C51="",Results!C7=""),"",IF(AND(C51=Results!C7,Results!C7&lt;&gt;Games!$C$32),1,0))</f>
        <v/>
      </c>
      <c r="AK51" s="13" t="str">
        <f>IF(OR(D51="",Results!D7=""),"",IF(AND(D51=Results!D7,Results!D7&lt;&gt;Games!$C$33),1,0))</f>
        <v/>
      </c>
      <c r="AL51" s="13" t="str">
        <f>IF(OR(E51="",Results!E7=""),"",IF(AND(E51=Results!E7,Results!E7&lt;&gt;Games!$C$34),1,0))</f>
        <v/>
      </c>
      <c r="AM51" s="13" t="str">
        <f>IF(OR(F51="",Results!F7=""),"",IF(AND(F51=Results!F7,Results!F7&lt;&gt;Games!$C$35),1,0))</f>
        <v/>
      </c>
      <c r="AN51" s="13" t="str">
        <f>IF(OR(G51="",Results!G7=""),"",IF(AND(G51=Results!G7,Results!G7&lt;&gt;Games!$C$36),1,0))</f>
        <v/>
      </c>
      <c r="AO51" s="13" t="str">
        <f>IF(OR(H51="",Results!H7=""),"",IF(AND(H51=Results!H7,Results!H7&lt;&gt;Games!$C$37),1,0))</f>
        <v/>
      </c>
      <c r="AP51" s="13" t="str">
        <f>IF(OR(I51="",Results!I7=""),"",IF(AND(I51=Results!I7,Results!I7&lt;&gt;Games!$C$38),1,0))</f>
        <v/>
      </c>
      <c r="AQ51" s="13" t="str">
        <f>IF(OR(J51="",Results!J7=""),"",IF(AND(J51=Results!J7,Results!J7&lt;&gt;Games!$C$39),1,0))</f>
        <v/>
      </c>
      <c r="AR51" s="13" t="str">
        <f>IF(OR(K51="",Results!K7=""),"",IF(AND(K51=Results!K7,Results!K7&lt;&gt;Games!$C$40),1,0))</f>
        <v/>
      </c>
      <c r="AS51" s="13" t="str">
        <f>IF(OR(L51="",Results!L7=""),"",IF(AND(L51=Results!L7,Results!L7&lt;&gt;Games!$C$41),1,0))</f>
        <v/>
      </c>
      <c r="AT51" s="13" t="str">
        <f>IF(OR(M51="",Results!M7=""),"",IF(AND(M51=Results!M7,Results!M7&lt;&gt;Games!$C$42),1,0))</f>
        <v/>
      </c>
      <c r="AU51" s="13" t="str">
        <f>IF(OR(N51="",Results!N7=""),"",IF(AND(N51=Results!N7,Results!N7&lt;&gt;Games!$C$43),1,0))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 t="s">
        <v>211</v>
      </c>
      <c r="D52" s="5"/>
      <c r="E52" s="5"/>
      <c r="F52" s="5" t="s">
        <v>263</v>
      </c>
      <c r="G52" s="5" t="s">
        <v>226</v>
      </c>
      <c r="H52" s="5" t="s">
        <v>239</v>
      </c>
      <c r="I52" s="5"/>
      <c r="J52" s="5" t="s">
        <v>269</v>
      </c>
      <c r="K52" s="5" t="s">
        <v>223</v>
      </c>
      <c r="L52" s="5" t="s">
        <v>271</v>
      </c>
      <c r="M52" s="5" t="s">
        <v>273</v>
      </c>
      <c r="N52" s="5"/>
      <c r="O52" s="5"/>
      <c r="P52" s="5"/>
      <c r="Q52" s="5"/>
      <c r="R52" s="5"/>
      <c r="S52" s="4" t="str">
        <f>IF(OR(B52="",Results!B7=""),"",IF(B52=Results!B7,1+IF(OR($O52=1,$P52=1,$Q52=1),1,0),0))</f>
        <v/>
      </c>
      <c r="T52" s="4" t="str">
        <f>IF(OR(C52="",Results!C7=""),"",IF(C52=Results!C7,1+IF(OR($O52=2,$P52=2,$Q52=2),1,0),0))</f>
        <v/>
      </c>
      <c r="U52" s="4" t="str">
        <f>IF(OR(D52="",Results!D7=""),"",IF(D52=Results!D7,1+IF(OR($O52=3,$P52=3,$Q52=3),1,0),0))</f>
        <v/>
      </c>
      <c r="V52" s="4" t="str">
        <f>IF(OR(E52="",Results!E7=""),"",IF(E52=Results!E7,1+IF(OR($O52=4,$P52=4,$Q52=4),1,0),0))</f>
        <v/>
      </c>
      <c r="W52" s="4" t="str">
        <f>IF(OR(F52="",Results!F7=""),"",IF(F52=Results!F7,1+IF(OR($O52=5,$P52=5,$Q52=5),1,0),0))</f>
        <v/>
      </c>
      <c r="X52" s="4" t="str">
        <f>IF(OR(G52="",Results!G7=""),"",IF(G52=Results!G7,1+IF(OR($O52=6,$P52=6,$Q52=6),1,0),0))</f>
        <v/>
      </c>
      <c r="Y52" s="4" t="str">
        <f>IF(OR(H52="",Results!H7=""),"",IF(H52=Results!H7,1+IF(OR($O52=7,$P52=7,$Q52=7),1,0),0))</f>
        <v/>
      </c>
      <c r="Z52" s="4" t="str">
        <f>IF(OR(I52="",Results!I7=""),"",IF(I52=Results!I7,1+IF(OR($O52=8,$P52=8,$Q52=8),1,0),0))</f>
        <v/>
      </c>
      <c r="AA52" s="4" t="str">
        <f>IF(OR(J52="",Results!J7=""),"",IF(J52=Results!J7,1+IF(OR($O52=9,$P52=9,$Q52=9),1,0),0))</f>
        <v/>
      </c>
      <c r="AB52" s="4" t="str">
        <f>IF(OR(K52="",Results!K7=""),"",IF(K52=Results!K7,1+IF(OR($O52=10,$P52=10,$Q52=10),1,0),0))</f>
        <v/>
      </c>
      <c r="AC52" s="4" t="str">
        <f>IF(OR(L52="",Results!L7=""),"",IF(L52=Results!L7,1+IF(OR($O52=11,$P52=11,$Q52=11),1,0),0))</f>
        <v/>
      </c>
      <c r="AD52" s="4" t="str">
        <f>IF(OR(M52="",Results!M7=""),"",IF(M52=Results!M7,1+IF(OR($O52=12,$P52=12,$Q52=12),1,0),0))</f>
        <v/>
      </c>
      <c r="AE52" s="4" t="str">
        <f>IF(OR(N52="",Results!N7=""),"",IF(N52=Results!N7,1+IF(OR($O52=13,$P52=13,$Q52=13),1,0),0))</f>
        <v/>
      </c>
      <c r="AF52" s="11">
        <f t="shared" si="2"/>
        <v>0</v>
      </c>
      <c r="AG52" s="4" t="str">
        <f>IF(OR($R52="",Results!O7=""),"",ABS($R52-Results!O7))</f>
        <v/>
      </c>
      <c r="AH52" s="12">
        <v>27</v>
      </c>
      <c r="AI52" s="13" t="str">
        <f>IF(OR(B52="",Results!B7=""),"",IF(AND(B52=Results!B7,Results!B7&lt;&gt;Games!$C$31),1,0))</f>
        <v/>
      </c>
      <c r="AJ52" s="13" t="str">
        <f>IF(OR(C52="",Results!C7=""),"",IF(AND(C52=Results!C7,Results!C7&lt;&gt;Games!$C$32),1,0))</f>
        <v/>
      </c>
      <c r="AK52" s="13" t="str">
        <f>IF(OR(D52="",Results!D7=""),"",IF(AND(D52=Results!D7,Results!D7&lt;&gt;Games!$C$33),1,0))</f>
        <v/>
      </c>
      <c r="AL52" s="13" t="str">
        <f>IF(OR(E52="",Results!E7=""),"",IF(AND(E52=Results!E7,Results!E7&lt;&gt;Games!$C$34),1,0))</f>
        <v/>
      </c>
      <c r="AM52" s="13" t="str">
        <f>IF(OR(F52="",Results!F7=""),"",IF(AND(F52=Results!F7,Results!F7&lt;&gt;Games!$C$35),1,0))</f>
        <v/>
      </c>
      <c r="AN52" s="13" t="str">
        <f>IF(OR(G52="",Results!G7=""),"",IF(AND(G52=Results!G7,Results!G7&lt;&gt;Games!$C$36),1,0))</f>
        <v/>
      </c>
      <c r="AO52" s="13" t="str">
        <f>IF(OR(H52="",Results!H7=""),"",IF(AND(H52=Results!H7,Results!H7&lt;&gt;Games!$C$37),1,0))</f>
        <v/>
      </c>
      <c r="AP52" s="13" t="str">
        <f>IF(OR(I52="",Results!I7=""),"",IF(AND(I52=Results!I7,Results!I7&lt;&gt;Games!$C$38),1,0))</f>
        <v/>
      </c>
      <c r="AQ52" s="13" t="str">
        <f>IF(OR(J52="",Results!J7=""),"",IF(AND(J52=Results!J7,Results!J7&lt;&gt;Games!$C$39),1,0))</f>
        <v/>
      </c>
      <c r="AR52" s="13" t="str">
        <f>IF(OR(K52="",Results!K7=""),"",IF(AND(K52=Results!K7,Results!K7&lt;&gt;Games!$C$40),1,0))</f>
        <v/>
      </c>
      <c r="AS52" s="13" t="str">
        <f>IF(OR(L52="",Results!L7=""),"",IF(AND(L52=Results!L7,Results!L7&lt;&gt;Games!$C$41),1,0))</f>
        <v/>
      </c>
      <c r="AT52" s="13" t="str">
        <f>IF(OR(M52="",Results!M7=""),"",IF(AND(M52=Results!M7,Results!M7&lt;&gt;Games!$C$42),1,0))</f>
        <v/>
      </c>
      <c r="AU52" s="13" t="str">
        <f>IF(OR(N52="",Results!N7=""),"",IF(AND(N52=Results!N7,Results!N7&lt;&gt;Games!$C$43),1,0))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IF(OR(B53="",Results!B7=""),"",IF(B53=Results!B7,1+IF(OR($O53=1,$P53=1,$Q53=1),1,0),0))</f>
        <v/>
      </c>
      <c r="T53" s="4" t="str">
        <f>IF(OR(C53="",Results!C7=""),"",IF(C53=Results!C7,1+IF(OR($O53=2,$P53=2,$Q53=2),1,0),0))</f>
        <v/>
      </c>
      <c r="U53" s="4" t="str">
        <f>IF(OR(D53="",Results!D7=""),"",IF(D53=Results!D7,1+IF(OR($O53=3,$P53=3,$Q53=3),1,0),0))</f>
        <v/>
      </c>
      <c r="V53" s="4" t="str">
        <f>IF(OR(E53="",Results!E7=""),"",IF(E53=Results!E7,1+IF(OR($O53=4,$P53=4,$Q53=4),1,0),0))</f>
        <v/>
      </c>
      <c r="W53" s="4" t="str">
        <f>IF(OR(F53="",Results!F7=""),"",IF(F53=Results!F7,1+IF(OR($O53=5,$P53=5,$Q53=5),1,0),0))</f>
        <v/>
      </c>
      <c r="X53" s="4" t="str">
        <f>IF(OR(G53="",Results!G7=""),"",IF(G53=Results!G7,1+IF(OR($O53=6,$P53=6,$Q53=6),1,0),0))</f>
        <v/>
      </c>
      <c r="Y53" s="4" t="str">
        <f>IF(OR(H53="",Results!H7=""),"",IF(H53=Results!H7,1+IF(OR($O53=7,$P53=7,$Q53=7),1,0),0))</f>
        <v/>
      </c>
      <c r="Z53" s="4" t="str">
        <f>IF(OR(I53="",Results!I7=""),"",IF(I53=Results!I7,1+IF(OR($O53=8,$P53=8,$Q53=8),1,0),0))</f>
        <v/>
      </c>
      <c r="AA53" s="4" t="str">
        <f>IF(OR(J53="",Results!J7=""),"",IF(J53=Results!J7,1+IF(OR($O53=9,$P53=9,$Q53=9),1,0),0))</f>
        <v/>
      </c>
      <c r="AB53" s="4" t="str">
        <f>IF(OR(K53="",Results!K7=""),"",IF(K53=Results!K7,1+IF(OR($O53=10,$P53=10,$Q53=10),1,0),0))</f>
        <v/>
      </c>
      <c r="AC53" s="4" t="str">
        <f>IF(OR(L53="",Results!L7=""),"",IF(L53=Results!L7,1+IF(OR($O53=11,$P53=11,$Q53=11),1,0),0))</f>
        <v/>
      </c>
      <c r="AD53" s="4" t="str">
        <f>IF(OR(M53="",Results!M7=""),"",IF(M53=Results!M7,1+IF(OR($O53=12,$P53=12,$Q53=12),1,0),0))</f>
        <v/>
      </c>
      <c r="AE53" s="4" t="str">
        <f>IF(OR(N53="",Results!N7=""),"",IF(N53=Results!N7,1+IF(OR($O53=13,$P53=13,$Q53=13),1,0),0))</f>
        <v/>
      </c>
      <c r="AF53" s="11">
        <f t="shared" si="2"/>
        <v>0</v>
      </c>
      <c r="AG53" s="4" t="str">
        <f>IF(OR($R53="",Results!O7=""),"",ABS($R53-Results!O7))</f>
        <v/>
      </c>
      <c r="AH53" s="12">
        <v>35</v>
      </c>
      <c r="AI53" s="13" t="str">
        <f>IF(OR(B53="",Results!B7=""),"",IF(AND(B53=Results!B7,Results!B7&lt;&gt;Games!$C$31),1,0))</f>
        <v/>
      </c>
      <c r="AJ53" s="13" t="str">
        <f>IF(OR(C53="",Results!C7=""),"",IF(AND(C53=Results!C7,Results!C7&lt;&gt;Games!$C$32),1,0))</f>
        <v/>
      </c>
      <c r="AK53" s="13" t="str">
        <f>IF(OR(D53="",Results!D7=""),"",IF(AND(D53=Results!D7,Results!D7&lt;&gt;Games!$C$33),1,0))</f>
        <v/>
      </c>
      <c r="AL53" s="13" t="str">
        <f>IF(OR(E53="",Results!E7=""),"",IF(AND(E53=Results!E7,Results!E7&lt;&gt;Games!$C$34),1,0))</f>
        <v/>
      </c>
      <c r="AM53" s="13" t="str">
        <f>IF(OR(F53="",Results!F7=""),"",IF(AND(F53=Results!F7,Results!F7&lt;&gt;Games!$C$35),1,0))</f>
        <v/>
      </c>
      <c r="AN53" s="13" t="str">
        <f>IF(OR(G53="",Results!G7=""),"",IF(AND(G53=Results!G7,Results!G7&lt;&gt;Games!$C$36),1,0))</f>
        <v/>
      </c>
      <c r="AO53" s="13" t="str">
        <f>IF(OR(H53="",Results!H7=""),"",IF(AND(H53=Results!H7,Results!H7&lt;&gt;Games!$C$37),1,0))</f>
        <v/>
      </c>
      <c r="AP53" s="13" t="str">
        <f>IF(OR(I53="",Results!I7=""),"",IF(AND(I53=Results!I7,Results!I7&lt;&gt;Games!$C$38),1,0))</f>
        <v/>
      </c>
      <c r="AQ53" s="13" t="str">
        <f>IF(OR(J53="",Results!J7=""),"",IF(AND(J53=Results!J7,Results!J7&lt;&gt;Games!$C$39),1,0))</f>
        <v/>
      </c>
      <c r="AR53" s="13" t="str">
        <f>IF(OR(K53="",Results!K7=""),"",IF(AND(K53=Results!K7,Results!K7&lt;&gt;Games!$C$40),1,0))</f>
        <v/>
      </c>
      <c r="AS53" s="13" t="str">
        <f>IF(OR(L53="",Results!L7=""),"",IF(AND(L53=Results!L7,Results!L7&lt;&gt;Games!$C$41),1,0))</f>
        <v/>
      </c>
      <c r="AT53" s="13" t="str">
        <f>IF(OR(M53="",Results!M7=""),"",IF(AND(M53=Results!M7,Results!M7&lt;&gt;Games!$C$42),1,0))</f>
        <v/>
      </c>
      <c r="AU53" s="13" t="str">
        <f>IF(OR(N53="",Results!N7=""),"",IF(AND(N53=Results!N7,Results!N7&lt;&gt;Games!$C$43),1,0))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 t="s">
        <v>255</v>
      </c>
      <c r="C54" s="5" t="s">
        <v>211</v>
      </c>
      <c r="D54" s="5" t="s">
        <v>258</v>
      </c>
      <c r="E54" s="5" t="s">
        <v>261</v>
      </c>
      <c r="F54" s="5" t="s">
        <v>262</v>
      </c>
      <c r="G54" s="5" t="s">
        <v>224</v>
      </c>
      <c r="H54" s="5" t="s">
        <v>266</v>
      </c>
      <c r="I54" s="5" t="s">
        <v>184</v>
      </c>
      <c r="J54" s="5" t="s">
        <v>269</v>
      </c>
      <c r="K54" s="5" t="s">
        <v>223</v>
      </c>
      <c r="L54" s="5" t="s">
        <v>272</v>
      </c>
      <c r="M54" s="5" t="s">
        <v>273</v>
      </c>
      <c r="N54" s="5" t="s">
        <v>276</v>
      </c>
      <c r="O54" s="5">
        <v>1</v>
      </c>
      <c r="P54" s="5">
        <v>9</v>
      </c>
      <c r="Q54" s="5">
        <v>12</v>
      </c>
      <c r="R54" s="5">
        <v>58</v>
      </c>
      <c r="S54" s="4" t="str">
        <f>IF(OR(B54="",Results!B7=""),"",IF(B54=Results!B7,1+IF(OR($O54=1,$P54=1,$Q54=1),1,0),0))</f>
        <v/>
      </c>
      <c r="T54" s="4" t="str">
        <f>IF(OR(C54="",Results!C7=""),"",IF(C54=Results!C7,1+IF(OR($O54=2,$P54=2,$Q54=2),1,0),0))</f>
        <v/>
      </c>
      <c r="U54" s="4" t="str">
        <f>IF(OR(D54="",Results!D7=""),"",IF(D54=Results!D7,1+IF(OR($O54=3,$P54=3,$Q54=3),1,0),0))</f>
        <v/>
      </c>
      <c r="V54" s="4" t="str">
        <f>IF(OR(E54="",Results!E7=""),"",IF(E54=Results!E7,1+IF(OR($O54=4,$P54=4,$Q54=4),1,0),0))</f>
        <v/>
      </c>
      <c r="W54" s="4" t="str">
        <f>IF(OR(F54="",Results!F7=""),"",IF(F54=Results!F7,1+IF(OR($O54=5,$P54=5,$Q54=5),1,0),0))</f>
        <v/>
      </c>
      <c r="X54" s="4" t="str">
        <f>IF(OR(G54="",Results!G7=""),"",IF(G54=Results!G7,1+IF(OR($O54=6,$P54=6,$Q54=6),1,0),0))</f>
        <v/>
      </c>
      <c r="Y54" s="4" t="str">
        <f>IF(OR(H54="",Results!H7=""),"",IF(H54=Results!H7,1+IF(OR($O54=7,$P54=7,$Q54=7),1,0),0))</f>
        <v/>
      </c>
      <c r="Z54" s="4" t="str">
        <f>IF(OR(I54="",Results!I7=""),"",IF(I54=Results!I7,1+IF(OR($O54=8,$P54=8,$Q54=8),1,0),0))</f>
        <v/>
      </c>
      <c r="AA54" s="4" t="str">
        <f>IF(OR(J54="",Results!J7=""),"",IF(J54=Results!J7,1+IF(OR($O54=9,$P54=9,$Q54=9),1,0),0))</f>
        <v/>
      </c>
      <c r="AB54" s="4" t="str">
        <f>IF(OR(K54="",Results!K7=""),"",IF(K54=Results!K7,1+IF(OR($O54=10,$P54=10,$Q54=10),1,0),0))</f>
        <v/>
      </c>
      <c r="AC54" s="4" t="str">
        <f>IF(OR(L54="",Results!L7=""),"",IF(L54=Results!L7,1+IF(OR($O54=11,$P54=11,$Q54=11),1,0),0))</f>
        <v/>
      </c>
      <c r="AD54" s="4" t="str">
        <f>IF(OR(M54="",Results!M7=""),"",IF(M54=Results!M7,1+IF(OR($O54=12,$P54=12,$Q54=12),1,0),0))</f>
        <v/>
      </c>
      <c r="AE54" s="4" t="str">
        <f>IF(OR(N54="",Results!N7=""),"",IF(N54=Results!N7,1+IF(OR($O54=13,$P54=13,$Q54=13),1,0),0))</f>
        <v/>
      </c>
      <c r="AF54" s="11">
        <f t="shared" si="2"/>
        <v>0</v>
      </c>
      <c r="AG54" s="4" t="str">
        <f>IF(OR($R54="",Results!O7=""),"",ABS($R54-Results!O7))</f>
        <v/>
      </c>
      <c r="AH54" s="12">
        <v>43</v>
      </c>
      <c r="AI54" s="13" t="str">
        <f>IF(OR(B54="",Results!B7=""),"",IF(AND(B54=Results!B7,Results!B7&lt;&gt;Games!$C$31),1,0))</f>
        <v/>
      </c>
      <c r="AJ54" s="13" t="str">
        <f>IF(OR(C54="",Results!C7=""),"",IF(AND(C54=Results!C7,Results!C7&lt;&gt;Games!$C$32),1,0))</f>
        <v/>
      </c>
      <c r="AK54" s="13" t="str">
        <f>IF(OR(D54="",Results!D7=""),"",IF(AND(D54=Results!D7,Results!D7&lt;&gt;Games!$C$33),1,0))</f>
        <v/>
      </c>
      <c r="AL54" s="13" t="str">
        <f>IF(OR(E54="",Results!E7=""),"",IF(AND(E54=Results!E7,Results!E7&lt;&gt;Games!$C$34),1,0))</f>
        <v/>
      </c>
      <c r="AM54" s="13" t="str">
        <f>IF(OR(F54="",Results!F7=""),"",IF(AND(F54=Results!F7,Results!F7&lt;&gt;Games!$C$35),1,0))</f>
        <v/>
      </c>
      <c r="AN54" s="13" t="str">
        <f>IF(OR(G54="",Results!G7=""),"",IF(AND(G54=Results!G7,Results!G7&lt;&gt;Games!$C$36),1,0))</f>
        <v/>
      </c>
      <c r="AO54" s="13" t="str">
        <f>IF(OR(H54="",Results!H7=""),"",IF(AND(H54=Results!H7,Results!H7&lt;&gt;Games!$C$37),1,0))</f>
        <v/>
      </c>
      <c r="AP54" s="13" t="str">
        <f>IF(OR(I54="",Results!I7=""),"",IF(AND(I54=Results!I7,Results!I7&lt;&gt;Games!$C$38),1,0))</f>
        <v/>
      </c>
      <c r="AQ54" s="13" t="str">
        <f>IF(OR(J54="",Results!J7=""),"",IF(AND(J54=Results!J7,Results!J7&lt;&gt;Games!$C$39),1,0))</f>
        <v/>
      </c>
      <c r="AR54" s="13" t="str">
        <f>IF(OR(K54="",Results!K7=""),"",IF(AND(K54=Results!K7,Results!K7&lt;&gt;Games!$C$40),1,0))</f>
        <v/>
      </c>
      <c r="AS54" s="13" t="str">
        <f>IF(OR(L54="",Results!L7=""),"",IF(AND(L54=Results!L7,Results!L7&lt;&gt;Games!$C$41),1,0))</f>
        <v/>
      </c>
      <c r="AT54" s="13" t="str">
        <f>IF(OR(M54="",Results!M7=""),"",IF(AND(M54=Results!M7,Results!M7&lt;&gt;Games!$C$42),1,0))</f>
        <v/>
      </c>
      <c r="AU54" s="13" t="str">
        <f>IF(OR(N54="",Results!N7=""),"",IF(AND(N54=Results!N7,Results!N7&lt;&gt;Games!$C$43),1,0))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IF(OR(B55="",Results!B7=""),"",IF(B55=Results!B7,1+IF(OR($O55=1,$P55=1,$Q55=1),1,0),0))</f>
        <v/>
      </c>
      <c r="T55" s="4" t="str">
        <f>IF(OR(C55="",Results!C7=""),"",IF(C55=Results!C7,1+IF(OR($O55=2,$P55=2,$Q55=2),1,0),0))</f>
        <v/>
      </c>
      <c r="U55" s="4" t="str">
        <f>IF(OR(D55="",Results!D7=""),"",IF(D55=Results!D7,1+IF(OR($O55=3,$P55=3,$Q55=3),1,0),0))</f>
        <v/>
      </c>
      <c r="V55" s="4" t="str">
        <f>IF(OR(E55="",Results!E7=""),"",IF(E55=Results!E7,1+IF(OR($O55=4,$P55=4,$Q55=4),1,0),0))</f>
        <v/>
      </c>
      <c r="W55" s="4" t="str">
        <f>IF(OR(F55="",Results!F7=""),"",IF(F55=Results!F7,1+IF(OR($O55=5,$P55=5,$Q55=5),1,0),0))</f>
        <v/>
      </c>
      <c r="X55" s="4" t="str">
        <f>IF(OR(G55="",Results!G7=""),"",IF(G55=Results!G7,1+IF(OR($O55=6,$P55=6,$Q55=6),1,0),0))</f>
        <v/>
      </c>
      <c r="Y55" s="4" t="str">
        <f>IF(OR(H55="",Results!H7=""),"",IF(H55=Results!H7,1+IF(OR($O55=7,$P55=7,$Q55=7),1,0),0))</f>
        <v/>
      </c>
      <c r="Z55" s="4" t="str">
        <f>IF(OR(I55="",Results!I7=""),"",IF(I55=Results!I7,1+IF(OR($O55=8,$P55=8,$Q55=8),1,0),0))</f>
        <v/>
      </c>
      <c r="AA55" s="4" t="str">
        <f>IF(OR(J55="",Results!J7=""),"",IF(J55=Results!J7,1+IF(OR($O55=9,$P55=9,$Q55=9),1,0),0))</f>
        <v/>
      </c>
      <c r="AB55" s="4" t="str">
        <f>IF(OR(K55="",Results!K7=""),"",IF(K55=Results!K7,1+IF(OR($O55=10,$P55=10,$Q55=10),1,0),0))</f>
        <v/>
      </c>
      <c r="AC55" s="4" t="str">
        <f>IF(OR(L55="",Results!L7=""),"",IF(L55=Results!L7,1+IF(OR($O55=11,$P55=11,$Q55=11),1,0),0))</f>
        <v/>
      </c>
      <c r="AD55" s="4" t="str">
        <f>IF(OR(M55="",Results!M7=""),"",IF(M55=Results!M7,1+IF(OR($O55=12,$P55=12,$Q55=12),1,0),0))</f>
        <v/>
      </c>
      <c r="AE55" s="4" t="str">
        <f>IF(OR(N55="",Results!N7=""),"",IF(N55=Results!N7,1+IF(OR($O55=13,$P55=13,$Q55=13),1,0),0))</f>
        <v/>
      </c>
      <c r="AF55" s="11">
        <f t="shared" si="2"/>
        <v>0</v>
      </c>
      <c r="AG55" s="4" t="str">
        <f>IF(OR($R55="",Results!O7=""),"",ABS($R55-Results!O7))</f>
        <v/>
      </c>
      <c r="AH55" s="12">
        <v>44</v>
      </c>
      <c r="AI55" s="13" t="str">
        <f>IF(OR(B55="",Results!B7=""),"",IF(AND(B55=Results!B7,Results!B7&lt;&gt;Games!$C$31),1,0))</f>
        <v/>
      </c>
      <c r="AJ55" s="13" t="str">
        <f>IF(OR(C55="",Results!C7=""),"",IF(AND(C55=Results!C7,Results!C7&lt;&gt;Games!$C$32),1,0))</f>
        <v/>
      </c>
      <c r="AK55" s="13" t="str">
        <f>IF(OR(D55="",Results!D7=""),"",IF(AND(D55=Results!D7,Results!D7&lt;&gt;Games!$C$33),1,0))</f>
        <v/>
      </c>
      <c r="AL55" s="13" t="str">
        <f>IF(OR(E55="",Results!E7=""),"",IF(AND(E55=Results!E7,Results!E7&lt;&gt;Games!$C$34),1,0))</f>
        <v/>
      </c>
      <c r="AM55" s="13" t="str">
        <f>IF(OR(F55="",Results!F7=""),"",IF(AND(F55=Results!F7,Results!F7&lt;&gt;Games!$C$35),1,0))</f>
        <v/>
      </c>
      <c r="AN55" s="13" t="str">
        <f>IF(OR(G55="",Results!G7=""),"",IF(AND(G55=Results!G7,Results!G7&lt;&gt;Games!$C$36),1,0))</f>
        <v/>
      </c>
      <c r="AO55" s="13" t="str">
        <f>IF(OR(H55="",Results!H7=""),"",IF(AND(H55=Results!H7,Results!H7&lt;&gt;Games!$C$37),1,0))</f>
        <v/>
      </c>
      <c r="AP55" s="13" t="str">
        <f>IF(OR(I55="",Results!I7=""),"",IF(AND(I55=Results!I7,Results!I7&lt;&gt;Games!$C$38),1,0))</f>
        <v/>
      </c>
      <c r="AQ55" s="13" t="str">
        <f>IF(OR(J55="",Results!J7=""),"",IF(AND(J55=Results!J7,Results!J7&lt;&gt;Games!$C$39),1,0))</f>
        <v/>
      </c>
      <c r="AR55" s="13" t="str">
        <f>IF(OR(K55="",Results!K7=""),"",IF(AND(K55=Results!K7,Results!K7&lt;&gt;Games!$C$40),1,0))</f>
        <v/>
      </c>
      <c r="AS55" s="13" t="str">
        <f>IF(OR(L55="",Results!L7=""),"",IF(AND(L55=Results!L7,Results!L7&lt;&gt;Games!$C$41),1,0))</f>
        <v/>
      </c>
      <c r="AT55" s="13" t="str">
        <f>IF(OR(M55="",Results!M7=""),"",IF(AND(M55=Results!M7,Results!M7&lt;&gt;Games!$C$42),1,0))</f>
        <v/>
      </c>
      <c r="AU55" s="13" t="str">
        <f>IF(OR(N55="",Results!N7=""),"",IF(AND(N55=Results!N7,Results!N7&lt;&gt;Games!$C$43),1,0))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IF(OR(B56="",Results!B7=""),"",IF(B56=Results!B7,1+IF(OR($O56=1,$P56=1,$Q56=1),1,0),0))</f>
        <v/>
      </c>
      <c r="T56" s="4" t="str">
        <f>IF(OR(C56="",Results!C7=""),"",IF(C56=Results!C7,1+IF(OR($O56=2,$P56=2,$Q56=2),1,0),0))</f>
        <v/>
      </c>
      <c r="U56" s="4" t="str">
        <f>IF(OR(D56="",Results!D7=""),"",IF(D56=Results!D7,1+IF(OR($O56=3,$P56=3,$Q56=3),1,0),0))</f>
        <v/>
      </c>
      <c r="V56" s="4" t="str">
        <f>IF(OR(E56="",Results!E7=""),"",IF(E56=Results!E7,1+IF(OR($O56=4,$P56=4,$Q56=4),1,0),0))</f>
        <v/>
      </c>
      <c r="W56" s="4" t="str">
        <f>IF(OR(F56="",Results!F7=""),"",IF(F56=Results!F7,1+IF(OR($O56=5,$P56=5,$Q56=5),1,0),0))</f>
        <v/>
      </c>
      <c r="X56" s="4" t="str">
        <f>IF(OR(G56="",Results!G7=""),"",IF(G56=Results!G7,1+IF(OR($O56=6,$P56=6,$Q56=6),1,0),0))</f>
        <v/>
      </c>
      <c r="Y56" s="4" t="str">
        <f>IF(OR(H56="",Results!H7=""),"",IF(H56=Results!H7,1+IF(OR($O56=7,$P56=7,$Q56=7),1,0),0))</f>
        <v/>
      </c>
      <c r="Z56" s="4" t="str">
        <f>IF(OR(I56="",Results!I7=""),"",IF(I56=Results!I7,1+IF(OR($O56=8,$P56=8,$Q56=8),1,0),0))</f>
        <v/>
      </c>
      <c r="AA56" s="4" t="str">
        <f>IF(OR(J56="",Results!J7=""),"",IF(J56=Results!J7,1+IF(OR($O56=9,$P56=9,$Q56=9),1,0),0))</f>
        <v/>
      </c>
      <c r="AB56" s="4" t="str">
        <f>IF(OR(K56="",Results!K7=""),"",IF(K56=Results!K7,1+IF(OR($O56=10,$P56=10,$Q56=10),1,0),0))</f>
        <v/>
      </c>
      <c r="AC56" s="4" t="str">
        <f>IF(OR(L56="",Results!L7=""),"",IF(L56=Results!L7,1+IF(OR($O56=11,$P56=11,$Q56=11),1,0),0))</f>
        <v/>
      </c>
      <c r="AD56" s="4" t="str">
        <f>IF(OR(M56="",Results!M7=""),"",IF(M56=Results!M7,1+IF(OR($O56=12,$P56=12,$Q56=12),1,0),0))</f>
        <v/>
      </c>
      <c r="AE56" s="4" t="str">
        <f>IF(OR(N56="",Results!N7=""),"",IF(N56=Results!N7,1+IF(OR($O56=13,$P56=13,$Q56=13),1,0),0))</f>
        <v/>
      </c>
      <c r="AF56" s="11">
        <f t="shared" si="2"/>
        <v>0</v>
      </c>
      <c r="AG56" s="4" t="str">
        <f>IF(OR($R56="",Results!O7=""),"",ABS($R56-Results!O7))</f>
        <v/>
      </c>
      <c r="AH56" s="12">
        <v>59</v>
      </c>
      <c r="AI56" s="13" t="str">
        <f>IF(OR(B56="",Results!B7=""),"",IF(AND(B56=Results!B7,Results!B7&lt;&gt;Games!$C$31),1,0))</f>
        <v/>
      </c>
      <c r="AJ56" s="13" t="str">
        <f>IF(OR(C56="",Results!C7=""),"",IF(AND(C56=Results!C7,Results!C7&lt;&gt;Games!$C$32),1,0))</f>
        <v/>
      </c>
      <c r="AK56" s="13" t="str">
        <f>IF(OR(D56="",Results!D7=""),"",IF(AND(D56=Results!D7,Results!D7&lt;&gt;Games!$C$33),1,0))</f>
        <v/>
      </c>
      <c r="AL56" s="13" t="str">
        <f>IF(OR(E56="",Results!E7=""),"",IF(AND(E56=Results!E7,Results!E7&lt;&gt;Games!$C$34),1,0))</f>
        <v/>
      </c>
      <c r="AM56" s="13" t="str">
        <f>IF(OR(F56="",Results!F7=""),"",IF(AND(F56=Results!F7,Results!F7&lt;&gt;Games!$C$35),1,0))</f>
        <v/>
      </c>
      <c r="AN56" s="13" t="str">
        <f>IF(OR(G56="",Results!G7=""),"",IF(AND(G56=Results!G7,Results!G7&lt;&gt;Games!$C$36),1,0))</f>
        <v/>
      </c>
      <c r="AO56" s="13" t="str">
        <f>IF(OR(H56="",Results!H7=""),"",IF(AND(H56=Results!H7,Results!H7&lt;&gt;Games!$C$37),1,0))</f>
        <v/>
      </c>
      <c r="AP56" s="13" t="str">
        <f>IF(OR(I56="",Results!I7=""),"",IF(AND(I56=Results!I7,Results!I7&lt;&gt;Games!$C$38),1,0))</f>
        <v/>
      </c>
      <c r="AQ56" s="13" t="str">
        <f>IF(OR(J56="",Results!J7=""),"",IF(AND(J56=Results!J7,Results!J7&lt;&gt;Games!$C$39),1,0))</f>
        <v/>
      </c>
      <c r="AR56" s="13" t="str">
        <f>IF(OR(K56="",Results!K7=""),"",IF(AND(K56=Results!K7,Results!K7&lt;&gt;Games!$C$40),1,0))</f>
        <v/>
      </c>
      <c r="AS56" s="13" t="str">
        <f>IF(OR(L56="",Results!L7=""),"",IF(AND(L56=Results!L7,Results!L7&lt;&gt;Games!$C$41),1,0))</f>
        <v/>
      </c>
      <c r="AT56" s="13" t="str">
        <f>IF(OR(M56="",Results!M7=""),"",IF(AND(M56=Results!M7,Results!M7&lt;&gt;Games!$C$42),1,0))</f>
        <v/>
      </c>
      <c r="AU56" s="13" t="str">
        <f>IF(OR(N56="",Results!N7=""),"",IF(AND(N56=Results!N7,Results!N7&lt;&gt;Games!$C$43),1,0))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 t="s">
        <v>255</v>
      </c>
      <c r="C57" s="5" t="s">
        <v>211</v>
      </c>
      <c r="D57" s="5" t="s">
        <v>258</v>
      </c>
      <c r="E57" s="5" t="s">
        <v>261</v>
      </c>
      <c r="F57" s="5" t="s">
        <v>262</v>
      </c>
      <c r="G57" s="5" t="s">
        <v>224</v>
      </c>
      <c r="H57" s="5" t="s">
        <v>266</v>
      </c>
      <c r="I57" s="5" t="s">
        <v>184</v>
      </c>
      <c r="J57" s="5" t="s">
        <v>202</v>
      </c>
      <c r="K57" s="5" t="s">
        <v>210</v>
      </c>
      <c r="L57" s="5" t="s">
        <v>272</v>
      </c>
      <c r="M57" s="5" t="s">
        <v>273</v>
      </c>
      <c r="N57" s="5" t="s">
        <v>276</v>
      </c>
      <c r="O57" s="5">
        <v>8</v>
      </c>
      <c r="P57" s="5">
        <v>12</v>
      </c>
      <c r="Q57" s="5">
        <v>13</v>
      </c>
      <c r="R57" s="5">
        <v>58</v>
      </c>
      <c r="S57" s="4" t="str">
        <f>IF(OR(B57="",Results!B7=""),"",IF(B57=Results!B7,1+IF(OR($O57=1,$P57=1,$Q57=1),1,0),0))</f>
        <v/>
      </c>
      <c r="T57" s="4" t="str">
        <f>IF(OR(C57="",Results!C7=""),"",IF(C57=Results!C7,1+IF(OR($O57=2,$P57=2,$Q57=2),1,0),0))</f>
        <v/>
      </c>
      <c r="U57" s="4" t="str">
        <f>IF(OR(D57="",Results!D7=""),"",IF(D57=Results!D7,1+IF(OR($O57=3,$P57=3,$Q57=3),1,0),0))</f>
        <v/>
      </c>
      <c r="V57" s="4" t="str">
        <f>IF(OR(E57="",Results!E7=""),"",IF(E57=Results!E7,1+IF(OR($O57=4,$P57=4,$Q57=4),1,0),0))</f>
        <v/>
      </c>
      <c r="W57" s="4" t="str">
        <f>IF(OR(F57="",Results!F7=""),"",IF(F57=Results!F7,1+IF(OR($O57=5,$P57=5,$Q57=5),1,0),0))</f>
        <v/>
      </c>
      <c r="X57" s="4" t="str">
        <f>IF(OR(G57="",Results!G7=""),"",IF(G57=Results!G7,1+IF(OR($O57=6,$P57=6,$Q57=6),1,0),0))</f>
        <v/>
      </c>
      <c r="Y57" s="4" t="str">
        <f>IF(OR(H57="",Results!H7=""),"",IF(H57=Results!H7,1+IF(OR($O57=7,$P57=7,$Q57=7),1,0),0))</f>
        <v/>
      </c>
      <c r="Z57" s="4" t="str">
        <f>IF(OR(I57="",Results!I7=""),"",IF(I57=Results!I7,1+IF(OR($O57=8,$P57=8,$Q57=8),1,0),0))</f>
        <v/>
      </c>
      <c r="AA57" s="4" t="str">
        <f>IF(OR(J57="",Results!J7=""),"",IF(J57=Results!J7,1+IF(OR($O57=9,$P57=9,$Q57=9),1,0),0))</f>
        <v/>
      </c>
      <c r="AB57" s="4" t="str">
        <f>IF(OR(K57="",Results!K7=""),"",IF(K57=Results!K7,1+IF(OR($O57=10,$P57=10,$Q57=10),1,0),0))</f>
        <v/>
      </c>
      <c r="AC57" s="4" t="str">
        <f>IF(OR(L57="",Results!L7=""),"",IF(L57=Results!L7,1+IF(OR($O57=11,$P57=11,$Q57=11),1,0),0))</f>
        <v/>
      </c>
      <c r="AD57" s="4" t="str">
        <f>IF(OR(M57="",Results!M7=""),"",IF(M57=Results!M7,1+IF(OR($O57=12,$P57=12,$Q57=12),1,0),0))</f>
        <v/>
      </c>
      <c r="AE57" s="4" t="str">
        <f>IF(OR(N57="",Results!N7=""),"",IF(N57=Results!N7,1+IF(OR($O57=13,$P57=13,$Q57=13),1,0),0))</f>
        <v/>
      </c>
      <c r="AF57" s="11">
        <f t="shared" si="2"/>
        <v>0</v>
      </c>
      <c r="AG57" s="4" t="str">
        <f>IF(OR($R57="",Results!O7=""),"",ABS($R57-Results!O7))</f>
        <v/>
      </c>
      <c r="AH57" s="12">
        <v>28</v>
      </c>
      <c r="AI57" s="13" t="str">
        <f>IF(OR(B57="",Results!B7=""),"",IF(AND(B57=Results!B7,Results!B7&lt;&gt;Games!$C$31),1,0))</f>
        <v/>
      </c>
      <c r="AJ57" s="13" t="str">
        <f>IF(OR(C57="",Results!C7=""),"",IF(AND(C57=Results!C7,Results!C7&lt;&gt;Games!$C$32),1,0))</f>
        <v/>
      </c>
      <c r="AK57" s="13" t="str">
        <f>IF(OR(D57="",Results!D7=""),"",IF(AND(D57=Results!D7,Results!D7&lt;&gt;Games!$C$33),1,0))</f>
        <v/>
      </c>
      <c r="AL57" s="13" t="str">
        <f>IF(OR(E57="",Results!E7=""),"",IF(AND(E57=Results!E7,Results!E7&lt;&gt;Games!$C$34),1,0))</f>
        <v/>
      </c>
      <c r="AM57" s="13" t="str">
        <f>IF(OR(F57="",Results!F7=""),"",IF(AND(F57=Results!F7,Results!F7&lt;&gt;Games!$C$35),1,0))</f>
        <v/>
      </c>
      <c r="AN57" s="13" t="str">
        <f>IF(OR(G57="",Results!G7=""),"",IF(AND(G57=Results!G7,Results!G7&lt;&gt;Games!$C$36),1,0))</f>
        <v/>
      </c>
      <c r="AO57" s="13" t="str">
        <f>IF(OR(H57="",Results!H7=""),"",IF(AND(H57=Results!H7,Results!H7&lt;&gt;Games!$C$37),1,0))</f>
        <v/>
      </c>
      <c r="AP57" s="13" t="str">
        <f>IF(OR(I57="",Results!I7=""),"",IF(AND(I57=Results!I7,Results!I7&lt;&gt;Games!$C$38),1,0))</f>
        <v/>
      </c>
      <c r="AQ57" s="13" t="str">
        <f>IF(OR(J57="",Results!J7=""),"",IF(AND(J57=Results!J7,Results!J7&lt;&gt;Games!$C$39),1,0))</f>
        <v/>
      </c>
      <c r="AR57" s="13" t="str">
        <f>IF(OR(K57="",Results!K7=""),"",IF(AND(K57=Results!K7,Results!K7&lt;&gt;Games!$C$40),1,0))</f>
        <v/>
      </c>
      <c r="AS57" s="13" t="str">
        <f>IF(OR(L57="",Results!L7=""),"",IF(AND(L57=Results!L7,Results!L7&lt;&gt;Games!$C$41),1,0))</f>
        <v/>
      </c>
      <c r="AT57" s="13" t="str">
        <f>IF(OR(M57="",Results!M7=""),"",IF(AND(M57=Results!M7,Results!M7&lt;&gt;Games!$C$42),1,0))</f>
        <v/>
      </c>
      <c r="AU57" s="13" t="str">
        <f>IF(OR(N57="",Results!N7=""),"",IF(AND(N57=Results!N7,Results!N7&lt;&gt;Games!$C$43),1,0))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 t="s">
        <v>256</v>
      </c>
      <c r="C58" s="5" t="s">
        <v>211</v>
      </c>
      <c r="D58" s="5" t="s">
        <v>258</v>
      </c>
      <c r="E58" s="5" t="s">
        <v>261</v>
      </c>
      <c r="F58" s="5" t="s">
        <v>263</v>
      </c>
      <c r="G58" s="5" t="s">
        <v>224</v>
      </c>
      <c r="H58" s="5" t="s">
        <v>239</v>
      </c>
      <c r="I58" s="5" t="s">
        <v>268</v>
      </c>
      <c r="J58" s="5" t="s">
        <v>269</v>
      </c>
      <c r="K58" s="5" t="s">
        <v>223</v>
      </c>
      <c r="L58" s="5" t="s">
        <v>271</v>
      </c>
      <c r="M58" s="5" t="s">
        <v>274</v>
      </c>
      <c r="N58" s="5" t="s">
        <v>191</v>
      </c>
      <c r="O58" s="5">
        <v>6</v>
      </c>
      <c r="P58" s="5">
        <v>9</v>
      </c>
      <c r="Q58" s="5">
        <v>11</v>
      </c>
      <c r="R58" s="5">
        <v>59</v>
      </c>
      <c r="S58" s="4" t="str">
        <f>IF(OR(B58="",Results!B7=""),"",IF(B58=Results!B7,1+IF(OR($O58=1,$P58=1,$Q58=1),1,0),0))</f>
        <v/>
      </c>
      <c r="T58" s="4" t="str">
        <f>IF(OR(C58="",Results!C7=""),"",IF(C58=Results!C7,1+IF(OR($O58=2,$P58=2,$Q58=2),1,0),0))</f>
        <v/>
      </c>
      <c r="U58" s="4" t="str">
        <f>IF(OR(D58="",Results!D7=""),"",IF(D58=Results!D7,1+IF(OR($O58=3,$P58=3,$Q58=3),1,0),0))</f>
        <v/>
      </c>
      <c r="V58" s="4" t="str">
        <f>IF(OR(E58="",Results!E7=""),"",IF(E58=Results!E7,1+IF(OR($O58=4,$P58=4,$Q58=4),1,0),0))</f>
        <v/>
      </c>
      <c r="W58" s="4" t="str">
        <f>IF(OR(F58="",Results!F7=""),"",IF(F58=Results!F7,1+IF(OR($O58=5,$P58=5,$Q58=5),1,0),0))</f>
        <v/>
      </c>
      <c r="X58" s="4" t="str">
        <f>IF(OR(G58="",Results!G7=""),"",IF(G58=Results!G7,1+IF(OR($O58=6,$P58=6,$Q58=6),1,0),0))</f>
        <v/>
      </c>
      <c r="Y58" s="4" t="str">
        <f>IF(OR(H58="",Results!H7=""),"",IF(H58=Results!H7,1+IF(OR($O58=7,$P58=7,$Q58=7),1,0),0))</f>
        <v/>
      </c>
      <c r="Z58" s="4" t="str">
        <f>IF(OR(I58="",Results!I7=""),"",IF(I58=Results!I7,1+IF(OR($O58=8,$P58=8,$Q58=8),1,0),0))</f>
        <v/>
      </c>
      <c r="AA58" s="4" t="str">
        <f>IF(OR(J58="",Results!J7=""),"",IF(J58=Results!J7,1+IF(OR($O58=9,$P58=9,$Q58=9),1,0),0))</f>
        <v/>
      </c>
      <c r="AB58" s="4" t="str">
        <f>IF(OR(K58="",Results!K7=""),"",IF(K58=Results!K7,1+IF(OR($O58=10,$P58=10,$Q58=10),1,0),0))</f>
        <v/>
      </c>
      <c r="AC58" s="4" t="str">
        <f>IF(OR(L58="",Results!L7=""),"",IF(L58=Results!L7,1+IF(OR($O58=11,$P58=11,$Q58=11),1,0),0))</f>
        <v/>
      </c>
      <c r="AD58" s="4" t="str">
        <f>IF(OR(M58="",Results!M7=""),"",IF(M58=Results!M7,1+IF(OR($O58=12,$P58=12,$Q58=12),1,0),0))</f>
        <v/>
      </c>
      <c r="AE58" s="4" t="str">
        <f>IF(OR(N58="",Results!N7=""),"",IF(N58=Results!N7,1+IF(OR($O58=13,$P58=13,$Q58=13),1,0),0))</f>
        <v/>
      </c>
      <c r="AF58" s="11">
        <f t="shared" si="2"/>
        <v>0</v>
      </c>
      <c r="AG58" s="4" t="str">
        <f>IF(OR($R58="",Results!O7=""),"",ABS($R58-Results!O7))</f>
        <v/>
      </c>
      <c r="AH58" s="12">
        <v>29</v>
      </c>
      <c r="AI58" s="13" t="str">
        <f>IF(OR(B58="",Results!B7=""),"",IF(AND(B58=Results!B7,Results!B7&lt;&gt;Games!$C$31),1,0))</f>
        <v/>
      </c>
      <c r="AJ58" s="13" t="str">
        <f>IF(OR(C58="",Results!C7=""),"",IF(AND(C58=Results!C7,Results!C7&lt;&gt;Games!$C$32),1,0))</f>
        <v/>
      </c>
      <c r="AK58" s="13" t="str">
        <f>IF(OR(D58="",Results!D7=""),"",IF(AND(D58=Results!D7,Results!D7&lt;&gt;Games!$C$33),1,0))</f>
        <v/>
      </c>
      <c r="AL58" s="13" t="str">
        <f>IF(OR(E58="",Results!E7=""),"",IF(AND(E58=Results!E7,Results!E7&lt;&gt;Games!$C$34),1,0))</f>
        <v/>
      </c>
      <c r="AM58" s="13" t="str">
        <f>IF(OR(F58="",Results!F7=""),"",IF(AND(F58=Results!F7,Results!F7&lt;&gt;Games!$C$35),1,0))</f>
        <v/>
      </c>
      <c r="AN58" s="13" t="str">
        <f>IF(OR(G58="",Results!G7=""),"",IF(AND(G58=Results!G7,Results!G7&lt;&gt;Games!$C$36),1,0))</f>
        <v/>
      </c>
      <c r="AO58" s="13" t="str">
        <f>IF(OR(H58="",Results!H7=""),"",IF(AND(H58=Results!H7,Results!H7&lt;&gt;Games!$C$37),1,0))</f>
        <v/>
      </c>
      <c r="AP58" s="13" t="str">
        <f>IF(OR(I58="",Results!I7=""),"",IF(AND(I58=Results!I7,Results!I7&lt;&gt;Games!$C$38),1,0))</f>
        <v/>
      </c>
      <c r="AQ58" s="13" t="str">
        <f>IF(OR(J58="",Results!J7=""),"",IF(AND(J58=Results!J7,Results!J7&lt;&gt;Games!$C$39),1,0))</f>
        <v/>
      </c>
      <c r="AR58" s="13" t="str">
        <f>IF(OR(K58="",Results!K7=""),"",IF(AND(K58=Results!K7,Results!K7&lt;&gt;Games!$C$40),1,0))</f>
        <v/>
      </c>
      <c r="AS58" s="13" t="str">
        <f>IF(OR(L58="",Results!L7=""),"",IF(AND(L58=Results!L7,Results!L7&lt;&gt;Games!$C$41),1,0))</f>
        <v/>
      </c>
      <c r="AT58" s="13" t="str">
        <f>IF(OR(M58="",Results!M7=""),"",IF(AND(M58=Results!M7,Results!M7&lt;&gt;Games!$C$42),1,0))</f>
        <v/>
      </c>
      <c r="AU58" s="13" t="str">
        <f>IF(OR(N58="",Results!N7=""),"",IF(AND(N58=Results!N7,Results!N7&lt;&gt;Games!$C$43),1,0))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IF(OR(B59="",Results!B7=""),"",IF(B59=Results!B7,1+IF(OR($O59=1,$P59=1,$Q59=1),1,0),0))</f>
        <v/>
      </c>
      <c r="T59" s="4" t="str">
        <f>IF(OR(C59="",Results!C7=""),"",IF(C59=Results!C7,1+IF(OR($O59=2,$P59=2,$Q59=2),1,0),0))</f>
        <v/>
      </c>
      <c r="U59" s="4" t="str">
        <f>IF(OR(D59="",Results!D7=""),"",IF(D59=Results!D7,1+IF(OR($O59=3,$P59=3,$Q59=3),1,0),0))</f>
        <v/>
      </c>
      <c r="V59" s="4" t="str">
        <f>IF(OR(E59="",Results!E7=""),"",IF(E59=Results!E7,1+IF(OR($O59=4,$P59=4,$Q59=4),1,0),0))</f>
        <v/>
      </c>
      <c r="W59" s="4" t="str">
        <f>IF(OR(F59="",Results!F7=""),"",IF(F59=Results!F7,1+IF(OR($O59=5,$P59=5,$Q59=5),1,0),0))</f>
        <v/>
      </c>
      <c r="X59" s="4" t="str">
        <f>IF(OR(G59="",Results!G7=""),"",IF(G59=Results!G7,1+IF(OR($O59=6,$P59=6,$Q59=6),1,0),0))</f>
        <v/>
      </c>
      <c r="Y59" s="4" t="str">
        <f>IF(OR(H59="",Results!H7=""),"",IF(H59=Results!H7,1+IF(OR($O59=7,$P59=7,$Q59=7),1,0),0))</f>
        <v/>
      </c>
      <c r="Z59" s="4" t="str">
        <f>IF(OR(I59="",Results!I7=""),"",IF(I59=Results!I7,1+IF(OR($O59=8,$P59=8,$Q59=8),1,0),0))</f>
        <v/>
      </c>
      <c r="AA59" s="4" t="str">
        <f>IF(OR(J59="",Results!J7=""),"",IF(J59=Results!J7,1+IF(OR($O59=9,$P59=9,$Q59=9),1,0),0))</f>
        <v/>
      </c>
      <c r="AB59" s="4" t="str">
        <f>IF(OR(K59="",Results!K7=""),"",IF(K59=Results!K7,1+IF(OR($O59=10,$P59=10,$Q59=10),1,0),0))</f>
        <v/>
      </c>
      <c r="AC59" s="4" t="str">
        <f>IF(OR(L59="",Results!L7=""),"",IF(L59=Results!L7,1+IF(OR($O59=11,$P59=11,$Q59=11),1,0),0))</f>
        <v/>
      </c>
      <c r="AD59" s="4" t="str">
        <f>IF(OR(M59="",Results!M7=""),"",IF(M59=Results!M7,1+IF(OR($O59=12,$P59=12,$Q59=12),1,0),0))</f>
        <v/>
      </c>
      <c r="AE59" s="4" t="str">
        <f>IF(OR(N59="",Results!N7=""),"",IF(N59=Results!N7,1+IF(OR($O59=13,$P59=13,$Q59=13),1,0),0))</f>
        <v/>
      </c>
      <c r="AF59" s="11">
        <f t="shared" si="2"/>
        <v>0</v>
      </c>
      <c r="AG59" s="4" t="str">
        <f>IF(OR($R59="",Results!O7=""),"",ABS($R59-Results!O7))</f>
        <v/>
      </c>
      <c r="AH59" s="12">
        <v>51</v>
      </c>
      <c r="AI59" s="13" t="str">
        <f>IF(OR(B59="",Results!B7=""),"",IF(AND(B59=Results!B7,Results!B7&lt;&gt;Games!$C$31),1,0))</f>
        <v/>
      </c>
      <c r="AJ59" s="13" t="str">
        <f>IF(OR(C59="",Results!C7=""),"",IF(AND(C59=Results!C7,Results!C7&lt;&gt;Games!$C$32),1,0))</f>
        <v/>
      </c>
      <c r="AK59" s="13" t="str">
        <f>IF(OR(D59="",Results!D7=""),"",IF(AND(D59=Results!D7,Results!D7&lt;&gt;Games!$C$33),1,0))</f>
        <v/>
      </c>
      <c r="AL59" s="13" t="str">
        <f>IF(OR(E59="",Results!E7=""),"",IF(AND(E59=Results!E7,Results!E7&lt;&gt;Games!$C$34),1,0))</f>
        <v/>
      </c>
      <c r="AM59" s="13" t="str">
        <f>IF(OR(F59="",Results!F7=""),"",IF(AND(F59=Results!F7,Results!F7&lt;&gt;Games!$C$35),1,0))</f>
        <v/>
      </c>
      <c r="AN59" s="13" t="str">
        <f>IF(OR(G59="",Results!G7=""),"",IF(AND(G59=Results!G7,Results!G7&lt;&gt;Games!$C$36),1,0))</f>
        <v/>
      </c>
      <c r="AO59" s="13" t="str">
        <f>IF(OR(H59="",Results!H7=""),"",IF(AND(H59=Results!H7,Results!H7&lt;&gt;Games!$C$37),1,0))</f>
        <v/>
      </c>
      <c r="AP59" s="13" t="str">
        <f>IF(OR(I59="",Results!I7=""),"",IF(AND(I59=Results!I7,Results!I7&lt;&gt;Games!$C$38),1,0))</f>
        <v/>
      </c>
      <c r="AQ59" s="13" t="str">
        <f>IF(OR(J59="",Results!J7=""),"",IF(AND(J59=Results!J7,Results!J7&lt;&gt;Games!$C$39),1,0))</f>
        <v/>
      </c>
      <c r="AR59" s="13" t="str">
        <f>IF(OR(K59="",Results!K7=""),"",IF(AND(K59=Results!K7,Results!K7&lt;&gt;Games!$C$40),1,0))</f>
        <v/>
      </c>
      <c r="AS59" s="13" t="str">
        <f>IF(OR(L59="",Results!L7=""),"",IF(AND(L59=Results!L7,Results!L7&lt;&gt;Games!$C$41),1,0))</f>
        <v/>
      </c>
      <c r="AT59" s="13" t="str">
        <f>IF(OR(M59="",Results!M7=""),"",IF(AND(M59=Results!M7,Results!M7&lt;&gt;Games!$C$42),1,0))</f>
        <v/>
      </c>
      <c r="AU59" s="13" t="str">
        <f>IF(OR(N59="",Results!N7=""),"",IF(AND(N59=Results!N7,Results!N7&lt;&gt;Games!$C$43),1,0))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IF(OR(B60="",Results!B7=""),"",IF(B60=Results!B7,1+IF(OR($O60=1,$P60=1,$Q60=1),1,0),0))</f>
        <v/>
      </c>
      <c r="T60" s="4" t="str">
        <f>IF(OR(C60="",Results!C7=""),"",IF(C60=Results!C7,1+IF(OR($O60=2,$P60=2,$Q60=2),1,0),0))</f>
        <v/>
      </c>
      <c r="U60" s="4" t="str">
        <f>IF(OR(D60="",Results!D7=""),"",IF(D60=Results!D7,1+IF(OR($O60=3,$P60=3,$Q60=3),1,0),0))</f>
        <v/>
      </c>
      <c r="V60" s="4" t="str">
        <f>IF(OR(E60="",Results!E7=""),"",IF(E60=Results!E7,1+IF(OR($O60=4,$P60=4,$Q60=4),1,0),0))</f>
        <v/>
      </c>
      <c r="W60" s="4" t="str">
        <f>IF(OR(F60="",Results!F7=""),"",IF(F60=Results!F7,1+IF(OR($O60=5,$P60=5,$Q60=5),1,0),0))</f>
        <v/>
      </c>
      <c r="X60" s="4" t="str">
        <f>IF(OR(G60="",Results!G7=""),"",IF(G60=Results!G7,1+IF(OR($O60=6,$P60=6,$Q60=6),1,0),0))</f>
        <v/>
      </c>
      <c r="Y60" s="4" t="str">
        <f>IF(OR(H60="",Results!H7=""),"",IF(H60=Results!H7,1+IF(OR($O60=7,$P60=7,$Q60=7),1,0),0))</f>
        <v/>
      </c>
      <c r="Z60" s="4" t="str">
        <f>IF(OR(I60="",Results!I7=""),"",IF(I60=Results!I7,1+IF(OR($O60=8,$P60=8,$Q60=8),1,0),0))</f>
        <v/>
      </c>
      <c r="AA60" s="4" t="str">
        <f>IF(OR(J60="",Results!J7=""),"",IF(J60=Results!J7,1+IF(OR($O60=9,$P60=9,$Q60=9),1,0),0))</f>
        <v/>
      </c>
      <c r="AB60" s="4" t="str">
        <f>IF(OR(K60="",Results!K7=""),"",IF(K60=Results!K7,1+IF(OR($O60=10,$P60=10,$Q60=10),1,0),0))</f>
        <v/>
      </c>
      <c r="AC60" s="4" t="str">
        <f>IF(OR(L60="",Results!L7=""),"",IF(L60=Results!L7,1+IF(OR($O60=11,$P60=11,$Q60=11),1,0),0))</f>
        <v/>
      </c>
      <c r="AD60" s="4" t="str">
        <f>IF(OR(M60="",Results!M7=""),"",IF(M60=Results!M7,1+IF(OR($O60=12,$P60=12,$Q60=12),1,0),0))</f>
        <v/>
      </c>
      <c r="AE60" s="4" t="str">
        <f>IF(OR(N60="",Results!N7=""),"",IF(N60=Results!N7,1+IF(OR($O60=13,$P60=13,$Q60=13),1,0),0))</f>
        <v/>
      </c>
      <c r="AF60" s="11">
        <f t="shared" si="2"/>
        <v>0</v>
      </c>
      <c r="AG60" s="4" t="str">
        <f>IF(OR($R60="",Results!O7=""),"",ABS($R60-Results!O7))</f>
        <v/>
      </c>
      <c r="AH60" s="12">
        <v>45</v>
      </c>
      <c r="AI60" s="13" t="str">
        <f>IF(OR(B60="",Results!B7=""),"",IF(AND(B60=Results!B7,Results!B7&lt;&gt;Games!$C$31),1,0))</f>
        <v/>
      </c>
      <c r="AJ60" s="13" t="str">
        <f>IF(OR(C60="",Results!C7=""),"",IF(AND(C60=Results!C7,Results!C7&lt;&gt;Games!$C$32),1,0))</f>
        <v/>
      </c>
      <c r="AK60" s="13" t="str">
        <f>IF(OR(D60="",Results!D7=""),"",IF(AND(D60=Results!D7,Results!D7&lt;&gt;Games!$C$33),1,0))</f>
        <v/>
      </c>
      <c r="AL60" s="13" t="str">
        <f>IF(OR(E60="",Results!E7=""),"",IF(AND(E60=Results!E7,Results!E7&lt;&gt;Games!$C$34),1,0))</f>
        <v/>
      </c>
      <c r="AM60" s="13" t="str">
        <f>IF(OR(F60="",Results!F7=""),"",IF(AND(F60=Results!F7,Results!F7&lt;&gt;Games!$C$35),1,0))</f>
        <v/>
      </c>
      <c r="AN60" s="13" t="str">
        <f>IF(OR(G60="",Results!G7=""),"",IF(AND(G60=Results!G7,Results!G7&lt;&gt;Games!$C$36),1,0))</f>
        <v/>
      </c>
      <c r="AO60" s="13" t="str">
        <f>IF(OR(H60="",Results!H7=""),"",IF(AND(H60=Results!H7,Results!H7&lt;&gt;Games!$C$37),1,0))</f>
        <v/>
      </c>
      <c r="AP60" s="13" t="str">
        <f>IF(OR(I60="",Results!I7=""),"",IF(AND(I60=Results!I7,Results!I7&lt;&gt;Games!$C$38),1,0))</f>
        <v/>
      </c>
      <c r="AQ60" s="13" t="str">
        <f>IF(OR(J60="",Results!J7=""),"",IF(AND(J60=Results!J7,Results!J7&lt;&gt;Games!$C$39),1,0))</f>
        <v/>
      </c>
      <c r="AR60" s="13" t="str">
        <f>IF(OR(K60="",Results!K7=""),"",IF(AND(K60=Results!K7,Results!K7&lt;&gt;Games!$C$40),1,0))</f>
        <v/>
      </c>
      <c r="AS60" s="13" t="str">
        <f>IF(OR(L60="",Results!L7=""),"",IF(AND(L60=Results!L7,Results!L7&lt;&gt;Games!$C$41),1,0))</f>
        <v/>
      </c>
      <c r="AT60" s="13" t="str">
        <f>IF(OR(M60="",Results!M7=""),"",IF(AND(M60=Results!M7,Results!M7&lt;&gt;Games!$C$42),1,0))</f>
        <v/>
      </c>
      <c r="AU60" s="13" t="str">
        <f>IF(OR(N60="",Results!N7=""),"",IF(AND(N60=Results!N7,Results!N7&lt;&gt;Games!$C$43),1,0))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 t="s">
        <v>256</v>
      </c>
      <c r="C61" s="5" t="s">
        <v>211</v>
      </c>
      <c r="D61" s="5" t="s">
        <v>258</v>
      </c>
      <c r="E61" s="5" t="s">
        <v>261</v>
      </c>
      <c r="F61" s="5" t="s">
        <v>262</v>
      </c>
      <c r="G61" s="5" t="s">
        <v>226</v>
      </c>
      <c r="H61" s="5" t="s">
        <v>239</v>
      </c>
      <c r="I61" s="5" t="s">
        <v>184</v>
      </c>
      <c r="J61" s="5" t="s">
        <v>202</v>
      </c>
      <c r="K61" s="5" t="s">
        <v>210</v>
      </c>
      <c r="L61" s="5" t="s">
        <v>271</v>
      </c>
      <c r="M61" s="5" t="s">
        <v>273</v>
      </c>
      <c r="N61" s="5" t="s">
        <v>191</v>
      </c>
      <c r="O61" s="5">
        <v>4</v>
      </c>
      <c r="P61" s="5">
        <v>11</v>
      </c>
      <c r="Q61" s="5">
        <v>13</v>
      </c>
      <c r="R61" s="5">
        <v>65</v>
      </c>
      <c r="S61" s="4" t="str">
        <f>IF(OR(B61="",Results!B7=""),"",IF(B61=Results!B7,1+IF(OR($O61=1,$P61=1,$Q61=1),1,0),0))</f>
        <v/>
      </c>
      <c r="T61" s="4" t="str">
        <f>IF(OR(C61="",Results!C7=""),"",IF(C61=Results!C7,1+IF(OR($O61=2,$P61=2,$Q61=2),1,0),0))</f>
        <v/>
      </c>
      <c r="U61" s="4" t="str">
        <f>IF(OR(D61="",Results!D7=""),"",IF(D61=Results!D7,1+IF(OR($O61=3,$P61=3,$Q61=3),1,0),0))</f>
        <v/>
      </c>
      <c r="V61" s="4" t="str">
        <f>IF(OR(E61="",Results!E7=""),"",IF(E61=Results!E7,1+IF(OR($O61=4,$P61=4,$Q61=4),1,0),0))</f>
        <v/>
      </c>
      <c r="W61" s="4" t="str">
        <f>IF(OR(F61="",Results!F7=""),"",IF(F61=Results!F7,1+IF(OR($O61=5,$P61=5,$Q61=5),1,0),0))</f>
        <v/>
      </c>
      <c r="X61" s="4" t="str">
        <f>IF(OR(G61="",Results!G7=""),"",IF(G61=Results!G7,1+IF(OR($O61=6,$P61=6,$Q61=6),1,0),0))</f>
        <v/>
      </c>
      <c r="Y61" s="4" t="str">
        <f>IF(OR(H61="",Results!H7=""),"",IF(H61=Results!H7,1+IF(OR($O61=7,$P61=7,$Q61=7),1,0),0))</f>
        <v/>
      </c>
      <c r="Z61" s="4" t="str">
        <f>IF(OR(I61="",Results!I7=""),"",IF(I61=Results!I7,1+IF(OR($O61=8,$P61=8,$Q61=8),1,0),0))</f>
        <v/>
      </c>
      <c r="AA61" s="4" t="str">
        <f>IF(OR(J61="",Results!J7=""),"",IF(J61=Results!J7,1+IF(OR($O61=9,$P61=9,$Q61=9),1,0),0))</f>
        <v/>
      </c>
      <c r="AB61" s="4" t="str">
        <f>IF(OR(K61="",Results!K7=""),"",IF(K61=Results!K7,1+IF(OR($O61=10,$P61=10,$Q61=10),1,0),0))</f>
        <v/>
      </c>
      <c r="AC61" s="4" t="str">
        <f>IF(OR(L61="",Results!L7=""),"",IF(L61=Results!L7,1+IF(OR($O61=11,$P61=11,$Q61=11),1,0),0))</f>
        <v/>
      </c>
      <c r="AD61" s="4" t="str">
        <f>IF(OR(M61="",Results!M7=""),"",IF(M61=Results!M7,1+IF(OR($O61=12,$P61=12,$Q61=12),1,0),0))</f>
        <v/>
      </c>
      <c r="AE61" s="4" t="str">
        <f>IF(OR(N61="",Results!N7=""),"",IF(N61=Results!N7,1+IF(OR($O61=13,$P61=13,$Q61=13),1,0),0))</f>
        <v/>
      </c>
      <c r="AF61" s="11">
        <f t="shared" si="2"/>
        <v>0</v>
      </c>
      <c r="AG61" s="4" t="str">
        <f>IF(OR($R61="",Results!O7=""),"",ABS($R61-Results!O7))</f>
        <v/>
      </c>
      <c r="AH61" s="12">
        <v>30</v>
      </c>
      <c r="AI61" s="13" t="str">
        <f>IF(OR(B61="",Results!B7=""),"",IF(AND(B61=Results!B7,Results!B7&lt;&gt;Games!$C$31),1,0))</f>
        <v/>
      </c>
      <c r="AJ61" s="13" t="str">
        <f>IF(OR(C61="",Results!C7=""),"",IF(AND(C61=Results!C7,Results!C7&lt;&gt;Games!$C$32),1,0))</f>
        <v/>
      </c>
      <c r="AK61" s="13" t="str">
        <f>IF(OR(D61="",Results!D7=""),"",IF(AND(D61=Results!D7,Results!D7&lt;&gt;Games!$C$33),1,0))</f>
        <v/>
      </c>
      <c r="AL61" s="13" t="str">
        <f>IF(OR(E61="",Results!E7=""),"",IF(AND(E61=Results!E7,Results!E7&lt;&gt;Games!$C$34),1,0))</f>
        <v/>
      </c>
      <c r="AM61" s="13" t="str">
        <f>IF(OR(F61="",Results!F7=""),"",IF(AND(F61=Results!F7,Results!F7&lt;&gt;Games!$C$35),1,0))</f>
        <v/>
      </c>
      <c r="AN61" s="13" t="str">
        <f>IF(OR(G61="",Results!G7=""),"",IF(AND(G61=Results!G7,Results!G7&lt;&gt;Games!$C$36),1,0))</f>
        <v/>
      </c>
      <c r="AO61" s="13" t="str">
        <f>IF(OR(H61="",Results!H7=""),"",IF(AND(H61=Results!H7,Results!H7&lt;&gt;Games!$C$37),1,0))</f>
        <v/>
      </c>
      <c r="AP61" s="13" t="str">
        <f>IF(OR(I61="",Results!I7=""),"",IF(AND(I61=Results!I7,Results!I7&lt;&gt;Games!$C$38),1,0))</f>
        <v/>
      </c>
      <c r="AQ61" s="13" t="str">
        <f>IF(OR(J61="",Results!J7=""),"",IF(AND(J61=Results!J7,Results!J7&lt;&gt;Games!$C$39),1,0))</f>
        <v/>
      </c>
      <c r="AR61" s="13" t="str">
        <f>IF(OR(K61="",Results!K7=""),"",IF(AND(K61=Results!K7,Results!K7&lt;&gt;Games!$C$40),1,0))</f>
        <v/>
      </c>
      <c r="AS61" s="13" t="str">
        <f>IF(OR(L61="",Results!L7=""),"",IF(AND(L61=Results!L7,Results!L7&lt;&gt;Games!$C$41),1,0))</f>
        <v/>
      </c>
      <c r="AT61" s="13" t="str">
        <f>IF(OR(M61="",Results!M7=""),"",IF(AND(M61=Results!M7,Results!M7&lt;&gt;Games!$C$42),1,0))</f>
        <v/>
      </c>
      <c r="AU61" s="13" t="str">
        <f>IF(OR(N61="",Results!N7=""),"",IF(AND(N61=Results!N7,Results!N7&lt;&gt;Games!$C$43),1,0))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IF(OR(B62="",Results!B7=""),"",IF(B62=Results!B7,1+IF(OR($O62=1,$P62=1,$Q62=1),1,0),0))</f>
        <v/>
      </c>
      <c r="T62" s="4" t="str">
        <f>IF(OR(C62="",Results!C7=""),"",IF(C62=Results!C7,1+IF(OR($O62=2,$P62=2,$Q62=2),1,0),0))</f>
        <v/>
      </c>
      <c r="U62" s="4" t="str">
        <f>IF(OR(D62="",Results!D7=""),"",IF(D62=Results!D7,1+IF(OR($O62=3,$P62=3,$Q62=3),1,0),0))</f>
        <v/>
      </c>
      <c r="V62" s="4" t="str">
        <f>IF(OR(E62="",Results!E7=""),"",IF(E62=Results!E7,1+IF(OR($O62=4,$P62=4,$Q62=4),1,0),0))</f>
        <v/>
      </c>
      <c r="W62" s="4" t="str">
        <f>IF(OR(F62="",Results!F7=""),"",IF(F62=Results!F7,1+IF(OR($O62=5,$P62=5,$Q62=5),1,0),0))</f>
        <v/>
      </c>
      <c r="X62" s="4" t="str">
        <f>IF(OR(G62="",Results!G7=""),"",IF(G62=Results!G7,1+IF(OR($O62=6,$P62=6,$Q62=6),1,0),0))</f>
        <v/>
      </c>
      <c r="Y62" s="4" t="str">
        <f>IF(OR(H62="",Results!H7=""),"",IF(H62=Results!H7,1+IF(OR($O62=7,$P62=7,$Q62=7),1,0),0))</f>
        <v/>
      </c>
      <c r="Z62" s="4" t="str">
        <f>IF(OR(I62="",Results!I7=""),"",IF(I62=Results!I7,1+IF(OR($O62=8,$P62=8,$Q62=8),1,0),0))</f>
        <v/>
      </c>
      <c r="AA62" s="4" t="str">
        <f>IF(OR(J62="",Results!J7=""),"",IF(J62=Results!J7,1+IF(OR($O62=9,$P62=9,$Q62=9),1,0),0))</f>
        <v/>
      </c>
      <c r="AB62" s="4" t="str">
        <f>IF(OR(K62="",Results!K7=""),"",IF(K62=Results!K7,1+IF(OR($O62=10,$P62=10,$Q62=10),1,0),0))</f>
        <v/>
      </c>
      <c r="AC62" s="4" t="str">
        <f>IF(OR(L62="",Results!L7=""),"",IF(L62=Results!L7,1+IF(OR($O62=11,$P62=11,$Q62=11),1,0),0))</f>
        <v/>
      </c>
      <c r="AD62" s="4" t="str">
        <f>IF(OR(M62="",Results!M7=""),"",IF(M62=Results!M7,1+IF(OR($O62=12,$P62=12,$Q62=12),1,0),0))</f>
        <v/>
      </c>
      <c r="AE62" s="4" t="str">
        <f>IF(OR(N62="",Results!N7=""),"",IF(N62=Results!N7,1+IF(OR($O62=13,$P62=13,$Q62=13),1,0),0))</f>
        <v/>
      </c>
      <c r="AF62" s="11">
        <f t="shared" si="2"/>
        <v>0</v>
      </c>
      <c r="AG62" s="4" t="str">
        <f>IF(OR($R62="",Results!O7=""),"",ABS($R62-Results!O7))</f>
        <v/>
      </c>
      <c r="AH62" s="12">
        <v>31</v>
      </c>
      <c r="AI62" s="13" t="str">
        <f>IF(OR(B62="",Results!B7=""),"",IF(AND(B62=Results!B7,Results!B7&lt;&gt;Games!$C$31),1,0))</f>
        <v/>
      </c>
      <c r="AJ62" s="13" t="str">
        <f>IF(OR(C62="",Results!C7=""),"",IF(AND(C62=Results!C7,Results!C7&lt;&gt;Games!$C$32),1,0))</f>
        <v/>
      </c>
      <c r="AK62" s="13" t="str">
        <f>IF(OR(D62="",Results!D7=""),"",IF(AND(D62=Results!D7,Results!D7&lt;&gt;Games!$C$33),1,0))</f>
        <v/>
      </c>
      <c r="AL62" s="13" t="str">
        <f>IF(OR(E62="",Results!E7=""),"",IF(AND(E62=Results!E7,Results!E7&lt;&gt;Games!$C$34),1,0))</f>
        <v/>
      </c>
      <c r="AM62" s="13" t="str">
        <f>IF(OR(F62="",Results!F7=""),"",IF(AND(F62=Results!F7,Results!F7&lt;&gt;Games!$C$35),1,0))</f>
        <v/>
      </c>
      <c r="AN62" s="13" t="str">
        <f>IF(OR(G62="",Results!G7=""),"",IF(AND(G62=Results!G7,Results!G7&lt;&gt;Games!$C$36),1,0))</f>
        <v/>
      </c>
      <c r="AO62" s="13" t="str">
        <f>IF(OR(H62="",Results!H7=""),"",IF(AND(H62=Results!H7,Results!H7&lt;&gt;Games!$C$37),1,0))</f>
        <v/>
      </c>
      <c r="AP62" s="13" t="str">
        <f>IF(OR(I62="",Results!I7=""),"",IF(AND(I62=Results!I7,Results!I7&lt;&gt;Games!$C$38),1,0))</f>
        <v/>
      </c>
      <c r="AQ62" s="13" t="str">
        <f>IF(OR(J62="",Results!J7=""),"",IF(AND(J62=Results!J7,Results!J7&lt;&gt;Games!$C$39),1,0))</f>
        <v/>
      </c>
      <c r="AR62" s="13" t="str">
        <f>IF(OR(K62="",Results!K7=""),"",IF(AND(K62=Results!K7,Results!K7&lt;&gt;Games!$C$40),1,0))</f>
        <v/>
      </c>
      <c r="AS62" s="13" t="str">
        <f>IF(OR(L62="",Results!L7=""),"",IF(AND(L62=Results!L7,Results!L7&lt;&gt;Games!$C$41),1,0))</f>
        <v/>
      </c>
      <c r="AT62" s="13" t="str">
        <f>IF(OR(M62="",Results!M7=""),"",IF(AND(M62=Results!M7,Results!M7&lt;&gt;Games!$C$42),1,0))</f>
        <v/>
      </c>
      <c r="AU62" s="13" t="str">
        <f>IF(OR(N62="",Results!N7=""),"",IF(AND(N62=Results!N7,Results!N7&lt;&gt;Games!$C$43),1,0))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 t="s">
        <v>255</v>
      </c>
      <c r="C63" s="5" t="s">
        <v>211</v>
      </c>
      <c r="D63" s="5" t="s">
        <v>231</v>
      </c>
      <c r="E63" s="5" t="s">
        <v>260</v>
      </c>
      <c r="F63" s="5" t="s">
        <v>262</v>
      </c>
      <c r="G63" s="5" t="s">
        <v>224</v>
      </c>
      <c r="H63" s="5" t="s">
        <v>266</v>
      </c>
      <c r="I63" s="5" t="s">
        <v>268</v>
      </c>
      <c r="J63" s="5" t="s">
        <v>202</v>
      </c>
      <c r="K63" s="5" t="s">
        <v>210</v>
      </c>
      <c r="L63" s="5" t="s">
        <v>272</v>
      </c>
      <c r="M63" s="5" t="s">
        <v>273</v>
      </c>
      <c r="N63" s="5" t="s">
        <v>276</v>
      </c>
      <c r="O63" s="5">
        <v>1</v>
      </c>
      <c r="P63" s="5">
        <v>5</v>
      </c>
      <c r="Q63" s="5">
        <v>12</v>
      </c>
      <c r="R63" s="5">
        <v>63</v>
      </c>
      <c r="S63" s="4" t="str">
        <f>IF(OR(B63="",Results!B7=""),"",IF(B63=Results!B7,1+IF(OR($O63=1,$P63=1,$Q63=1),1,0),0))</f>
        <v/>
      </c>
      <c r="T63" s="4" t="str">
        <f>IF(OR(C63="",Results!C7=""),"",IF(C63=Results!C7,1+IF(OR($O63=2,$P63=2,$Q63=2),1,0),0))</f>
        <v/>
      </c>
      <c r="U63" s="4" t="str">
        <f>IF(OR(D63="",Results!D7=""),"",IF(D63=Results!D7,1+IF(OR($O63=3,$P63=3,$Q63=3),1,0),0))</f>
        <v/>
      </c>
      <c r="V63" s="4" t="str">
        <f>IF(OR(E63="",Results!E7=""),"",IF(E63=Results!E7,1+IF(OR($O63=4,$P63=4,$Q63=4),1,0),0))</f>
        <v/>
      </c>
      <c r="W63" s="4" t="str">
        <f>IF(OR(F63="",Results!F7=""),"",IF(F63=Results!F7,1+IF(OR($O63=5,$P63=5,$Q63=5),1,0),0))</f>
        <v/>
      </c>
      <c r="X63" s="4" t="str">
        <f>IF(OR(G63="",Results!G7=""),"",IF(G63=Results!G7,1+IF(OR($O63=6,$P63=6,$Q63=6),1,0),0))</f>
        <v/>
      </c>
      <c r="Y63" s="4" t="str">
        <f>IF(OR(H63="",Results!H7=""),"",IF(H63=Results!H7,1+IF(OR($O63=7,$P63=7,$Q63=7),1,0),0))</f>
        <v/>
      </c>
      <c r="Z63" s="4" t="str">
        <f>IF(OR(I63="",Results!I7=""),"",IF(I63=Results!I7,1+IF(OR($O63=8,$P63=8,$Q63=8),1,0),0))</f>
        <v/>
      </c>
      <c r="AA63" s="4" t="str">
        <f>IF(OR(J63="",Results!J7=""),"",IF(J63=Results!J7,1+IF(OR($O63=9,$P63=9,$Q63=9),1,0),0))</f>
        <v/>
      </c>
      <c r="AB63" s="4" t="str">
        <f>IF(OR(K63="",Results!K7=""),"",IF(K63=Results!K7,1+IF(OR($O63=10,$P63=10,$Q63=10),1,0),0))</f>
        <v/>
      </c>
      <c r="AC63" s="4" t="str">
        <f>IF(OR(L63="",Results!L7=""),"",IF(L63=Results!L7,1+IF(OR($O63=11,$P63=11,$Q63=11),1,0),0))</f>
        <v/>
      </c>
      <c r="AD63" s="4" t="str">
        <f>IF(OR(M63="",Results!M7=""),"",IF(M63=Results!M7,1+IF(OR($O63=12,$P63=12,$Q63=12),1,0),0))</f>
        <v/>
      </c>
      <c r="AE63" s="4" t="str">
        <f>IF(OR(N63="",Results!N7=""),"",IF(N63=Results!N7,1+IF(OR($O63=13,$P63=13,$Q63=13),1,0),0))</f>
        <v/>
      </c>
      <c r="AF63" s="11">
        <f t="shared" si="2"/>
        <v>0</v>
      </c>
      <c r="AG63" s="4" t="str">
        <f>IF(OR($R63="",Results!O7=""),"",ABS($R63-Results!O7))</f>
        <v/>
      </c>
      <c r="AH63" s="12">
        <v>32</v>
      </c>
      <c r="AI63" s="13" t="str">
        <f>IF(OR(B63="",Results!B7=""),"",IF(AND(B63=Results!B7,Results!B7&lt;&gt;Games!$C$31),1,0))</f>
        <v/>
      </c>
      <c r="AJ63" s="13" t="str">
        <f>IF(OR(C63="",Results!C7=""),"",IF(AND(C63=Results!C7,Results!C7&lt;&gt;Games!$C$32),1,0))</f>
        <v/>
      </c>
      <c r="AK63" s="13" t="str">
        <f>IF(OR(D63="",Results!D7=""),"",IF(AND(D63=Results!D7,Results!D7&lt;&gt;Games!$C$33),1,0))</f>
        <v/>
      </c>
      <c r="AL63" s="13" t="str">
        <f>IF(OR(E63="",Results!E7=""),"",IF(AND(E63=Results!E7,Results!E7&lt;&gt;Games!$C$34),1,0))</f>
        <v/>
      </c>
      <c r="AM63" s="13" t="str">
        <f>IF(OR(F63="",Results!F7=""),"",IF(AND(F63=Results!F7,Results!F7&lt;&gt;Games!$C$35),1,0))</f>
        <v/>
      </c>
      <c r="AN63" s="13" t="str">
        <f>IF(OR(G63="",Results!G7=""),"",IF(AND(G63=Results!G7,Results!G7&lt;&gt;Games!$C$36),1,0))</f>
        <v/>
      </c>
      <c r="AO63" s="13" t="str">
        <f>IF(OR(H63="",Results!H7=""),"",IF(AND(H63=Results!H7,Results!H7&lt;&gt;Games!$C$37),1,0))</f>
        <v/>
      </c>
      <c r="AP63" s="13" t="str">
        <f>IF(OR(I63="",Results!I7=""),"",IF(AND(I63=Results!I7,Results!I7&lt;&gt;Games!$C$38),1,0))</f>
        <v/>
      </c>
      <c r="AQ63" s="13" t="str">
        <f>IF(OR(J63="",Results!J7=""),"",IF(AND(J63=Results!J7,Results!J7&lt;&gt;Games!$C$39),1,0))</f>
        <v/>
      </c>
      <c r="AR63" s="13" t="str">
        <f>IF(OR(K63="",Results!K7=""),"",IF(AND(K63=Results!K7,Results!K7&lt;&gt;Games!$C$40),1,0))</f>
        <v/>
      </c>
      <c r="AS63" s="13" t="str">
        <f>IF(OR(L63="",Results!L7=""),"",IF(AND(L63=Results!L7,Results!L7&lt;&gt;Games!$C$41),1,0))</f>
        <v/>
      </c>
      <c r="AT63" s="13" t="str">
        <f>IF(OR(M63="",Results!M7=""),"",IF(AND(M63=Results!M7,Results!M7&lt;&gt;Games!$C$42),1,0))</f>
        <v/>
      </c>
      <c r="AU63" s="13" t="str">
        <f>IF(OR(N63="",Results!N7=""),"",IF(AND(N63=Results!N7,Results!N7&lt;&gt;Games!$C$43),1,0))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 t="s">
        <v>255</v>
      </c>
      <c r="C64" s="5" t="s">
        <v>211</v>
      </c>
      <c r="D64" s="5" t="s">
        <v>231</v>
      </c>
      <c r="E64" s="5" t="s">
        <v>261</v>
      </c>
      <c r="F64" s="5" t="s">
        <v>263</v>
      </c>
      <c r="G64" s="5" t="s">
        <v>224</v>
      </c>
      <c r="H64" s="5" t="s">
        <v>239</v>
      </c>
      <c r="I64" s="5" t="s">
        <v>184</v>
      </c>
      <c r="J64" s="5" t="s">
        <v>202</v>
      </c>
      <c r="K64" s="5" t="s">
        <v>223</v>
      </c>
      <c r="L64" s="5" t="s">
        <v>271</v>
      </c>
      <c r="M64" s="5" t="s">
        <v>273</v>
      </c>
      <c r="N64" s="5" t="s">
        <v>276</v>
      </c>
      <c r="O64" s="5">
        <v>1</v>
      </c>
      <c r="P64" s="5">
        <v>4</v>
      </c>
      <c r="Q64" s="5">
        <v>12</v>
      </c>
      <c r="R64" s="5">
        <v>60</v>
      </c>
      <c r="S64" s="4" t="str">
        <f>IF(OR(B64="",Results!B7=""),"",IF(B64=Results!B7,1+IF(OR($O64=1,$P64=1,$Q64=1),1,0),0))</f>
        <v/>
      </c>
      <c r="T64" s="4" t="str">
        <f>IF(OR(C64="",Results!C7=""),"",IF(C64=Results!C7,1+IF(OR($O64=2,$P64=2,$Q64=2),1,0),0))</f>
        <v/>
      </c>
      <c r="U64" s="4" t="str">
        <f>IF(OR(D64="",Results!D7=""),"",IF(D64=Results!D7,1+IF(OR($O64=3,$P64=3,$Q64=3),1,0),0))</f>
        <v/>
      </c>
      <c r="V64" s="4" t="str">
        <f>IF(OR(E64="",Results!E7=""),"",IF(E64=Results!E7,1+IF(OR($O64=4,$P64=4,$Q64=4),1,0),0))</f>
        <v/>
      </c>
      <c r="W64" s="4" t="str">
        <f>IF(OR(F64="",Results!F7=""),"",IF(F64=Results!F7,1+IF(OR($O64=5,$P64=5,$Q64=5),1,0),0))</f>
        <v/>
      </c>
      <c r="X64" s="4" t="str">
        <f>IF(OR(G64="",Results!G7=""),"",IF(G64=Results!G7,1+IF(OR($O64=6,$P64=6,$Q64=6),1,0),0))</f>
        <v/>
      </c>
      <c r="Y64" s="4" t="str">
        <f>IF(OR(H64="",Results!H7=""),"",IF(H64=Results!H7,1+IF(OR($O64=7,$P64=7,$Q64=7),1,0),0))</f>
        <v/>
      </c>
      <c r="Z64" s="4" t="str">
        <f>IF(OR(I64="",Results!I7=""),"",IF(I64=Results!I7,1+IF(OR($O64=8,$P64=8,$Q64=8),1,0),0))</f>
        <v/>
      </c>
      <c r="AA64" s="4" t="str">
        <f>IF(OR(J64="",Results!J7=""),"",IF(J64=Results!J7,1+IF(OR($O64=9,$P64=9,$Q64=9),1,0),0))</f>
        <v/>
      </c>
      <c r="AB64" s="4" t="str">
        <f>IF(OR(K64="",Results!K7=""),"",IF(K64=Results!K7,1+IF(OR($O64=10,$P64=10,$Q64=10),1,0),0))</f>
        <v/>
      </c>
      <c r="AC64" s="4" t="str">
        <f>IF(OR(L64="",Results!L7=""),"",IF(L64=Results!L7,1+IF(OR($O64=11,$P64=11,$Q64=11),1,0),0))</f>
        <v/>
      </c>
      <c r="AD64" s="4" t="str">
        <f>IF(OR(M64="",Results!M7=""),"",IF(M64=Results!M7,1+IF(OR($O64=12,$P64=12,$Q64=12),1,0),0))</f>
        <v/>
      </c>
      <c r="AE64" s="4" t="str">
        <f>IF(OR(N64="",Results!N7=""),"",IF(N64=Results!N7,1+IF(OR($O64=13,$P64=13,$Q64=13),1,0),0))</f>
        <v/>
      </c>
      <c r="AF64" s="11">
        <f t="shared" si="2"/>
        <v>0</v>
      </c>
      <c r="AG64" s="4" t="str">
        <f>IF(OR($R64="",Results!O7=""),"",ABS($R64-Results!O7))</f>
        <v/>
      </c>
      <c r="AH64" s="12">
        <v>46</v>
      </c>
      <c r="AI64" s="13" t="str">
        <f>IF(OR(B64="",Results!B7=""),"",IF(AND(B64=Results!B7,Results!B7&lt;&gt;Games!$C$31),1,0))</f>
        <v/>
      </c>
      <c r="AJ64" s="13" t="str">
        <f>IF(OR(C64="",Results!C7=""),"",IF(AND(C64=Results!C7,Results!C7&lt;&gt;Games!$C$32),1,0))</f>
        <v/>
      </c>
      <c r="AK64" s="13" t="str">
        <f>IF(OR(D64="",Results!D7=""),"",IF(AND(D64=Results!D7,Results!D7&lt;&gt;Games!$C$33),1,0))</f>
        <v/>
      </c>
      <c r="AL64" s="13" t="str">
        <f>IF(OR(E64="",Results!E7=""),"",IF(AND(E64=Results!E7,Results!E7&lt;&gt;Games!$C$34),1,0))</f>
        <v/>
      </c>
      <c r="AM64" s="13" t="str">
        <f>IF(OR(F64="",Results!F7=""),"",IF(AND(F64=Results!F7,Results!F7&lt;&gt;Games!$C$35),1,0))</f>
        <v/>
      </c>
      <c r="AN64" s="13" t="str">
        <f>IF(OR(G64="",Results!G7=""),"",IF(AND(G64=Results!G7,Results!G7&lt;&gt;Games!$C$36),1,0))</f>
        <v/>
      </c>
      <c r="AO64" s="13" t="str">
        <f>IF(OR(H64="",Results!H7=""),"",IF(AND(H64=Results!H7,Results!H7&lt;&gt;Games!$C$37),1,0))</f>
        <v/>
      </c>
      <c r="AP64" s="13" t="str">
        <f>IF(OR(I64="",Results!I7=""),"",IF(AND(I64=Results!I7,Results!I7&lt;&gt;Games!$C$38),1,0))</f>
        <v/>
      </c>
      <c r="AQ64" s="13" t="str">
        <f>IF(OR(J64="",Results!J7=""),"",IF(AND(J64=Results!J7,Results!J7&lt;&gt;Games!$C$39),1,0))</f>
        <v/>
      </c>
      <c r="AR64" s="13" t="str">
        <f>IF(OR(K64="",Results!K7=""),"",IF(AND(K64=Results!K7,Results!K7&lt;&gt;Games!$C$40),1,0))</f>
        <v/>
      </c>
      <c r="AS64" s="13" t="str">
        <f>IF(OR(L64="",Results!L7=""),"",IF(AND(L64=Results!L7,Results!L7&lt;&gt;Games!$C$41),1,0))</f>
        <v/>
      </c>
      <c r="AT64" s="13" t="str">
        <f>IF(OR(M64="",Results!M7=""),"",IF(AND(M64=Results!M7,Results!M7&lt;&gt;Games!$C$42),1,0))</f>
        <v/>
      </c>
      <c r="AU64" s="13" t="str">
        <f>IF(OR(N64="",Results!N7=""),"",IF(AND(N64=Results!N7,Results!N7&lt;&gt;Games!$C$43),1,0))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IF(OR(B65="",Results!B7=""),"",IF(B65=Results!B7,1+IF(OR($O65=1,$P65=1,$Q65=1),1,0),0))</f>
        <v/>
      </c>
      <c r="T65" s="4" t="str">
        <f>IF(OR(C65="",Results!C7=""),"",IF(C65=Results!C7,1+IF(OR($O65=2,$P65=2,$Q65=2),1,0),0))</f>
        <v/>
      </c>
      <c r="U65" s="4" t="str">
        <f>IF(OR(D65="",Results!D7=""),"",IF(D65=Results!D7,1+IF(OR($O65=3,$P65=3,$Q65=3),1,0),0))</f>
        <v/>
      </c>
      <c r="V65" s="4" t="str">
        <f>IF(OR(E65="",Results!E7=""),"",IF(E65=Results!E7,1+IF(OR($O65=4,$P65=4,$Q65=4),1,0),0))</f>
        <v/>
      </c>
      <c r="W65" s="4" t="str">
        <f>IF(OR(F65="",Results!F7=""),"",IF(F65=Results!F7,1+IF(OR($O65=5,$P65=5,$Q65=5),1,0),0))</f>
        <v/>
      </c>
      <c r="X65" s="4" t="str">
        <f>IF(OR(G65="",Results!G7=""),"",IF(G65=Results!G7,1+IF(OR($O65=6,$P65=6,$Q65=6),1,0),0))</f>
        <v/>
      </c>
      <c r="Y65" s="4" t="str">
        <f>IF(OR(H65="",Results!H7=""),"",IF(H65=Results!H7,1+IF(OR($O65=7,$P65=7,$Q65=7),1,0),0))</f>
        <v/>
      </c>
      <c r="Z65" s="4" t="str">
        <f>IF(OR(I65="",Results!I7=""),"",IF(I65=Results!I7,1+IF(OR($O65=8,$P65=8,$Q65=8),1,0),0))</f>
        <v/>
      </c>
      <c r="AA65" s="4" t="str">
        <f>IF(OR(J65="",Results!J7=""),"",IF(J65=Results!J7,1+IF(OR($O65=9,$P65=9,$Q65=9),1,0),0))</f>
        <v/>
      </c>
      <c r="AB65" s="4" t="str">
        <f>IF(OR(K65="",Results!K7=""),"",IF(K65=Results!K7,1+IF(OR($O65=10,$P65=10,$Q65=10),1,0),0))</f>
        <v/>
      </c>
      <c r="AC65" s="4" t="str">
        <f>IF(OR(L65="",Results!L7=""),"",IF(L65=Results!L7,1+IF(OR($O65=11,$P65=11,$Q65=11),1,0),0))</f>
        <v/>
      </c>
      <c r="AD65" s="4" t="str">
        <f>IF(OR(M65="",Results!M7=""),"",IF(M65=Results!M7,1+IF(OR($O65=12,$P65=12,$Q65=12),1,0),0))</f>
        <v/>
      </c>
      <c r="AE65" s="4" t="str">
        <f>IF(OR(N65="",Results!N7=""),"",IF(N65=Results!N7,1+IF(OR($O65=13,$P65=13,$Q65=13),1,0),0))</f>
        <v/>
      </c>
      <c r="AF65" s="11">
        <f t="shared" si="2"/>
        <v>0</v>
      </c>
      <c r="AG65" s="4" t="str">
        <f>IF(OR($R65="",Results!O7=""),"",ABS($R65-Results!O7))</f>
        <v/>
      </c>
      <c r="AH65" s="12">
        <v>33</v>
      </c>
      <c r="AI65" s="13" t="str">
        <f>IF(OR(B65="",Results!B7=""),"",IF(AND(B65=Results!B7,Results!B7&lt;&gt;Games!$C$31),1,0))</f>
        <v/>
      </c>
      <c r="AJ65" s="13" t="str">
        <f>IF(OR(C65="",Results!C7=""),"",IF(AND(C65=Results!C7,Results!C7&lt;&gt;Games!$C$32),1,0))</f>
        <v/>
      </c>
      <c r="AK65" s="13" t="str">
        <f>IF(OR(D65="",Results!D7=""),"",IF(AND(D65=Results!D7,Results!D7&lt;&gt;Games!$C$33),1,0))</f>
        <v/>
      </c>
      <c r="AL65" s="13" t="str">
        <f>IF(OR(E65="",Results!E7=""),"",IF(AND(E65=Results!E7,Results!E7&lt;&gt;Games!$C$34),1,0))</f>
        <v/>
      </c>
      <c r="AM65" s="13" t="str">
        <f>IF(OR(F65="",Results!F7=""),"",IF(AND(F65=Results!F7,Results!F7&lt;&gt;Games!$C$35),1,0))</f>
        <v/>
      </c>
      <c r="AN65" s="13" t="str">
        <f>IF(OR(G65="",Results!G7=""),"",IF(AND(G65=Results!G7,Results!G7&lt;&gt;Games!$C$36),1,0))</f>
        <v/>
      </c>
      <c r="AO65" s="13" t="str">
        <f>IF(OR(H65="",Results!H7=""),"",IF(AND(H65=Results!H7,Results!H7&lt;&gt;Games!$C$37),1,0))</f>
        <v/>
      </c>
      <c r="AP65" s="13" t="str">
        <f>IF(OR(I65="",Results!I7=""),"",IF(AND(I65=Results!I7,Results!I7&lt;&gt;Games!$C$38),1,0))</f>
        <v/>
      </c>
      <c r="AQ65" s="13" t="str">
        <f>IF(OR(J65="",Results!J7=""),"",IF(AND(J65=Results!J7,Results!J7&lt;&gt;Games!$C$39),1,0))</f>
        <v/>
      </c>
      <c r="AR65" s="13" t="str">
        <f>IF(OR(K65="",Results!K7=""),"",IF(AND(K65=Results!K7,Results!K7&lt;&gt;Games!$C$40),1,0))</f>
        <v/>
      </c>
      <c r="AS65" s="13" t="str">
        <f>IF(OR(L65="",Results!L7=""),"",IF(AND(L65=Results!L7,Results!L7&lt;&gt;Games!$C$41),1,0))</f>
        <v/>
      </c>
      <c r="AT65" s="13" t="str">
        <f>IF(OR(M65="",Results!M7=""),"",IF(AND(M65=Results!M7,Results!M7&lt;&gt;Games!$C$42),1,0))</f>
        <v/>
      </c>
      <c r="AU65" s="13" t="str">
        <f>IF(OR(N65="",Results!N7=""),"",IF(AND(N65=Results!N7,Results!N7&lt;&gt;Games!$C$43),1,0))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4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400-000001000000}">
          <x14:formula1>
            <xm:f>Games!$C$31:$D$31</xm:f>
          </x14:formula1>
          <x14:formula2>
            <xm:f>0</xm:f>
          </x14:formula2>
          <xm:sqref>B6:B65</xm:sqref>
        </x14:dataValidation>
        <x14:dataValidation type="list" allowBlank="1" xr:uid="{00000000-0002-0000-0400-000002000000}">
          <x14:formula1>
            <xm:f>Games!$C$32:$D$32</xm:f>
          </x14:formula1>
          <x14:formula2>
            <xm:f>0</xm:f>
          </x14:formula2>
          <xm:sqref>C6:C65</xm:sqref>
        </x14:dataValidation>
        <x14:dataValidation type="list" allowBlank="1" xr:uid="{00000000-0002-0000-0400-000003000000}">
          <x14:formula1>
            <xm:f>Games!$C$33:$D$33</xm:f>
          </x14:formula1>
          <x14:formula2>
            <xm:f>0</xm:f>
          </x14:formula2>
          <xm:sqref>D6:D65</xm:sqref>
        </x14:dataValidation>
        <x14:dataValidation type="list" allowBlank="1" xr:uid="{00000000-0002-0000-0400-000004000000}">
          <x14:formula1>
            <xm:f>Games!$C$34:$D$34</xm:f>
          </x14:formula1>
          <x14:formula2>
            <xm:f>0</xm:f>
          </x14:formula2>
          <xm:sqref>E6:E65</xm:sqref>
        </x14:dataValidation>
        <x14:dataValidation type="list" allowBlank="1" xr:uid="{00000000-0002-0000-0400-000005000000}">
          <x14:formula1>
            <xm:f>Games!$C$35:$D$35</xm:f>
          </x14:formula1>
          <x14:formula2>
            <xm:f>0</xm:f>
          </x14:formula2>
          <xm:sqref>F6:F65</xm:sqref>
        </x14:dataValidation>
        <x14:dataValidation type="list" allowBlank="1" xr:uid="{00000000-0002-0000-0400-000006000000}">
          <x14:formula1>
            <xm:f>Games!$C$36:$D$36</xm:f>
          </x14:formula1>
          <x14:formula2>
            <xm:f>0</xm:f>
          </x14:formula2>
          <xm:sqref>G6:G65</xm:sqref>
        </x14:dataValidation>
        <x14:dataValidation type="list" allowBlank="1" xr:uid="{00000000-0002-0000-0400-000007000000}">
          <x14:formula1>
            <xm:f>Games!$C$37:$D$37</xm:f>
          </x14:formula1>
          <x14:formula2>
            <xm:f>0</xm:f>
          </x14:formula2>
          <xm:sqref>H6:H65</xm:sqref>
        </x14:dataValidation>
        <x14:dataValidation type="list" allowBlank="1" xr:uid="{00000000-0002-0000-0400-000008000000}">
          <x14:formula1>
            <xm:f>Games!$C$38:$D$38</xm:f>
          </x14:formula1>
          <x14:formula2>
            <xm:f>0</xm:f>
          </x14:formula2>
          <xm:sqref>I6:I65</xm:sqref>
        </x14:dataValidation>
        <x14:dataValidation type="list" allowBlank="1" xr:uid="{00000000-0002-0000-0400-000009000000}">
          <x14:formula1>
            <xm:f>Games!$C$39:$D$39</xm:f>
          </x14:formula1>
          <x14:formula2>
            <xm:f>0</xm:f>
          </x14:formula2>
          <xm:sqref>J6:J65</xm:sqref>
        </x14:dataValidation>
        <x14:dataValidation type="list" allowBlank="1" xr:uid="{00000000-0002-0000-0400-00000A000000}">
          <x14:formula1>
            <xm:f>Games!$C$40:$D$40</xm:f>
          </x14:formula1>
          <x14:formula2>
            <xm:f>0</xm:f>
          </x14:formula2>
          <xm:sqref>K6:K65</xm:sqref>
        </x14:dataValidation>
        <x14:dataValidation type="list" allowBlank="1" xr:uid="{00000000-0002-0000-0400-00000B000000}">
          <x14:formula1>
            <xm:f>Games!$C$41:$D$41</xm:f>
          </x14:formula1>
          <x14:formula2>
            <xm:f>0</xm:f>
          </x14:formula2>
          <xm:sqref>L6:L65</xm:sqref>
        </x14:dataValidation>
        <x14:dataValidation type="list" allowBlank="1" xr:uid="{00000000-0002-0000-0400-00000C000000}">
          <x14:formula1>
            <xm:f>Games!$C$42:$D$42</xm:f>
          </x14:formula1>
          <x14:formula2>
            <xm:f>0</xm:f>
          </x14:formula2>
          <xm:sqref>M6:M65</xm:sqref>
        </x14:dataValidation>
        <x14:dataValidation type="list" allowBlank="1" xr:uid="{00000000-0002-0000-0400-00000D000000}">
          <x14:formula1>
            <xm:f>Games!$C$43:$D$43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317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1&amp;CHAR(10)&amp;Games!C44&amp;" vs "&amp;Games!D44</f>
        <v xml:space="preserve">1
 vs </v>
      </c>
      <c r="C4" s="10" t="str">
        <f>2&amp;CHAR(10)&amp;Games!C45&amp;" vs "&amp;Games!D45</f>
        <v xml:space="preserve">2
 vs </v>
      </c>
      <c r="D4" s="10" t="str">
        <f>3&amp;CHAR(10)&amp;Games!C46&amp;" vs "&amp;Games!D46</f>
        <v xml:space="preserve">3
 vs </v>
      </c>
      <c r="E4" s="10" t="str">
        <f>4&amp;CHAR(10)&amp;Games!C47&amp;" vs "&amp;Games!D47</f>
        <v xml:space="preserve">4
 vs </v>
      </c>
      <c r="F4" s="10" t="str">
        <f>5&amp;CHAR(10)&amp;Games!C48&amp;" vs "&amp;Games!D48</f>
        <v xml:space="preserve">5
 vs </v>
      </c>
      <c r="G4" s="10" t="str">
        <f>6&amp;CHAR(10)&amp;Games!C49&amp;" vs "&amp;Games!D49</f>
        <v xml:space="preserve">6
 vs </v>
      </c>
      <c r="H4" s="10" t="str">
        <f>7&amp;CHAR(10)&amp;Games!C50&amp;" vs "&amp;Games!D50</f>
        <v xml:space="preserve">7
 vs </v>
      </c>
      <c r="I4" s="10" t="str">
        <f>8&amp;CHAR(10)&amp;Games!C51&amp;" vs "&amp;Games!D51</f>
        <v xml:space="preserve">8
 vs </v>
      </c>
      <c r="J4" s="10" t="str">
        <f>9&amp;CHAR(10)&amp;Games!C52&amp;" vs "&amp;Games!D52</f>
        <v xml:space="preserve">9
 vs </v>
      </c>
      <c r="K4" s="10" t="str">
        <f>10&amp;CHAR(10)&amp;Games!C53&amp;" vs "&amp;Games!D53</f>
        <v xml:space="preserve">10
 vs </v>
      </c>
      <c r="L4" s="10" t="str">
        <f>11&amp;CHAR(10)&amp;Games!C54&amp;" vs "&amp;Games!D54</f>
        <v xml:space="preserve">11
 vs </v>
      </c>
      <c r="M4" s="10" t="str">
        <f>12&amp;CHAR(10)&amp;Games!C55&amp;" vs "&amp;Games!D55</f>
        <v xml:space="preserve">12
 vs </v>
      </c>
      <c r="N4" s="10" t="str">
        <f>13&amp;CHAR(10)&amp;Games!C56&amp;" vs "&amp;Games!D56</f>
        <v xml:space="preserve">13
 vs 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 t="str">
        <f>IF(OR(B6="",Results!B8=""),"",IF(B6=Results!B8,1+IF(OR($O6=1,$P6=1,$Q6=1),1,0),0))</f>
        <v/>
      </c>
      <c r="T6" s="4" t="str">
        <f>IF(OR(C6="",Results!C8=""),"",IF(C6=Results!C8,1+IF(OR($O6=2,$P6=2,$Q6=2),1,0),0))</f>
        <v/>
      </c>
      <c r="U6" s="4" t="str">
        <f>IF(OR(D6="",Results!D8=""),"",IF(D6=Results!D8,1+IF(OR($O6=3,$P6=3,$Q6=3),1,0),0))</f>
        <v/>
      </c>
      <c r="V6" s="4" t="str">
        <f>IF(OR(E6="",Results!E8=""),"",IF(E6=Results!E8,1+IF(OR($O6=4,$P6=4,$Q6=4),1,0),0))</f>
        <v/>
      </c>
      <c r="W6" s="4" t="str">
        <f>IF(OR(F6="",Results!F8=""),"",IF(F6=Results!F8,1+IF(OR($O6=5,$P6=5,$Q6=5),1,0),0))</f>
        <v/>
      </c>
      <c r="X6" s="4" t="str">
        <f>IF(OR(G6="",Results!G8=""),"",IF(G6=Results!G8,1+IF(OR($O6=6,$P6=6,$Q6=6),1,0),0))</f>
        <v/>
      </c>
      <c r="Y6" s="4" t="str">
        <f>IF(OR(H6="",Results!H8=""),"",IF(H6=Results!H8,1+IF(OR($O6=7,$P6=7,$Q6=7),1,0),0))</f>
        <v/>
      </c>
      <c r="Z6" s="4" t="str">
        <f>IF(OR(I6="",Results!I8=""),"",IF(I6=Results!I8,1+IF(OR($O6=8,$P6=8,$Q6=8),1,0),0))</f>
        <v/>
      </c>
      <c r="AA6" s="4" t="str">
        <f>IF(OR(J6="",Results!J8=""),"",IF(J6=Results!J8,1+IF(OR($O6=9,$P6=9,$Q6=9),1,0),0))</f>
        <v/>
      </c>
      <c r="AB6" s="4" t="str">
        <f>IF(OR(K6="",Results!K8=""),"",IF(K6=Results!K8,1+IF(OR($O6=10,$P6=10,$Q6=10),1,0),0))</f>
        <v/>
      </c>
      <c r="AC6" s="4" t="str">
        <f>IF(OR(L6="",Results!L8=""),"",IF(L6=Results!L8,1+IF(OR($O6=11,$P6=11,$Q6=11),1,0),0))</f>
        <v/>
      </c>
      <c r="AD6" s="4" t="str">
        <f>IF(OR(M6="",Results!M8=""),"",IF(M6=Results!M8,1+IF(OR($O6=12,$P6=12,$Q6=12),1,0),0))</f>
        <v/>
      </c>
      <c r="AE6" s="4" t="str">
        <f>IF(OR(N6="",Results!N8=""),"",IF(N6=Results!N8,1+IF(OR($O6=13,$P6=13,$Q6=13),1,0),0))</f>
        <v/>
      </c>
      <c r="AF6" s="11">
        <f t="shared" ref="AF6:AF37" si="0">SUM(S6:AE6)</f>
        <v>0</v>
      </c>
      <c r="AG6" s="4" t="str">
        <f>IF(OR($R6="",Results!O8=""),"",ABS($R6-Results!O8))</f>
        <v/>
      </c>
      <c r="AH6" s="12">
        <v>2</v>
      </c>
      <c r="AI6" s="13" t="str">
        <f>IF(OR(B6="",Results!B8=""),"",IF(AND(B6=Results!B8,Results!B8&lt;&gt;Games!$C$44),1,0))</f>
        <v/>
      </c>
      <c r="AJ6" s="13" t="str">
        <f>IF(OR(C6="",Results!C8=""),"",IF(AND(C6=Results!C8,Results!C8&lt;&gt;Games!$C$45),1,0))</f>
        <v/>
      </c>
      <c r="AK6" s="13" t="str">
        <f>IF(OR(D6="",Results!D8=""),"",IF(AND(D6=Results!D8,Results!D8&lt;&gt;Games!$C$46),1,0))</f>
        <v/>
      </c>
      <c r="AL6" s="13" t="str">
        <f>IF(OR(E6="",Results!E8=""),"",IF(AND(E6=Results!E8,Results!E8&lt;&gt;Games!$C$47),1,0))</f>
        <v/>
      </c>
      <c r="AM6" s="13" t="str">
        <f>IF(OR(F6="",Results!F8=""),"",IF(AND(F6=Results!F8,Results!F8&lt;&gt;Games!$C$48),1,0))</f>
        <v/>
      </c>
      <c r="AN6" s="13" t="str">
        <f>IF(OR(G6="",Results!G8=""),"",IF(AND(G6=Results!G8,Results!G8&lt;&gt;Games!$C$49),1,0))</f>
        <v/>
      </c>
      <c r="AO6" s="13" t="str">
        <f>IF(OR(H6="",Results!H8=""),"",IF(AND(H6=Results!H8,Results!H8&lt;&gt;Games!$C$50),1,0))</f>
        <v/>
      </c>
      <c r="AP6" s="13" t="str">
        <f>IF(OR(I6="",Results!I8=""),"",IF(AND(I6=Results!I8,Results!I8&lt;&gt;Games!$C$51),1,0))</f>
        <v/>
      </c>
      <c r="AQ6" s="13" t="str">
        <f>IF(OR(J6="",Results!J8=""),"",IF(AND(J6=Results!J8,Results!J8&lt;&gt;Games!$C$52),1,0))</f>
        <v/>
      </c>
      <c r="AR6" s="13" t="str">
        <f>IF(OR(K6="",Results!K8=""),"",IF(AND(K6=Results!K8,Results!K8&lt;&gt;Games!$C$53),1,0))</f>
        <v/>
      </c>
      <c r="AS6" s="13" t="str">
        <f>IF(OR(L6="",Results!L8=""),"",IF(AND(L6=Results!L8,Results!L8&lt;&gt;Games!$C$54),1,0))</f>
        <v/>
      </c>
      <c r="AT6" s="13" t="str">
        <f>IF(OR(M6="",Results!M8=""),"",IF(AND(M6=Results!M8,Results!M8&lt;&gt;Games!$C$55),1,0))</f>
        <v/>
      </c>
      <c r="AU6" s="13" t="str">
        <f>IF(OR(N6="",Results!N8=""),"",IF(AND(N6=Results!N8,Results!N8&lt;&gt;Games!$C$56),1,0))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IF(OR(B7="",Results!B8=""),"",IF(B7=Results!B8,1+IF(OR($O7=1,$P7=1,$Q7=1),1,0),0))</f>
        <v/>
      </c>
      <c r="T7" s="4" t="str">
        <f>IF(OR(C7="",Results!C8=""),"",IF(C7=Results!C8,1+IF(OR($O7=2,$P7=2,$Q7=2),1,0),0))</f>
        <v/>
      </c>
      <c r="U7" s="4" t="str">
        <f>IF(OR(D7="",Results!D8=""),"",IF(D7=Results!D8,1+IF(OR($O7=3,$P7=3,$Q7=3),1,0),0))</f>
        <v/>
      </c>
      <c r="V7" s="4" t="str">
        <f>IF(OR(E7="",Results!E8=""),"",IF(E7=Results!E8,1+IF(OR($O7=4,$P7=4,$Q7=4),1,0),0))</f>
        <v/>
      </c>
      <c r="W7" s="4" t="str">
        <f>IF(OR(F7="",Results!F8=""),"",IF(F7=Results!F8,1+IF(OR($O7=5,$P7=5,$Q7=5),1,0),0))</f>
        <v/>
      </c>
      <c r="X7" s="4" t="str">
        <f>IF(OR(G7="",Results!G8=""),"",IF(G7=Results!G8,1+IF(OR($O7=6,$P7=6,$Q7=6),1,0),0))</f>
        <v/>
      </c>
      <c r="Y7" s="4" t="str">
        <f>IF(OR(H7="",Results!H8=""),"",IF(H7=Results!H8,1+IF(OR($O7=7,$P7=7,$Q7=7),1,0),0))</f>
        <v/>
      </c>
      <c r="Z7" s="4" t="str">
        <f>IF(OR(I7="",Results!I8=""),"",IF(I7=Results!I8,1+IF(OR($O7=8,$P7=8,$Q7=8),1,0),0))</f>
        <v/>
      </c>
      <c r="AA7" s="4" t="str">
        <f>IF(OR(J7="",Results!J8=""),"",IF(J7=Results!J8,1+IF(OR($O7=9,$P7=9,$Q7=9),1,0),0))</f>
        <v/>
      </c>
      <c r="AB7" s="4" t="str">
        <f>IF(OR(K7="",Results!K8=""),"",IF(K7=Results!K8,1+IF(OR($O7=10,$P7=10,$Q7=10),1,0),0))</f>
        <v/>
      </c>
      <c r="AC7" s="4" t="str">
        <f>IF(OR(L7="",Results!L8=""),"",IF(L7=Results!L8,1+IF(OR($O7=11,$P7=11,$Q7=11),1,0),0))</f>
        <v/>
      </c>
      <c r="AD7" s="4" t="str">
        <f>IF(OR(M7="",Results!M8=""),"",IF(M7=Results!M8,1+IF(OR($O7=12,$P7=12,$Q7=12),1,0),0))</f>
        <v/>
      </c>
      <c r="AE7" s="4" t="str">
        <f>IF(OR(N7="",Results!N8=""),"",IF(N7=Results!N8,1+IF(OR($O7=13,$P7=13,$Q7=13),1,0),0))</f>
        <v/>
      </c>
      <c r="AF7" s="11">
        <f t="shared" si="0"/>
        <v>0</v>
      </c>
      <c r="AG7" s="4" t="str">
        <f>IF(OR($R7="",Results!O8=""),"",ABS($R7-Results!O8))</f>
        <v/>
      </c>
      <c r="AH7" s="12">
        <v>53</v>
      </c>
      <c r="AI7" s="13" t="str">
        <f>IF(OR(B7="",Results!B8=""),"",IF(AND(B7=Results!B8,Results!B8&lt;&gt;Games!$C$44),1,0))</f>
        <v/>
      </c>
      <c r="AJ7" s="13" t="str">
        <f>IF(OR(C7="",Results!C8=""),"",IF(AND(C7=Results!C8,Results!C8&lt;&gt;Games!$C$45),1,0))</f>
        <v/>
      </c>
      <c r="AK7" s="13" t="str">
        <f>IF(OR(D7="",Results!D8=""),"",IF(AND(D7=Results!D8,Results!D8&lt;&gt;Games!$C$46),1,0))</f>
        <v/>
      </c>
      <c r="AL7" s="13" t="str">
        <f>IF(OR(E7="",Results!E8=""),"",IF(AND(E7=Results!E8,Results!E8&lt;&gt;Games!$C$47),1,0))</f>
        <v/>
      </c>
      <c r="AM7" s="13" t="str">
        <f>IF(OR(F7="",Results!F8=""),"",IF(AND(F7=Results!F8,Results!F8&lt;&gt;Games!$C$48),1,0))</f>
        <v/>
      </c>
      <c r="AN7" s="13" t="str">
        <f>IF(OR(G7="",Results!G8=""),"",IF(AND(G7=Results!G8,Results!G8&lt;&gt;Games!$C$49),1,0))</f>
        <v/>
      </c>
      <c r="AO7" s="13" t="str">
        <f>IF(OR(H7="",Results!H8=""),"",IF(AND(H7=Results!H8,Results!H8&lt;&gt;Games!$C$50),1,0))</f>
        <v/>
      </c>
      <c r="AP7" s="13" t="str">
        <f>IF(OR(I7="",Results!I8=""),"",IF(AND(I7=Results!I8,Results!I8&lt;&gt;Games!$C$51),1,0))</f>
        <v/>
      </c>
      <c r="AQ7" s="13" t="str">
        <f>IF(OR(J7="",Results!J8=""),"",IF(AND(J7=Results!J8,Results!J8&lt;&gt;Games!$C$52),1,0))</f>
        <v/>
      </c>
      <c r="AR7" s="13" t="str">
        <f>IF(OR(K7="",Results!K8=""),"",IF(AND(K7=Results!K8,Results!K8&lt;&gt;Games!$C$53),1,0))</f>
        <v/>
      </c>
      <c r="AS7" s="13" t="str">
        <f>IF(OR(L7="",Results!L8=""),"",IF(AND(L7=Results!L8,Results!L8&lt;&gt;Games!$C$54),1,0))</f>
        <v/>
      </c>
      <c r="AT7" s="13" t="str">
        <f>IF(OR(M7="",Results!M8=""),"",IF(AND(M7=Results!M8,Results!M8&lt;&gt;Games!$C$55),1,0))</f>
        <v/>
      </c>
      <c r="AU7" s="13" t="str">
        <f>IF(OR(N7="",Results!N8=""),"",IF(AND(N7=Results!N8,Results!N8&lt;&gt;Games!$C$56),1,0))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" t="str">
        <f>IF(OR(B8="",Results!B8=""),"",IF(B8=Results!B8,1+IF(OR($O8=1,$P8=1,$Q8=1),1,0),0))</f>
        <v/>
      </c>
      <c r="T8" s="4" t="str">
        <f>IF(OR(C8="",Results!C8=""),"",IF(C8=Results!C8,1+IF(OR($O8=2,$P8=2,$Q8=2),1,0),0))</f>
        <v/>
      </c>
      <c r="U8" s="4" t="str">
        <f>IF(OR(D8="",Results!D8=""),"",IF(D8=Results!D8,1+IF(OR($O8=3,$P8=3,$Q8=3),1,0),0))</f>
        <v/>
      </c>
      <c r="V8" s="4" t="str">
        <f>IF(OR(E8="",Results!E8=""),"",IF(E8=Results!E8,1+IF(OR($O8=4,$P8=4,$Q8=4),1,0),0))</f>
        <v/>
      </c>
      <c r="W8" s="4" t="str">
        <f>IF(OR(F8="",Results!F8=""),"",IF(F8=Results!F8,1+IF(OR($O8=5,$P8=5,$Q8=5),1,0),0))</f>
        <v/>
      </c>
      <c r="X8" s="4" t="str">
        <f>IF(OR(G8="",Results!G8=""),"",IF(G8=Results!G8,1+IF(OR($O8=6,$P8=6,$Q8=6),1,0),0))</f>
        <v/>
      </c>
      <c r="Y8" s="4" t="str">
        <f>IF(OR(H8="",Results!H8=""),"",IF(H8=Results!H8,1+IF(OR($O8=7,$P8=7,$Q8=7),1,0),0))</f>
        <v/>
      </c>
      <c r="Z8" s="4" t="str">
        <f>IF(OR(I8="",Results!I8=""),"",IF(I8=Results!I8,1+IF(OR($O8=8,$P8=8,$Q8=8),1,0),0))</f>
        <v/>
      </c>
      <c r="AA8" s="4" t="str">
        <f>IF(OR(J8="",Results!J8=""),"",IF(J8=Results!J8,1+IF(OR($O8=9,$P8=9,$Q8=9),1,0),0))</f>
        <v/>
      </c>
      <c r="AB8" s="4" t="str">
        <f>IF(OR(K8="",Results!K8=""),"",IF(K8=Results!K8,1+IF(OR($O8=10,$P8=10,$Q8=10),1,0),0))</f>
        <v/>
      </c>
      <c r="AC8" s="4" t="str">
        <f>IF(OR(L8="",Results!L8=""),"",IF(L8=Results!L8,1+IF(OR($O8=11,$P8=11,$Q8=11),1,0),0))</f>
        <v/>
      </c>
      <c r="AD8" s="4" t="str">
        <f>IF(OR(M8="",Results!M8=""),"",IF(M8=Results!M8,1+IF(OR($O8=12,$P8=12,$Q8=12),1,0),0))</f>
        <v/>
      </c>
      <c r="AE8" s="4" t="str">
        <f>IF(OR(N8="",Results!N8=""),"",IF(N8=Results!N8,1+IF(OR($O8=13,$P8=13,$Q8=13),1,0),0))</f>
        <v/>
      </c>
      <c r="AF8" s="11">
        <f t="shared" si="0"/>
        <v>0</v>
      </c>
      <c r="AG8" s="4" t="str">
        <f>IF(OR($R8="",Results!O8=""),"",ABS($R8-Results!O8))</f>
        <v/>
      </c>
      <c r="AH8" s="12">
        <v>61</v>
      </c>
      <c r="AI8" s="13" t="str">
        <f>IF(OR(B8="",Results!B8=""),"",IF(AND(B8=Results!B8,Results!B8&lt;&gt;Games!$C$44),1,0))</f>
        <v/>
      </c>
      <c r="AJ8" s="13" t="str">
        <f>IF(OR(C8="",Results!C8=""),"",IF(AND(C8=Results!C8,Results!C8&lt;&gt;Games!$C$45),1,0))</f>
        <v/>
      </c>
      <c r="AK8" s="13" t="str">
        <f>IF(OR(D8="",Results!D8=""),"",IF(AND(D8=Results!D8,Results!D8&lt;&gt;Games!$C$46),1,0))</f>
        <v/>
      </c>
      <c r="AL8" s="13" t="str">
        <f>IF(OR(E8="",Results!E8=""),"",IF(AND(E8=Results!E8,Results!E8&lt;&gt;Games!$C$47),1,0))</f>
        <v/>
      </c>
      <c r="AM8" s="13" t="str">
        <f>IF(OR(F8="",Results!F8=""),"",IF(AND(F8=Results!F8,Results!F8&lt;&gt;Games!$C$48),1,0))</f>
        <v/>
      </c>
      <c r="AN8" s="13" t="str">
        <f>IF(OR(G8="",Results!G8=""),"",IF(AND(G8=Results!G8,Results!G8&lt;&gt;Games!$C$49),1,0))</f>
        <v/>
      </c>
      <c r="AO8" s="13" t="str">
        <f>IF(OR(H8="",Results!H8=""),"",IF(AND(H8=Results!H8,Results!H8&lt;&gt;Games!$C$50),1,0))</f>
        <v/>
      </c>
      <c r="AP8" s="13" t="str">
        <f>IF(OR(I8="",Results!I8=""),"",IF(AND(I8=Results!I8,Results!I8&lt;&gt;Games!$C$51),1,0))</f>
        <v/>
      </c>
      <c r="AQ8" s="13" t="str">
        <f>IF(OR(J8="",Results!J8=""),"",IF(AND(J8=Results!J8,Results!J8&lt;&gt;Games!$C$52),1,0))</f>
        <v/>
      </c>
      <c r="AR8" s="13" t="str">
        <f>IF(OR(K8="",Results!K8=""),"",IF(AND(K8=Results!K8,Results!K8&lt;&gt;Games!$C$53),1,0))</f>
        <v/>
      </c>
      <c r="AS8" s="13" t="str">
        <f>IF(OR(L8="",Results!L8=""),"",IF(AND(L8=Results!L8,Results!L8&lt;&gt;Games!$C$54),1,0))</f>
        <v/>
      </c>
      <c r="AT8" s="13" t="str">
        <f>IF(OR(M8="",Results!M8=""),"",IF(AND(M8=Results!M8,Results!M8&lt;&gt;Games!$C$55),1,0))</f>
        <v/>
      </c>
      <c r="AU8" s="13" t="str">
        <f>IF(OR(N8="",Results!N8=""),"",IF(AND(N8=Results!N8,Results!N8&lt;&gt;Games!$C$56),1,0))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IF(OR(B9="",Results!B8=""),"",IF(B9=Results!B8,1+IF(OR($O9=1,$P9=1,$Q9=1),1,0),0))</f>
        <v/>
      </c>
      <c r="T9" s="4" t="str">
        <f>IF(OR(C9="",Results!C8=""),"",IF(C9=Results!C8,1+IF(OR($O9=2,$P9=2,$Q9=2),1,0),0))</f>
        <v/>
      </c>
      <c r="U9" s="4" t="str">
        <f>IF(OR(D9="",Results!D8=""),"",IF(D9=Results!D8,1+IF(OR($O9=3,$P9=3,$Q9=3),1,0),0))</f>
        <v/>
      </c>
      <c r="V9" s="4" t="str">
        <f>IF(OR(E9="",Results!E8=""),"",IF(E9=Results!E8,1+IF(OR($O9=4,$P9=4,$Q9=4),1,0),0))</f>
        <v/>
      </c>
      <c r="W9" s="4" t="str">
        <f>IF(OR(F9="",Results!F8=""),"",IF(F9=Results!F8,1+IF(OR($O9=5,$P9=5,$Q9=5),1,0),0))</f>
        <v/>
      </c>
      <c r="X9" s="4" t="str">
        <f>IF(OR(G9="",Results!G8=""),"",IF(G9=Results!G8,1+IF(OR($O9=6,$P9=6,$Q9=6),1,0),0))</f>
        <v/>
      </c>
      <c r="Y9" s="4" t="str">
        <f>IF(OR(H9="",Results!H8=""),"",IF(H9=Results!H8,1+IF(OR($O9=7,$P9=7,$Q9=7),1,0),0))</f>
        <v/>
      </c>
      <c r="Z9" s="4" t="str">
        <f>IF(OR(I9="",Results!I8=""),"",IF(I9=Results!I8,1+IF(OR($O9=8,$P9=8,$Q9=8),1,0),0))</f>
        <v/>
      </c>
      <c r="AA9" s="4" t="str">
        <f>IF(OR(J9="",Results!J8=""),"",IF(J9=Results!J8,1+IF(OR($O9=9,$P9=9,$Q9=9),1,0),0))</f>
        <v/>
      </c>
      <c r="AB9" s="4" t="str">
        <f>IF(OR(K9="",Results!K8=""),"",IF(K9=Results!K8,1+IF(OR($O9=10,$P9=10,$Q9=10),1,0),0))</f>
        <v/>
      </c>
      <c r="AC9" s="4" t="str">
        <f>IF(OR(L9="",Results!L8=""),"",IF(L9=Results!L8,1+IF(OR($O9=11,$P9=11,$Q9=11),1,0),0))</f>
        <v/>
      </c>
      <c r="AD9" s="4" t="str">
        <f>IF(OR(M9="",Results!M8=""),"",IF(M9=Results!M8,1+IF(OR($O9=12,$P9=12,$Q9=12),1,0),0))</f>
        <v/>
      </c>
      <c r="AE9" s="4" t="str">
        <f>IF(OR(N9="",Results!N8=""),"",IF(N9=Results!N8,1+IF(OR($O9=13,$P9=13,$Q9=13),1,0),0))</f>
        <v/>
      </c>
      <c r="AF9" s="11">
        <f t="shared" si="0"/>
        <v>0</v>
      </c>
      <c r="AG9" s="4" t="str">
        <f>IF(OR($R9="",Results!O8=""),"",ABS($R9-Results!O8))</f>
        <v/>
      </c>
      <c r="AH9" s="12">
        <v>41</v>
      </c>
      <c r="AI9" s="13" t="str">
        <f>IF(OR(B9="",Results!B8=""),"",IF(AND(B9=Results!B8,Results!B8&lt;&gt;Games!$C$44),1,0))</f>
        <v/>
      </c>
      <c r="AJ9" s="13" t="str">
        <f>IF(OR(C9="",Results!C8=""),"",IF(AND(C9=Results!C8,Results!C8&lt;&gt;Games!$C$45),1,0))</f>
        <v/>
      </c>
      <c r="AK9" s="13" t="str">
        <f>IF(OR(D9="",Results!D8=""),"",IF(AND(D9=Results!D8,Results!D8&lt;&gt;Games!$C$46),1,0))</f>
        <v/>
      </c>
      <c r="AL9" s="13" t="str">
        <f>IF(OR(E9="",Results!E8=""),"",IF(AND(E9=Results!E8,Results!E8&lt;&gt;Games!$C$47),1,0))</f>
        <v/>
      </c>
      <c r="AM9" s="13" t="str">
        <f>IF(OR(F9="",Results!F8=""),"",IF(AND(F9=Results!F8,Results!F8&lt;&gt;Games!$C$48),1,0))</f>
        <v/>
      </c>
      <c r="AN9" s="13" t="str">
        <f>IF(OR(G9="",Results!G8=""),"",IF(AND(G9=Results!G8,Results!G8&lt;&gt;Games!$C$49),1,0))</f>
        <v/>
      </c>
      <c r="AO9" s="13" t="str">
        <f>IF(OR(H9="",Results!H8=""),"",IF(AND(H9=Results!H8,Results!H8&lt;&gt;Games!$C$50),1,0))</f>
        <v/>
      </c>
      <c r="AP9" s="13" t="str">
        <f>IF(OR(I9="",Results!I8=""),"",IF(AND(I9=Results!I8,Results!I8&lt;&gt;Games!$C$51),1,0))</f>
        <v/>
      </c>
      <c r="AQ9" s="13" t="str">
        <f>IF(OR(J9="",Results!J8=""),"",IF(AND(J9=Results!J8,Results!J8&lt;&gt;Games!$C$52),1,0))</f>
        <v/>
      </c>
      <c r="AR9" s="13" t="str">
        <f>IF(OR(K9="",Results!K8=""),"",IF(AND(K9=Results!K8,Results!K8&lt;&gt;Games!$C$53),1,0))</f>
        <v/>
      </c>
      <c r="AS9" s="13" t="str">
        <f>IF(OR(L9="",Results!L8=""),"",IF(AND(L9=Results!L8,Results!L8&lt;&gt;Games!$C$54),1,0))</f>
        <v/>
      </c>
      <c r="AT9" s="13" t="str">
        <f>IF(OR(M9="",Results!M8=""),"",IF(AND(M9=Results!M8,Results!M8&lt;&gt;Games!$C$55),1,0))</f>
        <v/>
      </c>
      <c r="AU9" s="13" t="str">
        <f>IF(OR(N9="",Results!N8=""),"",IF(AND(N9=Results!N8,Results!N8&lt;&gt;Games!$C$56),1,0))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tr">
        <f>IF(OR(B10="",Results!B8=""),"",IF(B10=Results!B8,1+IF(OR($O10=1,$P10=1,$Q10=1),1,0),0))</f>
        <v/>
      </c>
      <c r="T10" s="4" t="str">
        <f>IF(OR(C10="",Results!C8=""),"",IF(C10=Results!C8,1+IF(OR($O10=2,$P10=2,$Q10=2),1,0),0))</f>
        <v/>
      </c>
      <c r="U10" s="4" t="str">
        <f>IF(OR(D10="",Results!D8=""),"",IF(D10=Results!D8,1+IF(OR($O10=3,$P10=3,$Q10=3),1,0),0))</f>
        <v/>
      </c>
      <c r="V10" s="4" t="str">
        <f>IF(OR(E10="",Results!E8=""),"",IF(E10=Results!E8,1+IF(OR($O10=4,$P10=4,$Q10=4),1,0),0))</f>
        <v/>
      </c>
      <c r="W10" s="4" t="str">
        <f>IF(OR(F10="",Results!F8=""),"",IF(F10=Results!F8,1+IF(OR($O10=5,$P10=5,$Q10=5),1,0),0))</f>
        <v/>
      </c>
      <c r="X10" s="4" t="str">
        <f>IF(OR(G10="",Results!G8=""),"",IF(G10=Results!G8,1+IF(OR($O10=6,$P10=6,$Q10=6),1,0),0))</f>
        <v/>
      </c>
      <c r="Y10" s="4" t="str">
        <f>IF(OR(H10="",Results!H8=""),"",IF(H10=Results!H8,1+IF(OR($O10=7,$P10=7,$Q10=7),1,0),0))</f>
        <v/>
      </c>
      <c r="Z10" s="4" t="str">
        <f>IF(OR(I10="",Results!I8=""),"",IF(I10=Results!I8,1+IF(OR($O10=8,$P10=8,$Q10=8),1,0),0))</f>
        <v/>
      </c>
      <c r="AA10" s="4" t="str">
        <f>IF(OR(J10="",Results!J8=""),"",IF(J10=Results!J8,1+IF(OR($O10=9,$P10=9,$Q10=9),1,0),0))</f>
        <v/>
      </c>
      <c r="AB10" s="4" t="str">
        <f>IF(OR(K10="",Results!K8=""),"",IF(K10=Results!K8,1+IF(OR($O10=10,$P10=10,$Q10=10),1,0),0))</f>
        <v/>
      </c>
      <c r="AC10" s="4" t="str">
        <f>IF(OR(L10="",Results!L8=""),"",IF(L10=Results!L8,1+IF(OR($O10=11,$P10=11,$Q10=11),1,0),0))</f>
        <v/>
      </c>
      <c r="AD10" s="4" t="str">
        <f>IF(OR(M10="",Results!M8=""),"",IF(M10=Results!M8,1+IF(OR($O10=12,$P10=12,$Q10=12),1,0),0))</f>
        <v/>
      </c>
      <c r="AE10" s="4" t="str">
        <f>IF(OR(N10="",Results!N8=""),"",IF(N10=Results!N8,1+IF(OR($O10=13,$P10=13,$Q10=13),1,0),0))</f>
        <v/>
      </c>
      <c r="AF10" s="11">
        <f t="shared" si="0"/>
        <v>0</v>
      </c>
      <c r="AG10" s="4" t="str">
        <f>IF(OR($R10="",Results!O8=""),"",ABS($R10-Results!O8))</f>
        <v/>
      </c>
      <c r="AH10" s="12">
        <v>3</v>
      </c>
      <c r="AI10" s="13" t="str">
        <f>IF(OR(B10="",Results!B8=""),"",IF(AND(B10=Results!B8,Results!B8&lt;&gt;Games!$C$44),1,0))</f>
        <v/>
      </c>
      <c r="AJ10" s="13" t="str">
        <f>IF(OR(C10="",Results!C8=""),"",IF(AND(C10=Results!C8,Results!C8&lt;&gt;Games!$C$45),1,0))</f>
        <v/>
      </c>
      <c r="AK10" s="13" t="str">
        <f>IF(OR(D10="",Results!D8=""),"",IF(AND(D10=Results!D8,Results!D8&lt;&gt;Games!$C$46),1,0))</f>
        <v/>
      </c>
      <c r="AL10" s="13" t="str">
        <f>IF(OR(E10="",Results!E8=""),"",IF(AND(E10=Results!E8,Results!E8&lt;&gt;Games!$C$47),1,0))</f>
        <v/>
      </c>
      <c r="AM10" s="13" t="str">
        <f>IF(OR(F10="",Results!F8=""),"",IF(AND(F10=Results!F8,Results!F8&lt;&gt;Games!$C$48),1,0))</f>
        <v/>
      </c>
      <c r="AN10" s="13" t="str">
        <f>IF(OR(G10="",Results!G8=""),"",IF(AND(G10=Results!G8,Results!G8&lt;&gt;Games!$C$49),1,0))</f>
        <v/>
      </c>
      <c r="AO10" s="13" t="str">
        <f>IF(OR(H10="",Results!H8=""),"",IF(AND(H10=Results!H8,Results!H8&lt;&gt;Games!$C$50),1,0))</f>
        <v/>
      </c>
      <c r="AP10" s="13" t="str">
        <f>IF(OR(I10="",Results!I8=""),"",IF(AND(I10=Results!I8,Results!I8&lt;&gt;Games!$C$51),1,0))</f>
        <v/>
      </c>
      <c r="AQ10" s="13" t="str">
        <f>IF(OR(J10="",Results!J8=""),"",IF(AND(J10=Results!J8,Results!J8&lt;&gt;Games!$C$52),1,0))</f>
        <v/>
      </c>
      <c r="AR10" s="13" t="str">
        <f>IF(OR(K10="",Results!K8=""),"",IF(AND(K10=Results!K8,Results!K8&lt;&gt;Games!$C$53),1,0))</f>
        <v/>
      </c>
      <c r="AS10" s="13" t="str">
        <f>IF(OR(L10="",Results!L8=""),"",IF(AND(L10=Results!L8,Results!L8&lt;&gt;Games!$C$54),1,0))</f>
        <v/>
      </c>
      <c r="AT10" s="13" t="str">
        <f>IF(OR(M10="",Results!M8=""),"",IF(AND(M10=Results!M8,Results!M8&lt;&gt;Games!$C$55),1,0))</f>
        <v/>
      </c>
      <c r="AU10" s="13" t="str">
        <f>IF(OR(N10="",Results!N8=""),"",IF(AND(N10=Results!N8,Results!N8&lt;&gt;Games!$C$56),1,0))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IF(OR(B11="",Results!B8=""),"",IF(B11=Results!B8,1+IF(OR($O11=1,$P11=1,$Q11=1),1,0),0))</f>
        <v/>
      </c>
      <c r="T11" s="4" t="str">
        <f>IF(OR(C11="",Results!C8=""),"",IF(C11=Results!C8,1+IF(OR($O11=2,$P11=2,$Q11=2),1,0),0))</f>
        <v/>
      </c>
      <c r="U11" s="4" t="str">
        <f>IF(OR(D11="",Results!D8=""),"",IF(D11=Results!D8,1+IF(OR($O11=3,$P11=3,$Q11=3),1,0),0))</f>
        <v/>
      </c>
      <c r="V11" s="4" t="str">
        <f>IF(OR(E11="",Results!E8=""),"",IF(E11=Results!E8,1+IF(OR($O11=4,$P11=4,$Q11=4),1,0),0))</f>
        <v/>
      </c>
      <c r="W11" s="4" t="str">
        <f>IF(OR(F11="",Results!F8=""),"",IF(F11=Results!F8,1+IF(OR($O11=5,$P11=5,$Q11=5),1,0),0))</f>
        <v/>
      </c>
      <c r="X11" s="4" t="str">
        <f>IF(OR(G11="",Results!G8=""),"",IF(G11=Results!G8,1+IF(OR($O11=6,$P11=6,$Q11=6),1,0),0))</f>
        <v/>
      </c>
      <c r="Y11" s="4" t="str">
        <f>IF(OR(H11="",Results!H8=""),"",IF(H11=Results!H8,1+IF(OR($O11=7,$P11=7,$Q11=7),1,0),0))</f>
        <v/>
      </c>
      <c r="Z11" s="4" t="str">
        <f>IF(OR(I11="",Results!I8=""),"",IF(I11=Results!I8,1+IF(OR($O11=8,$P11=8,$Q11=8),1,0),0))</f>
        <v/>
      </c>
      <c r="AA11" s="4" t="str">
        <f>IF(OR(J11="",Results!J8=""),"",IF(J11=Results!J8,1+IF(OR($O11=9,$P11=9,$Q11=9),1,0),0))</f>
        <v/>
      </c>
      <c r="AB11" s="4" t="str">
        <f>IF(OR(K11="",Results!K8=""),"",IF(K11=Results!K8,1+IF(OR($O11=10,$P11=10,$Q11=10),1,0),0))</f>
        <v/>
      </c>
      <c r="AC11" s="4" t="str">
        <f>IF(OR(L11="",Results!L8=""),"",IF(L11=Results!L8,1+IF(OR($O11=11,$P11=11,$Q11=11),1,0),0))</f>
        <v/>
      </c>
      <c r="AD11" s="4" t="str">
        <f>IF(OR(M11="",Results!M8=""),"",IF(M11=Results!M8,1+IF(OR($O11=12,$P11=12,$Q11=12),1,0),0))</f>
        <v/>
      </c>
      <c r="AE11" s="4" t="str">
        <f>IF(OR(N11="",Results!N8=""),"",IF(N11=Results!N8,1+IF(OR($O11=13,$P11=13,$Q11=13),1,0),0))</f>
        <v/>
      </c>
      <c r="AF11" s="11">
        <f t="shared" si="0"/>
        <v>0</v>
      </c>
      <c r="AG11" s="4" t="str">
        <f>IF(OR($R11="",Results!O8=""),"",ABS($R11-Results!O8))</f>
        <v/>
      </c>
      <c r="AH11" s="12">
        <v>58</v>
      </c>
      <c r="AI11" s="13" t="str">
        <f>IF(OR(B11="",Results!B8=""),"",IF(AND(B11=Results!B8,Results!B8&lt;&gt;Games!$C$44),1,0))</f>
        <v/>
      </c>
      <c r="AJ11" s="13" t="str">
        <f>IF(OR(C11="",Results!C8=""),"",IF(AND(C11=Results!C8,Results!C8&lt;&gt;Games!$C$45),1,0))</f>
        <v/>
      </c>
      <c r="AK11" s="13" t="str">
        <f>IF(OR(D11="",Results!D8=""),"",IF(AND(D11=Results!D8,Results!D8&lt;&gt;Games!$C$46),1,0))</f>
        <v/>
      </c>
      <c r="AL11" s="13" t="str">
        <f>IF(OR(E11="",Results!E8=""),"",IF(AND(E11=Results!E8,Results!E8&lt;&gt;Games!$C$47),1,0))</f>
        <v/>
      </c>
      <c r="AM11" s="13" t="str">
        <f>IF(OR(F11="",Results!F8=""),"",IF(AND(F11=Results!F8,Results!F8&lt;&gt;Games!$C$48),1,0))</f>
        <v/>
      </c>
      <c r="AN11" s="13" t="str">
        <f>IF(OR(G11="",Results!G8=""),"",IF(AND(G11=Results!G8,Results!G8&lt;&gt;Games!$C$49),1,0))</f>
        <v/>
      </c>
      <c r="AO11" s="13" t="str">
        <f>IF(OR(H11="",Results!H8=""),"",IF(AND(H11=Results!H8,Results!H8&lt;&gt;Games!$C$50),1,0))</f>
        <v/>
      </c>
      <c r="AP11" s="13" t="str">
        <f>IF(OR(I11="",Results!I8=""),"",IF(AND(I11=Results!I8,Results!I8&lt;&gt;Games!$C$51),1,0))</f>
        <v/>
      </c>
      <c r="AQ11" s="13" t="str">
        <f>IF(OR(J11="",Results!J8=""),"",IF(AND(J11=Results!J8,Results!J8&lt;&gt;Games!$C$52),1,0))</f>
        <v/>
      </c>
      <c r="AR11" s="13" t="str">
        <f>IF(OR(K11="",Results!K8=""),"",IF(AND(K11=Results!K8,Results!K8&lt;&gt;Games!$C$53),1,0))</f>
        <v/>
      </c>
      <c r="AS11" s="13" t="str">
        <f>IF(OR(L11="",Results!L8=""),"",IF(AND(L11=Results!L8,Results!L8&lt;&gt;Games!$C$54),1,0))</f>
        <v/>
      </c>
      <c r="AT11" s="13" t="str">
        <f>IF(OR(M11="",Results!M8=""),"",IF(AND(M11=Results!M8,Results!M8&lt;&gt;Games!$C$55),1,0))</f>
        <v/>
      </c>
      <c r="AU11" s="13" t="str">
        <f>IF(OR(N11="",Results!N8=""),"",IF(AND(N11=Results!N8,Results!N8&lt;&gt;Games!$C$56),1,0))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 t="str">
        <f>IF(OR(B12="",Results!B8=""),"",IF(B12=Results!B8,1+IF(OR($O12=1,$P12=1,$Q12=1),1,0),0))</f>
        <v/>
      </c>
      <c r="T12" s="4" t="str">
        <f>IF(OR(C12="",Results!C8=""),"",IF(C12=Results!C8,1+IF(OR($O12=2,$P12=2,$Q12=2),1,0),0))</f>
        <v/>
      </c>
      <c r="U12" s="4" t="str">
        <f>IF(OR(D12="",Results!D8=""),"",IF(D12=Results!D8,1+IF(OR($O12=3,$P12=3,$Q12=3),1,0),0))</f>
        <v/>
      </c>
      <c r="V12" s="4" t="str">
        <f>IF(OR(E12="",Results!E8=""),"",IF(E12=Results!E8,1+IF(OR($O12=4,$P12=4,$Q12=4),1,0),0))</f>
        <v/>
      </c>
      <c r="W12" s="4" t="str">
        <f>IF(OR(F12="",Results!F8=""),"",IF(F12=Results!F8,1+IF(OR($O12=5,$P12=5,$Q12=5),1,0),0))</f>
        <v/>
      </c>
      <c r="X12" s="4" t="str">
        <f>IF(OR(G12="",Results!G8=""),"",IF(G12=Results!G8,1+IF(OR($O12=6,$P12=6,$Q12=6),1,0),0))</f>
        <v/>
      </c>
      <c r="Y12" s="4" t="str">
        <f>IF(OR(H12="",Results!H8=""),"",IF(H12=Results!H8,1+IF(OR($O12=7,$P12=7,$Q12=7),1,0),0))</f>
        <v/>
      </c>
      <c r="Z12" s="4" t="str">
        <f>IF(OR(I12="",Results!I8=""),"",IF(I12=Results!I8,1+IF(OR($O12=8,$P12=8,$Q12=8),1,0),0))</f>
        <v/>
      </c>
      <c r="AA12" s="4" t="str">
        <f>IF(OR(J12="",Results!J8=""),"",IF(J12=Results!J8,1+IF(OR($O12=9,$P12=9,$Q12=9),1,0),0))</f>
        <v/>
      </c>
      <c r="AB12" s="4" t="str">
        <f>IF(OR(K12="",Results!K8=""),"",IF(K12=Results!K8,1+IF(OR($O12=10,$P12=10,$Q12=10),1,0),0))</f>
        <v/>
      </c>
      <c r="AC12" s="4" t="str">
        <f>IF(OR(L12="",Results!L8=""),"",IF(L12=Results!L8,1+IF(OR($O12=11,$P12=11,$Q12=11),1,0),0))</f>
        <v/>
      </c>
      <c r="AD12" s="4" t="str">
        <f>IF(OR(M12="",Results!M8=""),"",IF(M12=Results!M8,1+IF(OR($O12=12,$P12=12,$Q12=12),1,0),0))</f>
        <v/>
      </c>
      <c r="AE12" s="4" t="str">
        <f>IF(OR(N12="",Results!N8=""),"",IF(N12=Results!N8,1+IF(OR($O12=13,$P12=13,$Q12=13),1,0),0))</f>
        <v/>
      </c>
      <c r="AF12" s="11">
        <f t="shared" si="0"/>
        <v>0</v>
      </c>
      <c r="AG12" s="4" t="str">
        <f>IF(OR($R12="",Results!O8=""),"",ABS($R12-Results!O8))</f>
        <v/>
      </c>
      <c r="AH12" s="12">
        <v>4</v>
      </c>
      <c r="AI12" s="13" t="str">
        <f>IF(OR(B12="",Results!B8=""),"",IF(AND(B12=Results!B8,Results!B8&lt;&gt;Games!$C$44),1,0))</f>
        <v/>
      </c>
      <c r="AJ12" s="13" t="str">
        <f>IF(OR(C12="",Results!C8=""),"",IF(AND(C12=Results!C8,Results!C8&lt;&gt;Games!$C$45),1,0))</f>
        <v/>
      </c>
      <c r="AK12" s="13" t="str">
        <f>IF(OR(D12="",Results!D8=""),"",IF(AND(D12=Results!D8,Results!D8&lt;&gt;Games!$C$46),1,0))</f>
        <v/>
      </c>
      <c r="AL12" s="13" t="str">
        <f>IF(OR(E12="",Results!E8=""),"",IF(AND(E12=Results!E8,Results!E8&lt;&gt;Games!$C$47),1,0))</f>
        <v/>
      </c>
      <c r="AM12" s="13" t="str">
        <f>IF(OR(F12="",Results!F8=""),"",IF(AND(F12=Results!F8,Results!F8&lt;&gt;Games!$C$48),1,0))</f>
        <v/>
      </c>
      <c r="AN12" s="13" t="str">
        <f>IF(OR(G12="",Results!G8=""),"",IF(AND(G12=Results!G8,Results!G8&lt;&gt;Games!$C$49),1,0))</f>
        <v/>
      </c>
      <c r="AO12" s="13" t="str">
        <f>IF(OR(H12="",Results!H8=""),"",IF(AND(H12=Results!H8,Results!H8&lt;&gt;Games!$C$50),1,0))</f>
        <v/>
      </c>
      <c r="AP12" s="13" t="str">
        <f>IF(OR(I12="",Results!I8=""),"",IF(AND(I12=Results!I8,Results!I8&lt;&gt;Games!$C$51),1,0))</f>
        <v/>
      </c>
      <c r="AQ12" s="13" t="str">
        <f>IF(OR(J12="",Results!J8=""),"",IF(AND(J12=Results!J8,Results!J8&lt;&gt;Games!$C$52),1,0))</f>
        <v/>
      </c>
      <c r="AR12" s="13" t="str">
        <f>IF(OR(K12="",Results!K8=""),"",IF(AND(K12=Results!K8,Results!K8&lt;&gt;Games!$C$53),1,0))</f>
        <v/>
      </c>
      <c r="AS12" s="13" t="str">
        <f>IF(OR(L12="",Results!L8=""),"",IF(AND(L12=Results!L8,Results!L8&lt;&gt;Games!$C$54),1,0))</f>
        <v/>
      </c>
      <c r="AT12" s="13" t="str">
        <f>IF(OR(M12="",Results!M8=""),"",IF(AND(M12=Results!M8,Results!M8&lt;&gt;Games!$C$55),1,0))</f>
        <v/>
      </c>
      <c r="AU12" s="13" t="str">
        <f>IF(OR(N12="",Results!N8=""),"",IF(AND(N12=Results!N8,Results!N8&lt;&gt;Games!$C$56),1,0))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IF(OR(B13="",Results!B8=""),"",IF(B13=Results!B8,1+IF(OR($O13=1,$P13=1,$Q13=1),1,0),0))</f>
        <v/>
      </c>
      <c r="T13" s="4" t="str">
        <f>IF(OR(C13="",Results!C8=""),"",IF(C13=Results!C8,1+IF(OR($O13=2,$P13=2,$Q13=2),1,0),0))</f>
        <v/>
      </c>
      <c r="U13" s="4" t="str">
        <f>IF(OR(D13="",Results!D8=""),"",IF(D13=Results!D8,1+IF(OR($O13=3,$P13=3,$Q13=3),1,0),0))</f>
        <v/>
      </c>
      <c r="V13" s="4" t="str">
        <f>IF(OR(E13="",Results!E8=""),"",IF(E13=Results!E8,1+IF(OR($O13=4,$P13=4,$Q13=4),1,0),0))</f>
        <v/>
      </c>
      <c r="W13" s="4" t="str">
        <f>IF(OR(F13="",Results!F8=""),"",IF(F13=Results!F8,1+IF(OR($O13=5,$P13=5,$Q13=5),1,0),0))</f>
        <v/>
      </c>
      <c r="X13" s="4" t="str">
        <f>IF(OR(G13="",Results!G8=""),"",IF(G13=Results!G8,1+IF(OR($O13=6,$P13=6,$Q13=6),1,0),0))</f>
        <v/>
      </c>
      <c r="Y13" s="4" t="str">
        <f>IF(OR(H13="",Results!H8=""),"",IF(H13=Results!H8,1+IF(OR($O13=7,$P13=7,$Q13=7),1,0),0))</f>
        <v/>
      </c>
      <c r="Z13" s="4" t="str">
        <f>IF(OR(I13="",Results!I8=""),"",IF(I13=Results!I8,1+IF(OR($O13=8,$P13=8,$Q13=8),1,0),0))</f>
        <v/>
      </c>
      <c r="AA13" s="4" t="str">
        <f>IF(OR(J13="",Results!J8=""),"",IF(J13=Results!J8,1+IF(OR($O13=9,$P13=9,$Q13=9),1,0),0))</f>
        <v/>
      </c>
      <c r="AB13" s="4" t="str">
        <f>IF(OR(K13="",Results!K8=""),"",IF(K13=Results!K8,1+IF(OR($O13=10,$P13=10,$Q13=10),1,0),0))</f>
        <v/>
      </c>
      <c r="AC13" s="4" t="str">
        <f>IF(OR(L13="",Results!L8=""),"",IF(L13=Results!L8,1+IF(OR($O13=11,$P13=11,$Q13=11),1,0),0))</f>
        <v/>
      </c>
      <c r="AD13" s="4" t="str">
        <f>IF(OR(M13="",Results!M8=""),"",IF(M13=Results!M8,1+IF(OR($O13=12,$P13=12,$Q13=12),1,0),0))</f>
        <v/>
      </c>
      <c r="AE13" s="4" t="str">
        <f>IF(OR(N13="",Results!N8=""),"",IF(N13=Results!N8,1+IF(OR($O13=13,$P13=13,$Q13=13),1,0),0))</f>
        <v/>
      </c>
      <c r="AF13" s="11">
        <f t="shared" si="0"/>
        <v>0</v>
      </c>
      <c r="AG13" s="4" t="str">
        <f>IF(OR($R13="",Results!O8=""),"",ABS($R13-Results!O8))</f>
        <v/>
      </c>
      <c r="AH13" s="12">
        <v>57</v>
      </c>
      <c r="AI13" s="13" t="str">
        <f>IF(OR(B13="",Results!B8=""),"",IF(AND(B13=Results!B8,Results!B8&lt;&gt;Games!$C$44),1,0))</f>
        <v/>
      </c>
      <c r="AJ13" s="13" t="str">
        <f>IF(OR(C13="",Results!C8=""),"",IF(AND(C13=Results!C8,Results!C8&lt;&gt;Games!$C$45),1,0))</f>
        <v/>
      </c>
      <c r="AK13" s="13" t="str">
        <f>IF(OR(D13="",Results!D8=""),"",IF(AND(D13=Results!D8,Results!D8&lt;&gt;Games!$C$46),1,0))</f>
        <v/>
      </c>
      <c r="AL13" s="13" t="str">
        <f>IF(OR(E13="",Results!E8=""),"",IF(AND(E13=Results!E8,Results!E8&lt;&gt;Games!$C$47),1,0))</f>
        <v/>
      </c>
      <c r="AM13" s="13" t="str">
        <f>IF(OR(F13="",Results!F8=""),"",IF(AND(F13=Results!F8,Results!F8&lt;&gt;Games!$C$48),1,0))</f>
        <v/>
      </c>
      <c r="AN13" s="13" t="str">
        <f>IF(OR(G13="",Results!G8=""),"",IF(AND(G13=Results!G8,Results!G8&lt;&gt;Games!$C$49),1,0))</f>
        <v/>
      </c>
      <c r="AO13" s="13" t="str">
        <f>IF(OR(H13="",Results!H8=""),"",IF(AND(H13=Results!H8,Results!H8&lt;&gt;Games!$C$50),1,0))</f>
        <v/>
      </c>
      <c r="AP13" s="13" t="str">
        <f>IF(OR(I13="",Results!I8=""),"",IF(AND(I13=Results!I8,Results!I8&lt;&gt;Games!$C$51),1,0))</f>
        <v/>
      </c>
      <c r="AQ13" s="13" t="str">
        <f>IF(OR(J13="",Results!J8=""),"",IF(AND(J13=Results!J8,Results!J8&lt;&gt;Games!$C$52),1,0))</f>
        <v/>
      </c>
      <c r="AR13" s="13" t="str">
        <f>IF(OR(K13="",Results!K8=""),"",IF(AND(K13=Results!K8,Results!K8&lt;&gt;Games!$C$53),1,0))</f>
        <v/>
      </c>
      <c r="AS13" s="13" t="str">
        <f>IF(OR(L13="",Results!L8=""),"",IF(AND(L13=Results!L8,Results!L8&lt;&gt;Games!$C$54),1,0))</f>
        <v/>
      </c>
      <c r="AT13" s="13" t="str">
        <f>IF(OR(M13="",Results!M8=""),"",IF(AND(M13=Results!M8,Results!M8&lt;&gt;Games!$C$55),1,0))</f>
        <v/>
      </c>
      <c r="AU13" s="13" t="str">
        <f>IF(OR(N13="",Results!N8=""),"",IF(AND(N13=Results!N8,Results!N8&lt;&gt;Games!$C$56),1,0))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 t="str">
        <f>IF(OR(B14="",Results!B8=""),"",IF(B14=Results!B8,1+IF(OR($O14=1,$P14=1,$Q14=1),1,0),0))</f>
        <v/>
      </c>
      <c r="T14" s="4" t="str">
        <f>IF(OR(C14="",Results!C8=""),"",IF(C14=Results!C8,1+IF(OR($O14=2,$P14=2,$Q14=2),1,0),0))</f>
        <v/>
      </c>
      <c r="U14" s="4" t="str">
        <f>IF(OR(D14="",Results!D8=""),"",IF(D14=Results!D8,1+IF(OR($O14=3,$P14=3,$Q14=3),1,0),0))</f>
        <v/>
      </c>
      <c r="V14" s="4" t="str">
        <f>IF(OR(E14="",Results!E8=""),"",IF(E14=Results!E8,1+IF(OR($O14=4,$P14=4,$Q14=4),1,0),0))</f>
        <v/>
      </c>
      <c r="W14" s="4" t="str">
        <f>IF(OR(F14="",Results!F8=""),"",IF(F14=Results!F8,1+IF(OR($O14=5,$P14=5,$Q14=5),1,0),0))</f>
        <v/>
      </c>
      <c r="X14" s="4" t="str">
        <f>IF(OR(G14="",Results!G8=""),"",IF(G14=Results!G8,1+IF(OR($O14=6,$P14=6,$Q14=6),1,0),0))</f>
        <v/>
      </c>
      <c r="Y14" s="4" t="str">
        <f>IF(OR(H14="",Results!H8=""),"",IF(H14=Results!H8,1+IF(OR($O14=7,$P14=7,$Q14=7),1,0),0))</f>
        <v/>
      </c>
      <c r="Z14" s="4" t="str">
        <f>IF(OR(I14="",Results!I8=""),"",IF(I14=Results!I8,1+IF(OR($O14=8,$P14=8,$Q14=8),1,0),0))</f>
        <v/>
      </c>
      <c r="AA14" s="4" t="str">
        <f>IF(OR(J14="",Results!J8=""),"",IF(J14=Results!J8,1+IF(OR($O14=9,$P14=9,$Q14=9),1,0),0))</f>
        <v/>
      </c>
      <c r="AB14" s="4" t="str">
        <f>IF(OR(K14="",Results!K8=""),"",IF(K14=Results!K8,1+IF(OR($O14=10,$P14=10,$Q14=10),1,0),0))</f>
        <v/>
      </c>
      <c r="AC14" s="4" t="str">
        <f>IF(OR(L14="",Results!L8=""),"",IF(L14=Results!L8,1+IF(OR($O14=11,$P14=11,$Q14=11),1,0),0))</f>
        <v/>
      </c>
      <c r="AD14" s="4" t="str">
        <f>IF(OR(M14="",Results!M8=""),"",IF(M14=Results!M8,1+IF(OR($O14=12,$P14=12,$Q14=12),1,0),0))</f>
        <v/>
      </c>
      <c r="AE14" s="4" t="str">
        <f>IF(OR(N14="",Results!N8=""),"",IF(N14=Results!N8,1+IF(OR($O14=13,$P14=13,$Q14=13),1,0),0))</f>
        <v/>
      </c>
      <c r="AF14" s="11">
        <f t="shared" si="0"/>
        <v>0</v>
      </c>
      <c r="AG14" s="4" t="str">
        <f>IF(OR($R14="",Results!O8=""),"",ABS($R14-Results!O8))</f>
        <v/>
      </c>
      <c r="AH14" s="12">
        <v>6</v>
      </c>
      <c r="AI14" s="13" t="str">
        <f>IF(OR(B14="",Results!B8=""),"",IF(AND(B14=Results!B8,Results!B8&lt;&gt;Games!$C$44),1,0))</f>
        <v/>
      </c>
      <c r="AJ14" s="13" t="str">
        <f>IF(OR(C14="",Results!C8=""),"",IF(AND(C14=Results!C8,Results!C8&lt;&gt;Games!$C$45),1,0))</f>
        <v/>
      </c>
      <c r="AK14" s="13" t="str">
        <f>IF(OR(D14="",Results!D8=""),"",IF(AND(D14=Results!D8,Results!D8&lt;&gt;Games!$C$46),1,0))</f>
        <v/>
      </c>
      <c r="AL14" s="13" t="str">
        <f>IF(OR(E14="",Results!E8=""),"",IF(AND(E14=Results!E8,Results!E8&lt;&gt;Games!$C$47),1,0))</f>
        <v/>
      </c>
      <c r="AM14" s="13" t="str">
        <f>IF(OR(F14="",Results!F8=""),"",IF(AND(F14=Results!F8,Results!F8&lt;&gt;Games!$C$48),1,0))</f>
        <v/>
      </c>
      <c r="AN14" s="13" t="str">
        <f>IF(OR(G14="",Results!G8=""),"",IF(AND(G14=Results!G8,Results!G8&lt;&gt;Games!$C$49),1,0))</f>
        <v/>
      </c>
      <c r="AO14" s="13" t="str">
        <f>IF(OR(H14="",Results!H8=""),"",IF(AND(H14=Results!H8,Results!H8&lt;&gt;Games!$C$50),1,0))</f>
        <v/>
      </c>
      <c r="AP14" s="13" t="str">
        <f>IF(OR(I14="",Results!I8=""),"",IF(AND(I14=Results!I8,Results!I8&lt;&gt;Games!$C$51),1,0))</f>
        <v/>
      </c>
      <c r="AQ14" s="13" t="str">
        <f>IF(OR(J14="",Results!J8=""),"",IF(AND(J14=Results!J8,Results!J8&lt;&gt;Games!$C$52),1,0))</f>
        <v/>
      </c>
      <c r="AR14" s="13" t="str">
        <f>IF(OR(K14="",Results!K8=""),"",IF(AND(K14=Results!K8,Results!K8&lt;&gt;Games!$C$53),1,0))</f>
        <v/>
      </c>
      <c r="AS14" s="13" t="str">
        <f>IF(OR(L14="",Results!L8=""),"",IF(AND(L14=Results!L8,Results!L8&lt;&gt;Games!$C$54),1,0))</f>
        <v/>
      </c>
      <c r="AT14" s="13" t="str">
        <f>IF(OR(M14="",Results!M8=""),"",IF(AND(M14=Results!M8,Results!M8&lt;&gt;Games!$C$55),1,0))</f>
        <v/>
      </c>
      <c r="AU14" s="13" t="str">
        <f>IF(OR(N14="",Results!N8=""),"",IF(AND(N14=Results!N8,Results!N8&lt;&gt;Games!$C$56),1,0))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IF(OR(B15="",Results!B8=""),"",IF(B15=Results!B8,1+IF(OR($O15=1,$P15=1,$Q15=1),1,0),0))</f>
        <v/>
      </c>
      <c r="T15" s="4" t="str">
        <f>IF(OR(C15="",Results!C8=""),"",IF(C15=Results!C8,1+IF(OR($O15=2,$P15=2,$Q15=2),1,0),0))</f>
        <v/>
      </c>
      <c r="U15" s="4" t="str">
        <f>IF(OR(D15="",Results!D8=""),"",IF(D15=Results!D8,1+IF(OR($O15=3,$P15=3,$Q15=3),1,0),0))</f>
        <v/>
      </c>
      <c r="V15" s="4" t="str">
        <f>IF(OR(E15="",Results!E8=""),"",IF(E15=Results!E8,1+IF(OR($O15=4,$P15=4,$Q15=4),1,0),0))</f>
        <v/>
      </c>
      <c r="W15" s="4" t="str">
        <f>IF(OR(F15="",Results!F8=""),"",IF(F15=Results!F8,1+IF(OR($O15=5,$P15=5,$Q15=5),1,0),0))</f>
        <v/>
      </c>
      <c r="X15" s="4" t="str">
        <f>IF(OR(G15="",Results!G8=""),"",IF(G15=Results!G8,1+IF(OR($O15=6,$P15=6,$Q15=6),1,0),0))</f>
        <v/>
      </c>
      <c r="Y15" s="4" t="str">
        <f>IF(OR(H15="",Results!H8=""),"",IF(H15=Results!H8,1+IF(OR($O15=7,$P15=7,$Q15=7),1,0),0))</f>
        <v/>
      </c>
      <c r="Z15" s="4" t="str">
        <f>IF(OR(I15="",Results!I8=""),"",IF(I15=Results!I8,1+IF(OR($O15=8,$P15=8,$Q15=8),1,0),0))</f>
        <v/>
      </c>
      <c r="AA15" s="4" t="str">
        <f>IF(OR(J15="",Results!J8=""),"",IF(J15=Results!J8,1+IF(OR($O15=9,$P15=9,$Q15=9),1,0),0))</f>
        <v/>
      </c>
      <c r="AB15" s="4" t="str">
        <f>IF(OR(K15="",Results!K8=""),"",IF(K15=Results!K8,1+IF(OR($O15=10,$P15=10,$Q15=10),1,0),0))</f>
        <v/>
      </c>
      <c r="AC15" s="4" t="str">
        <f>IF(OR(L15="",Results!L8=""),"",IF(L15=Results!L8,1+IF(OR($O15=11,$P15=11,$Q15=11),1,0),0))</f>
        <v/>
      </c>
      <c r="AD15" s="4" t="str">
        <f>IF(OR(M15="",Results!M8=""),"",IF(M15=Results!M8,1+IF(OR($O15=12,$P15=12,$Q15=12),1,0),0))</f>
        <v/>
      </c>
      <c r="AE15" s="4" t="str">
        <f>IF(OR(N15="",Results!N8=""),"",IF(N15=Results!N8,1+IF(OR($O15=13,$P15=13,$Q15=13),1,0),0))</f>
        <v/>
      </c>
      <c r="AF15" s="11">
        <f t="shared" si="0"/>
        <v>0</v>
      </c>
      <c r="AG15" s="4" t="str">
        <f>IF(OR($R15="",Results!O8=""),"",ABS($R15-Results!O8))</f>
        <v/>
      </c>
      <c r="AH15" s="12">
        <v>5</v>
      </c>
      <c r="AI15" s="13" t="str">
        <f>IF(OR(B15="",Results!B8=""),"",IF(AND(B15=Results!B8,Results!B8&lt;&gt;Games!$C$44),1,0))</f>
        <v/>
      </c>
      <c r="AJ15" s="13" t="str">
        <f>IF(OR(C15="",Results!C8=""),"",IF(AND(C15=Results!C8,Results!C8&lt;&gt;Games!$C$45),1,0))</f>
        <v/>
      </c>
      <c r="AK15" s="13" t="str">
        <f>IF(OR(D15="",Results!D8=""),"",IF(AND(D15=Results!D8,Results!D8&lt;&gt;Games!$C$46),1,0))</f>
        <v/>
      </c>
      <c r="AL15" s="13" t="str">
        <f>IF(OR(E15="",Results!E8=""),"",IF(AND(E15=Results!E8,Results!E8&lt;&gt;Games!$C$47),1,0))</f>
        <v/>
      </c>
      <c r="AM15" s="13" t="str">
        <f>IF(OR(F15="",Results!F8=""),"",IF(AND(F15=Results!F8,Results!F8&lt;&gt;Games!$C$48),1,0))</f>
        <v/>
      </c>
      <c r="AN15" s="13" t="str">
        <f>IF(OR(G15="",Results!G8=""),"",IF(AND(G15=Results!G8,Results!G8&lt;&gt;Games!$C$49),1,0))</f>
        <v/>
      </c>
      <c r="AO15" s="13" t="str">
        <f>IF(OR(H15="",Results!H8=""),"",IF(AND(H15=Results!H8,Results!H8&lt;&gt;Games!$C$50),1,0))</f>
        <v/>
      </c>
      <c r="AP15" s="13" t="str">
        <f>IF(OR(I15="",Results!I8=""),"",IF(AND(I15=Results!I8,Results!I8&lt;&gt;Games!$C$51),1,0))</f>
        <v/>
      </c>
      <c r="AQ15" s="13" t="str">
        <f>IF(OR(J15="",Results!J8=""),"",IF(AND(J15=Results!J8,Results!J8&lt;&gt;Games!$C$52),1,0))</f>
        <v/>
      </c>
      <c r="AR15" s="13" t="str">
        <f>IF(OR(K15="",Results!K8=""),"",IF(AND(K15=Results!K8,Results!K8&lt;&gt;Games!$C$53),1,0))</f>
        <v/>
      </c>
      <c r="AS15" s="13" t="str">
        <f>IF(OR(L15="",Results!L8=""),"",IF(AND(L15=Results!L8,Results!L8&lt;&gt;Games!$C$54),1,0))</f>
        <v/>
      </c>
      <c r="AT15" s="13" t="str">
        <f>IF(OR(M15="",Results!M8=""),"",IF(AND(M15=Results!M8,Results!M8&lt;&gt;Games!$C$55),1,0))</f>
        <v/>
      </c>
      <c r="AU15" s="13" t="str">
        <f>IF(OR(N15="",Results!N8=""),"",IF(AND(N15=Results!N8,Results!N8&lt;&gt;Games!$C$56),1,0))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tr">
        <f>IF(OR(B16="",Results!B8=""),"",IF(B16=Results!B8,1+IF(OR($O16=1,$P16=1,$Q16=1),1,0),0))</f>
        <v/>
      </c>
      <c r="T16" s="4" t="str">
        <f>IF(OR(C16="",Results!C8=""),"",IF(C16=Results!C8,1+IF(OR($O16=2,$P16=2,$Q16=2),1,0),0))</f>
        <v/>
      </c>
      <c r="U16" s="4" t="str">
        <f>IF(OR(D16="",Results!D8=""),"",IF(D16=Results!D8,1+IF(OR($O16=3,$P16=3,$Q16=3),1,0),0))</f>
        <v/>
      </c>
      <c r="V16" s="4" t="str">
        <f>IF(OR(E16="",Results!E8=""),"",IF(E16=Results!E8,1+IF(OR($O16=4,$P16=4,$Q16=4),1,0),0))</f>
        <v/>
      </c>
      <c r="W16" s="4" t="str">
        <f>IF(OR(F16="",Results!F8=""),"",IF(F16=Results!F8,1+IF(OR($O16=5,$P16=5,$Q16=5),1,0),0))</f>
        <v/>
      </c>
      <c r="X16" s="4" t="str">
        <f>IF(OR(G16="",Results!G8=""),"",IF(G16=Results!G8,1+IF(OR($O16=6,$P16=6,$Q16=6),1,0),0))</f>
        <v/>
      </c>
      <c r="Y16" s="4" t="str">
        <f>IF(OR(H16="",Results!H8=""),"",IF(H16=Results!H8,1+IF(OR($O16=7,$P16=7,$Q16=7),1,0),0))</f>
        <v/>
      </c>
      <c r="Z16" s="4" t="str">
        <f>IF(OR(I16="",Results!I8=""),"",IF(I16=Results!I8,1+IF(OR($O16=8,$P16=8,$Q16=8),1,0),0))</f>
        <v/>
      </c>
      <c r="AA16" s="4" t="str">
        <f>IF(OR(J16="",Results!J8=""),"",IF(J16=Results!J8,1+IF(OR($O16=9,$P16=9,$Q16=9),1,0),0))</f>
        <v/>
      </c>
      <c r="AB16" s="4" t="str">
        <f>IF(OR(K16="",Results!K8=""),"",IF(K16=Results!K8,1+IF(OR($O16=10,$P16=10,$Q16=10),1,0),0))</f>
        <v/>
      </c>
      <c r="AC16" s="4" t="str">
        <f>IF(OR(L16="",Results!L8=""),"",IF(L16=Results!L8,1+IF(OR($O16=11,$P16=11,$Q16=11),1,0),0))</f>
        <v/>
      </c>
      <c r="AD16" s="4" t="str">
        <f>IF(OR(M16="",Results!M8=""),"",IF(M16=Results!M8,1+IF(OR($O16=12,$P16=12,$Q16=12),1,0),0))</f>
        <v/>
      </c>
      <c r="AE16" s="4" t="str">
        <f>IF(OR(N16="",Results!N8=""),"",IF(N16=Results!N8,1+IF(OR($O16=13,$P16=13,$Q16=13),1,0),0))</f>
        <v/>
      </c>
      <c r="AF16" s="11">
        <f t="shared" si="0"/>
        <v>0</v>
      </c>
      <c r="AG16" s="4" t="str">
        <f>IF(OR($R16="",Results!O8=""),"",ABS($R16-Results!O8))</f>
        <v/>
      </c>
      <c r="AH16" s="12">
        <v>8</v>
      </c>
      <c r="AI16" s="13" t="str">
        <f>IF(OR(B16="",Results!B8=""),"",IF(AND(B16=Results!B8,Results!B8&lt;&gt;Games!$C$44),1,0))</f>
        <v/>
      </c>
      <c r="AJ16" s="13" t="str">
        <f>IF(OR(C16="",Results!C8=""),"",IF(AND(C16=Results!C8,Results!C8&lt;&gt;Games!$C$45),1,0))</f>
        <v/>
      </c>
      <c r="AK16" s="13" t="str">
        <f>IF(OR(D16="",Results!D8=""),"",IF(AND(D16=Results!D8,Results!D8&lt;&gt;Games!$C$46),1,0))</f>
        <v/>
      </c>
      <c r="AL16" s="13" t="str">
        <f>IF(OR(E16="",Results!E8=""),"",IF(AND(E16=Results!E8,Results!E8&lt;&gt;Games!$C$47),1,0))</f>
        <v/>
      </c>
      <c r="AM16" s="13" t="str">
        <f>IF(OR(F16="",Results!F8=""),"",IF(AND(F16=Results!F8,Results!F8&lt;&gt;Games!$C$48),1,0))</f>
        <v/>
      </c>
      <c r="AN16" s="13" t="str">
        <f>IF(OR(G16="",Results!G8=""),"",IF(AND(G16=Results!G8,Results!G8&lt;&gt;Games!$C$49),1,0))</f>
        <v/>
      </c>
      <c r="AO16" s="13" t="str">
        <f>IF(OR(H16="",Results!H8=""),"",IF(AND(H16=Results!H8,Results!H8&lt;&gt;Games!$C$50),1,0))</f>
        <v/>
      </c>
      <c r="AP16" s="13" t="str">
        <f>IF(OR(I16="",Results!I8=""),"",IF(AND(I16=Results!I8,Results!I8&lt;&gt;Games!$C$51),1,0))</f>
        <v/>
      </c>
      <c r="AQ16" s="13" t="str">
        <f>IF(OR(J16="",Results!J8=""),"",IF(AND(J16=Results!J8,Results!J8&lt;&gt;Games!$C$52),1,0))</f>
        <v/>
      </c>
      <c r="AR16" s="13" t="str">
        <f>IF(OR(K16="",Results!K8=""),"",IF(AND(K16=Results!K8,Results!K8&lt;&gt;Games!$C$53),1,0))</f>
        <v/>
      </c>
      <c r="AS16" s="13" t="str">
        <f>IF(OR(L16="",Results!L8=""),"",IF(AND(L16=Results!L8,Results!L8&lt;&gt;Games!$C$54),1,0))</f>
        <v/>
      </c>
      <c r="AT16" s="13" t="str">
        <f>IF(OR(M16="",Results!M8=""),"",IF(AND(M16=Results!M8,Results!M8&lt;&gt;Games!$C$55),1,0))</f>
        <v/>
      </c>
      <c r="AU16" s="13" t="str">
        <f>IF(OR(N16="",Results!N8=""),"",IF(AND(N16=Results!N8,Results!N8&lt;&gt;Games!$C$56),1,0))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IF(OR(B17="",Results!B8=""),"",IF(B17=Results!B8,1+IF(OR($O17=1,$P17=1,$Q17=1),1,0),0))</f>
        <v/>
      </c>
      <c r="T17" s="4" t="str">
        <f>IF(OR(C17="",Results!C8=""),"",IF(C17=Results!C8,1+IF(OR($O17=2,$P17=2,$Q17=2),1,0),0))</f>
        <v/>
      </c>
      <c r="U17" s="4" t="str">
        <f>IF(OR(D17="",Results!D8=""),"",IF(D17=Results!D8,1+IF(OR($O17=3,$P17=3,$Q17=3),1,0),0))</f>
        <v/>
      </c>
      <c r="V17" s="4" t="str">
        <f>IF(OR(E17="",Results!E8=""),"",IF(E17=Results!E8,1+IF(OR($O17=4,$P17=4,$Q17=4),1,0),0))</f>
        <v/>
      </c>
      <c r="W17" s="4" t="str">
        <f>IF(OR(F17="",Results!F8=""),"",IF(F17=Results!F8,1+IF(OR($O17=5,$P17=5,$Q17=5),1,0),0))</f>
        <v/>
      </c>
      <c r="X17" s="4" t="str">
        <f>IF(OR(G17="",Results!G8=""),"",IF(G17=Results!G8,1+IF(OR($O17=6,$P17=6,$Q17=6),1,0),0))</f>
        <v/>
      </c>
      <c r="Y17" s="4" t="str">
        <f>IF(OR(H17="",Results!H8=""),"",IF(H17=Results!H8,1+IF(OR($O17=7,$P17=7,$Q17=7),1,0),0))</f>
        <v/>
      </c>
      <c r="Z17" s="4" t="str">
        <f>IF(OR(I17="",Results!I8=""),"",IF(I17=Results!I8,1+IF(OR($O17=8,$P17=8,$Q17=8),1,0),0))</f>
        <v/>
      </c>
      <c r="AA17" s="4" t="str">
        <f>IF(OR(J17="",Results!J8=""),"",IF(J17=Results!J8,1+IF(OR($O17=9,$P17=9,$Q17=9),1,0),0))</f>
        <v/>
      </c>
      <c r="AB17" s="4" t="str">
        <f>IF(OR(K17="",Results!K8=""),"",IF(K17=Results!K8,1+IF(OR($O17=10,$P17=10,$Q17=10),1,0),0))</f>
        <v/>
      </c>
      <c r="AC17" s="4" t="str">
        <f>IF(OR(L17="",Results!L8=""),"",IF(L17=Results!L8,1+IF(OR($O17=11,$P17=11,$Q17=11),1,0),0))</f>
        <v/>
      </c>
      <c r="AD17" s="4" t="str">
        <f>IF(OR(M17="",Results!M8=""),"",IF(M17=Results!M8,1+IF(OR($O17=12,$P17=12,$Q17=12),1,0),0))</f>
        <v/>
      </c>
      <c r="AE17" s="4" t="str">
        <f>IF(OR(N17="",Results!N8=""),"",IF(N17=Results!N8,1+IF(OR($O17=13,$P17=13,$Q17=13),1,0),0))</f>
        <v/>
      </c>
      <c r="AF17" s="11">
        <f t="shared" si="0"/>
        <v>0</v>
      </c>
      <c r="AG17" s="4" t="str">
        <f>IF(OR($R17="",Results!O8=""),"",ABS($R17-Results!O8))</f>
        <v/>
      </c>
      <c r="AH17" s="12">
        <v>7</v>
      </c>
      <c r="AI17" s="13" t="str">
        <f>IF(OR(B17="",Results!B8=""),"",IF(AND(B17=Results!B8,Results!B8&lt;&gt;Games!$C$44),1,0))</f>
        <v/>
      </c>
      <c r="AJ17" s="13" t="str">
        <f>IF(OR(C17="",Results!C8=""),"",IF(AND(C17=Results!C8,Results!C8&lt;&gt;Games!$C$45),1,0))</f>
        <v/>
      </c>
      <c r="AK17" s="13" t="str">
        <f>IF(OR(D17="",Results!D8=""),"",IF(AND(D17=Results!D8,Results!D8&lt;&gt;Games!$C$46),1,0))</f>
        <v/>
      </c>
      <c r="AL17" s="13" t="str">
        <f>IF(OR(E17="",Results!E8=""),"",IF(AND(E17=Results!E8,Results!E8&lt;&gt;Games!$C$47),1,0))</f>
        <v/>
      </c>
      <c r="AM17" s="13" t="str">
        <f>IF(OR(F17="",Results!F8=""),"",IF(AND(F17=Results!F8,Results!F8&lt;&gt;Games!$C$48),1,0))</f>
        <v/>
      </c>
      <c r="AN17" s="13" t="str">
        <f>IF(OR(G17="",Results!G8=""),"",IF(AND(G17=Results!G8,Results!G8&lt;&gt;Games!$C$49),1,0))</f>
        <v/>
      </c>
      <c r="AO17" s="13" t="str">
        <f>IF(OR(H17="",Results!H8=""),"",IF(AND(H17=Results!H8,Results!H8&lt;&gt;Games!$C$50),1,0))</f>
        <v/>
      </c>
      <c r="AP17" s="13" t="str">
        <f>IF(OR(I17="",Results!I8=""),"",IF(AND(I17=Results!I8,Results!I8&lt;&gt;Games!$C$51),1,0))</f>
        <v/>
      </c>
      <c r="AQ17" s="13" t="str">
        <f>IF(OR(J17="",Results!J8=""),"",IF(AND(J17=Results!J8,Results!J8&lt;&gt;Games!$C$52),1,0))</f>
        <v/>
      </c>
      <c r="AR17" s="13" t="str">
        <f>IF(OR(K17="",Results!K8=""),"",IF(AND(K17=Results!K8,Results!K8&lt;&gt;Games!$C$53),1,0))</f>
        <v/>
      </c>
      <c r="AS17" s="13" t="str">
        <f>IF(OR(L17="",Results!L8=""),"",IF(AND(L17=Results!L8,Results!L8&lt;&gt;Games!$C$54),1,0))</f>
        <v/>
      </c>
      <c r="AT17" s="13" t="str">
        <f>IF(OR(M17="",Results!M8=""),"",IF(AND(M17=Results!M8,Results!M8&lt;&gt;Games!$C$55),1,0))</f>
        <v/>
      </c>
      <c r="AU17" s="13" t="str">
        <f>IF(OR(N17="",Results!N8=""),"",IF(AND(N17=Results!N8,Results!N8&lt;&gt;Games!$C$56),1,0))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IF(OR(B18="",Results!B8=""),"",IF(B18=Results!B8,1+IF(OR($O18=1,$P18=1,$Q18=1),1,0),0))</f>
        <v/>
      </c>
      <c r="T18" s="4" t="str">
        <f>IF(OR(C18="",Results!C8=""),"",IF(C18=Results!C8,1+IF(OR($O18=2,$P18=2,$Q18=2),1,0),0))</f>
        <v/>
      </c>
      <c r="U18" s="4" t="str">
        <f>IF(OR(D18="",Results!D8=""),"",IF(D18=Results!D8,1+IF(OR($O18=3,$P18=3,$Q18=3),1,0),0))</f>
        <v/>
      </c>
      <c r="V18" s="4" t="str">
        <f>IF(OR(E18="",Results!E8=""),"",IF(E18=Results!E8,1+IF(OR($O18=4,$P18=4,$Q18=4),1,0),0))</f>
        <v/>
      </c>
      <c r="W18" s="4" t="str">
        <f>IF(OR(F18="",Results!F8=""),"",IF(F18=Results!F8,1+IF(OR($O18=5,$P18=5,$Q18=5),1,0),0))</f>
        <v/>
      </c>
      <c r="X18" s="4" t="str">
        <f>IF(OR(G18="",Results!G8=""),"",IF(G18=Results!G8,1+IF(OR($O18=6,$P18=6,$Q18=6),1,0),0))</f>
        <v/>
      </c>
      <c r="Y18" s="4" t="str">
        <f>IF(OR(H18="",Results!H8=""),"",IF(H18=Results!H8,1+IF(OR($O18=7,$P18=7,$Q18=7),1,0),0))</f>
        <v/>
      </c>
      <c r="Z18" s="4" t="str">
        <f>IF(OR(I18="",Results!I8=""),"",IF(I18=Results!I8,1+IF(OR($O18=8,$P18=8,$Q18=8),1,0),0))</f>
        <v/>
      </c>
      <c r="AA18" s="4" t="str">
        <f>IF(OR(J18="",Results!J8=""),"",IF(J18=Results!J8,1+IF(OR($O18=9,$P18=9,$Q18=9),1,0),0))</f>
        <v/>
      </c>
      <c r="AB18" s="4" t="str">
        <f>IF(OR(K18="",Results!K8=""),"",IF(K18=Results!K8,1+IF(OR($O18=10,$P18=10,$Q18=10),1,0),0))</f>
        <v/>
      </c>
      <c r="AC18" s="4" t="str">
        <f>IF(OR(L18="",Results!L8=""),"",IF(L18=Results!L8,1+IF(OR($O18=11,$P18=11,$Q18=11),1,0),0))</f>
        <v/>
      </c>
      <c r="AD18" s="4" t="str">
        <f>IF(OR(M18="",Results!M8=""),"",IF(M18=Results!M8,1+IF(OR($O18=12,$P18=12,$Q18=12),1,0),0))</f>
        <v/>
      </c>
      <c r="AE18" s="4" t="str">
        <f>IF(OR(N18="",Results!N8=""),"",IF(N18=Results!N8,1+IF(OR($O18=13,$P18=13,$Q18=13),1,0),0))</f>
        <v/>
      </c>
      <c r="AF18" s="11">
        <f t="shared" si="0"/>
        <v>0</v>
      </c>
      <c r="AG18" s="4" t="str">
        <f>IF(OR($R18="",Results!O8=""),"",ABS($R18-Results!O8))</f>
        <v/>
      </c>
      <c r="AH18" s="12">
        <v>37</v>
      </c>
      <c r="AI18" s="13" t="str">
        <f>IF(OR(B18="",Results!B8=""),"",IF(AND(B18=Results!B8,Results!B8&lt;&gt;Games!$C$44),1,0))</f>
        <v/>
      </c>
      <c r="AJ18" s="13" t="str">
        <f>IF(OR(C18="",Results!C8=""),"",IF(AND(C18=Results!C8,Results!C8&lt;&gt;Games!$C$45),1,0))</f>
        <v/>
      </c>
      <c r="AK18" s="13" t="str">
        <f>IF(OR(D18="",Results!D8=""),"",IF(AND(D18=Results!D8,Results!D8&lt;&gt;Games!$C$46),1,0))</f>
        <v/>
      </c>
      <c r="AL18" s="13" t="str">
        <f>IF(OR(E18="",Results!E8=""),"",IF(AND(E18=Results!E8,Results!E8&lt;&gt;Games!$C$47),1,0))</f>
        <v/>
      </c>
      <c r="AM18" s="13" t="str">
        <f>IF(OR(F18="",Results!F8=""),"",IF(AND(F18=Results!F8,Results!F8&lt;&gt;Games!$C$48),1,0))</f>
        <v/>
      </c>
      <c r="AN18" s="13" t="str">
        <f>IF(OR(G18="",Results!G8=""),"",IF(AND(G18=Results!G8,Results!G8&lt;&gt;Games!$C$49),1,0))</f>
        <v/>
      </c>
      <c r="AO18" s="13" t="str">
        <f>IF(OR(H18="",Results!H8=""),"",IF(AND(H18=Results!H8,Results!H8&lt;&gt;Games!$C$50),1,0))</f>
        <v/>
      </c>
      <c r="AP18" s="13" t="str">
        <f>IF(OR(I18="",Results!I8=""),"",IF(AND(I18=Results!I8,Results!I8&lt;&gt;Games!$C$51),1,0))</f>
        <v/>
      </c>
      <c r="AQ18" s="13" t="str">
        <f>IF(OR(J18="",Results!J8=""),"",IF(AND(J18=Results!J8,Results!J8&lt;&gt;Games!$C$52),1,0))</f>
        <v/>
      </c>
      <c r="AR18" s="13" t="str">
        <f>IF(OR(K18="",Results!K8=""),"",IF(AND(K18=Results!K8,Results!K8&lt;&gt;Games!$C$53),1,0))</f>
        <v/>
      </c>
      <c r="AS18" s="13" t="str">
        <f>IF(OR(L18="",Results!L8=""),"",IF(AND(L18=Results!L8,Results!L8&lt;&gt;Games!$C$54),1,0))</f>
        <v/>
      </c>
      <c r="AT18" s="13" t="str">
        <f>IF(OR(M18="",Results!M8=""),"",IF(AND(M18=Results!M8,Results!M8&lt;&gt;Games!$C$55),1,0))</f>
        <v/>
      </c>
      <c r="AU18" s="13" t="str">
        <f>IF(OR(N18="",Results!N8=""),"",IF(AND(N18=Results!N8,Results!N8&lt;&gt;Games!$C$56),1,0))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IF(OR(B19="",Results!B8=""),"",IF(B19=Results!B8,1+IF(OR($O19=1,$P19=1,$Q19=1),1,0),0))</f>
        <v/>
      </c>
      <c r="T19" s="4" t="str">
        <f>IF(OR(C19="",Results!C8=""),"",IF(C19=Results!C8,1+IF(OR($O19=2,$P19=2,$Q19=2),1,0),0))</f>
        <v/>
      </c>
      <c r="U19" s="4" t="str">
        <f>IF(OR(D19="",Results!D8=""),"",IF(D19=Results!D8,1+IF(OR($O19=3,$P19=3,$Q19=3),1,0),0))</f>
        <v/>
      </c>
      <c r="V19" s="4" t="str">
        <f>IF(OR(E19="",Results!E8=""),"",IF(E19=Results!E8,1+IF(OR($O19=4,$P19=4,$Q19=4),1,0),0))</f>
        <v/>
      </c>
      <c r="W19" s="4" t="str">
        <f>IF(OR(F19="",Results!F8=""),"",IF(F19=Results!F8,1+IF(OR($O19=5,$P19=5,$Q19=5),1,0),0))</f>
        <v/>
      </c>
      <c r="X19" s="4" t="str">
        <f>IF(OR(G19="",Results!G8=""),"",IF(G19=Results!G8,1+IF(OR($O19=6,$P19=6,$Q19=6),1,0),0))</f>
        <v/>
      </c>
      <c r="Y19" s="4" t="str">
        <f>IF(OR(H19="",Results!H8=""),"",IF(H19=Results!H8,1+IF(OR($O19=7,$P19=7,$Q19=7),1,0),0))</f>
        <v/>
      </c>
      <c r="Z19" s="4" t="str">
        <f>IF(OR(I19="",Results!I8=""),"",IF(I19=Results!I8,1+IF(OR($O19=8,$P19=8,$Q19=8),1,0),0))</f>
        <v/>
      </c>
      <c r="AA19" s="4" t="str">
        <f>IF(OR(J19="",Results!J8=""),"",IF(J19=Results!J8,1+IF(OR($O19=9,$P19=9,$Q19=9),1,0),0))</f>
        <v/>
      </c>
      <c r="AB19" s="4" t="str">
        <f>IF(OR(K19="",Results!K8=""),"",IF(K19=Results!K8,1+IF(OR($O19=10,$P19=10,$Q19=10),1,0),0))</f>
        <v/>
      </c>
      <c r="AC19" s="4" t="str">
        <f>IF(OR(L19="",Results!L8=""),"",IF(L19=Results!L8,1+IF(OR($O19=11,$P19=11,$Q19=11),1,0),0))</f>
        <v/>
      </c>
      <c r="AD19" s="4" t="str">
        <f>IF(OR(M19="",Results!M8=""),"",IF(M19=Results!M8,1+IF(OR($O19=12,$P19=12,$Q19=12),1,0),0))</f>
        <v/>
      </c>
      <c r="AE19" s="4" t="str">
        <f>IF(OR(N19="",Results!N8=""),"",IF(N19=Results!N8,1+IF(OR($O19=13,$P19=13,$Q19=13),1,0),0))</f>
        <v/>
      </c>
      <c r="AF19" s="11">
        <f t="shared" si="0"/>
        <v>0</v>
      </c>
      <c r="AG19" s="4" t="str">
        <f>IF(OR($R19="",Results!O8=""),"",ABS($R19-Results!O8))</f>
        <v/>
      </c>
      <c r="AH19" s="12">
        <v>26</v>
      </c>
      <c r="AI19" s="13" t="str">
        <f>IF(OR(B19="",Results!B8=""),"",IF(AND(B19=Results!B8,Results!B8&lt;&gt;Games!$C$44),1,0))</f>
        <v/>
      </c>
      <c r="AJ19" s="13" t="str">
        <f>IF(OR(C19="",Results!C8=""),"",IF(AND(C19=Results!C8,Results!C8&lt;&gt;Games!$C$45),1,0))</f>
        <v/>
      </c>
      <c r="AK19" s="13" t="str">
        <f>IF(OR(D19="",Results!D8=""),"",IF(AND(D19=Results!D8,Results!D8&lt;&gt;Games!$C$46),1,0))</f>
        <v/>
      </c>
      <c r="AL19" s="13" t="str">
        <f>IF(OR(E19="",Results!E8=""),"",IF(AND(E19=Results!E8,Results!E8&lt;&gt;Games!$C$47),1,0))</f>
        <v/>
      </c>
      <c r="AM19" s="13" t="str">
        <f>IF(OR(F19="",Results!F8=""),"",IF(AND(F19=Results!F8,Results!F8&lt;&gt;Games!$C$48),1,0))</f>
        <v/>
      </c>
      <c r="AN19" s="13" t="str">
        <f>IF(OR(G19="",Results!G8=""),"",IF(AND(G19=Results!G8,Results!G8&lt;&gt;Games!$C$49),1,0))</f>
        <v/>
      </c>
      <c r="AO19" s="13" t="str">
        <f>IF(OR(H19="",Results!H8=""),"",IF(AND(H19=Results!H8,Results!H8&lt;&gt;Games!$C$50),1,0))</f>
        <v/>
      </c>
      <c r="AP19" s="13" t="str">
        <f>IF(OR(I19="",Results!I8=""),"",IF(AND(I19=Results!I8,Results!I8&lt;&gt;Games!$C$51),1,0))</f>
        <v/>
      </c>
      <c r="AQ19" s="13" t="str">
        <f>IF(OR(J19="",Results!J8=""),"",IF(AND(J19=Results!J8,Results!J8&lt;&gt;Games!$C$52),1,0))</f>
        <v/>
      </c>
      <c r="AR19" s="13" t="str">
        <f>IF(OR(K19="",Results!K8=""),"",IF(AND(K19=Results!K8,Results!K8&lt;&gt;Games!$C$53),1,0))</f>
        <v/>
      </c>
      <c r="AS19" s="13" t="str">
        <f>IF(OR(L19="",Results!L8=""),"",IF(AND(L19=Results!L8,Results!L8&lt;&gt;Games!$C$54),1,0))</f>
        <v/>
      </c>
      <c r="AT19" s="13" t="str">
        <f>IF(OR(M19="",Results!M8=""),"",IF(AND(M19=Results!M8,Results!M8&lt;&gt;Games!$C$55),1,0))</f>
        <v/>
      </c>
      <c r="AU19" s="13" t="str">
        <f>IF(OR(N19="",Results!N8=""),"",IF(AND(N19=Results!N8,Results!N8&lt;&gt;Games!$C$56),1,0))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 t="str">
        <f>IF(OR(B20="",Results!B8=""),"",IF(B20=Results!B8,1+IF(OR($O20=1,$P20=1,$Q20=1),1,0),0))</f>
        <v/>
      </c>
      <c r="T20" s="4" t="str">
        <f>IF(OR(C20="",Results!C8=""),"",IF(C20=Results!C8,1+IF(OR($O20=2,$P20=2,$Q20=2),1,0),0))</f>
        <v/>
      </c>
      <c r="U20" s="4" t="str">
        <f>IF(OR(D20="",Results!D8=""),"",IF(D20=Results!D8,1+IF(OR($O20=3,$P20=3,$Q20=3),1,0),0))</f>
        <v/>
      </c>
      <c r="V20" s="4" t="str">
        <f>IF(OR(E20="",Results!E8=""),"",IF(E20=Results!E8,1+IF(OR($O20=4,$P20=4,$Q20=4),1,0),0))</f>
        <v/>
      </c>
      <c r="W20" s="4" t="str">
        <f>IF(OR(F20="",Results!F8=""),"",IF(F20=Results!F8,1+IF(OR($O20=5,$P20=5,$Q20=5),1,0),0))</f>
        <v/>
      </c>
      <c r="X20" s="4" t="str">
        <f>IF(OR(G20="",Results!G8=""),"",IF(G20=Results!G8,1+IF(OR($O20=6,$P20=6,$Q20=6),1,0),0))</f>
        <v/>
      </c>
      <c r="Y20" s="4" t="str">
        <f>IF(OR(H20="",Results!H8=""),"",IF(H20=Results!H8,1+IF(OR($O20=7,$P20=7,$Q20=7),1,0),0))</f>
        <v/>
      </c>
      <c r="Z20" s="4" t="str">
        <f>IF(OR(I20="",Results!I8=""),"",IF(I20=Results!I8,1+IF(OR($O20=8,$P20=8,$Q20=8),1,0),0))</f>
        <v/>
      </c>
      <c r="AA20" s="4" t="str">
        <f>IF(OR(J20="",Results!J8=""),"",IF(J20=Results!J8,1+IF(OR($O20=9,$P20=9,$Q20=9),1,0),0))</f>
        <v/>
      </c>
      <c r="AB20" s="4" t="str">
        <f>IF(OR(K20="",Results!K8=""),"",IF(K20=Results!K8,1+IF(OR($O20=10,$P20=10,$Q20=10),1,0),0))</f>
        <v/>
      </c>
      <c r="AC20" s="4" t="str">
        <f>IF(OR(L20="",Results!L8=""),"",IF(L20=Results!L8,1+IF(OR($O20=11,$P20=11,$Q20=11),1,0),0))</f>
        <v/>
      </c>
      <c r="AD20" s="4" t="str">
        <f>IF(OR(M20="",Results!M8=""),"",IF(M20=Results!M8,1+IF(OR($O20=12,$P20=12,$Q20=12),1,0),0))</f>
        <v/>
      </c>
      <c r="AE20" s="4" t="str">
        <f>IF(OR(N20="",Results!N8=""),"",IF(N20=Results!N8,1+IF(OR($O20=13,$P20=13,$Q20=13),1,0),0))</f>
        <v/>
      </c>
      <c r="AF20" s="11">
        <f t="shared" si="0"/>
        <v>0</v>
      </c>
      <c r="AG20" s="4" t="str">
        <f>IF(OR($R20="",Results!O8=""),"",ABS($R20-Results!O8))</f>
        <v/>
      </c>
      <c r="AH20" s="12">
        <v>52</v>
      </c>
      <c r="AI20" s="13" t="str">
        <f>IF(OR(B20="",Results!B8=""),"",IF(AND(B20=Results!B8,Results!B8&lt;&gt;Games!$C$44),1,0))</f>
        <v/>
      </c>
      <c r="AJ20" s="13" t="str">
        <f>IF(OR(C20="",Results!C8=""),"",IF(AND(C20=Results!C8,Results!C8&lt;&gt;Games!$C$45),1,0))</f>
        <v/>
      </c>
      <c r="AK20" s="13" t="str">
        <f>IF(OR(D20="",Results!D8=""),"",IF(AND(D20=Results!D8,Results!D8&lt;&gt;Games!$C$46),1,0))</f>
        <v/>
      </c>
      <c r="AL20" s="13" t="str">
        <f>IF(OR(E20="",Results!E8=""),"",IF(AND(E20=Results!E8,Results!E8&lt;&gt;Games!$C$47),1,0))</f>
        <v/>
      </c>
      <c r="AM20" s="13" t="str">
        <f>IF(OR(F20="",Results!F8=""),"",IF(AND(F20=Results!F8,Results!F8&lt;&gt;Games!$C$48),1,0))</f>
        <v/>
      </c>
      <c r="AN20" s="13" t="str">
        <f>IF(OR(G20="",Results!G8=""),"",IF(AND(G20=Results!G8,Results!G8&lt;&gt;Games!$C$49),1,0))</f>
        <v/>
      </c>
      <c r="AO20" s="13" t="str">
        <f>IF(OR(H20="",Results!H8=""),"",IF(AND(H20=Results!H8,Results!H8&lt;&gt;Games!$C$50),1,0))</f>
        <v/>
      </c>
      <c r="AP20" s="13" t="str">
        <f>IF(OR(I20="",Results!I8=""),"",IF(AND(I20=Results!I8,Results!I8&lt;&gt;Games!$C$51),1,0))</f>
        <v/>
      </c>
      <c r="AQ20" s="13" t="str">
        <f>IF(OR(J20="",Results!J8=""),"",IF(AND(J20=Results!J8,Results!J8&lt;&gt;Games!$C$52),1,0))</f>
        <v/>
      </c>
      <c r="AR20" s="13" t="str">
        <f>IF(OR(K20="",Results!K8=""),"",IF(AND(K20=Results!K8,Results!K8&lt;&gt;Games!$C$53),1,0))</f>
        <v/>
      </c>
      <c r="AS20" s="13" t="str">
        <f>IF(OR(L20="",Results!L8=""),"",IF(AND(L20=Results!L8,Results!L8&lt;&gt;Games!$C$54),1,0))</f>
        <v/>
      </c>
      <c r="AT20" s="13" t="str">
        <f>IF(OR(M20="",Results!M8=""),"",IF(AND(M20=Results!M8,Results!M8&lt;&gt;Games!$C$55),1,0))</f>
        <v/>
      </c>
      <c r="AU20" s="13" t="str">
        <f>IF(OR(N20="",Results!N8=""),"",IF(AND(N20=Results!N8,Results!N8&lt;&gt;Games!$C$56),1,0))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 t="str">
        <f>IF(OR(B21="",Results!B8=""),"",IF(B21=Results!B8,1+IF(OR($O21=1,$P21=1,$Q21=1),1,0),0))</f>
        <v/>
      </c>
      <c r="T21" s="4" t="str">
        <f>IF(OR(C21="",Results!C8=""),"",IF(C21=Results!C8,1+IF(OR($O21=2,$P21=2,$Q21=2),1,0),0))</f>
        <v/>
      </c>
      <c r="U21" s="4" t="str">
        <f>IF(OR(D21="",Results!D8=""),"",IF(D21=Results!D8,1+IF(OR($O21=3,$P21=3,$Q21=3),1,0),0))</f>
        <v/>
      </c>
      <c r="V21" s="4" t="str">
        <f>IF(OR(E21="",Results!E8=""),"",IF(E21=Results!E8,1+IF(OR($O21=4,$P21=4,$Q21=4),1,0),0))</f>
        <v/>
      </c>
      <c r="W21" s="4" t="str">
        <f>IF(OR(F21="",Results!F8=""),"",IF(F21=Results!F8,1+IF(OR($O21=5,$P21=5,$Q21=5),1,0),0))</f>
        <v/>
      </c>
      <c r="X21" s="4" t="str">
        <f>IF(OR(G21="",Results!G8=""),"",IF(G21=Results!G8,1+IF(OR($O21=6,$P21=6,$Q21=6),1,0),0))</f>
        <v/>
      </c>
      <c r="Y21" s="4" t="str">
        <f>IF(OR(H21="",Results!H8=""),"",IF(H21=Results!H8,1+IF(OR($O21=7,$P21=7,$Q21=7),1,0),0))</f>
        <v/>
      </c>
      <c r="Z21" s="4" t="str">
        <f>IF(OR(I21="",Results!I8=""),"",IF(I21=Results!I8,1+IF(OR($O21=8,$P21=8,$Q21=8),1,0),0))</f>
        <v/>
      </c>
      <c r="AA21" s="4" t="str">
        <f>IF(OR(J21="",Results!J8=""),"",IF(J21=Results!J8,1+IF(OR($O21=9,$P21=9,$Q21=9),1,0),0))</f>
        <v/>
      </c>
      <c r="AB21" s="4" t="str">
        <f>IF(OR(K21="",Results!K8=""),"",IF(K21=Results!K8,1+IF(OR($O21=10,$P21=10,$Q21=10),1,0),0))</f>
        <v/>
      </c>
      <c r="AC21" s="4" t="str">
        <f>IF(OR(L21="",Results!L8=""),"",IF(L21=Results!L8,1+IF(OR($O21=11,$P21=11,$Q21=11),1,0),0))</f>
        <v/>
      </c>
      <c r="AD21" s="4" t="str">
        <f>IF(OR(M21="",Results!M8=""),"",IF(M21=Results!M8,1+IF(OR($O21=12,$P21=12,$Q21=12),1,0),0))</f>
        <v/>
      </c>
      <c r="AE21" s="4" t="str">
        <f>IF(OR(N21="",Results!N8=""),"",IF(N21=Results!N8,1+IF(OR($O21=13,$P21=13,$Q21=13),1,0),0))</f>
        <v/>
      </c>
      <c r="AF21" s="11">
        <f t="shared" si="0"/>
        <v>0</v>
      </c>
      <c r="AG21" s="4" t="str">
        <f>IF(OR($R21="",Results!O8=""),"",ABS($R21-Results!O8))</f>
        <v/>
      </c>
      <c r="AH21" s="12">
        <v>9</v>
      </c>
      <c r="AI21" s="13" t="str">
        <f>IF(OR(B21="",Results!B8=""),"",IF(AND(B21=Results!B8,Results!B8&lt;&gt;Games!$C$44),1,0))</f>
        <v/>
      </c>
      <c r="AJ21" s="13" t="str">
        <f>IF(OR(C21="",Results!C8=""),"",IF(AND(C21=Results!C8,Results!C8&lt;&gt;Games!$C$45),1,0))</f>
        <v/>
      </c>
      <c r="AK21" s="13" t="str">
        <f>IF(OR(D21="",Results!D8=""),"",IF(AND(D21=Results!D8,Results!D8&lt;&gt;Games!$C$46),1,0))</f>
        <v/>
      </c>
      <c r="AL21" s="13" t="str">
        <f>IF(OR(E21="",Results!E8=""),"",IF(AND(E21=Results!E8,Results!E8&lt;&gt;Games!$C$47),1,0))</f>
        <v/>
      </c>
      <c r="AM21" s="13" t="str">
        <f>IF(OR(F21="",Results!F8=""),"",IF(AND(F21=Results!F8,Results!F8&lt;&gt;Games!$C$48),1,0))</f>
        <v/>
      </c>
      <c r="AN21" s="13" t="str">
        <f>IF(OR(G21="",Results!G8=""),"",IF(AND(G21=Results!G8,Results!G8&lt;&gt;Games!$C$49),1,0))</f>
        <v/>
      </c>
      <c r="AO21" s="13" t="str">
        <f>IF(OR(H21="",Results!H8=""),"",IF(AND(H21=Results!H8,Results!H8&lt;&gt;Games!$C$50),1,0))</f>
        <v/>
      </c>
      <c r="AP21" s="13" t="str">
        <f>IF(OR(I21="",Results!I8=""),"",IF(AND(I21=Results!I8,Results!I8&lt;&gt;Games!$C$51),1,0))</f>
        <v/>
      </c>
      <c r="AQ21" s="13" t="str">
        <f>IF(OR(J21="",Results!J8=""),"",IF(AND(J21=Results!J8,Results!J8&lt;&gt;Games!$C$52),1,0))</f>
        <v/>
      </c>
      <c r="AR21" s="13" t="str">
        <f>IF(OR(K21="",Results!K8=""),"",IF(AND(K21=Results!K8,Results!K8&lt;&gt;Games!$C$53),1,0))</f>
        <v/>
      </c>
      <c r="AS21" s="13" t="str">
        <f>IF(OR(L21="",Results!L8=""),"",IF(AND(L21=Results!L8,Results!L8&lt;&gt;Games!$C$54),1,0))</f>
        <v/>
      </c>
      <c r="AT21" s="13" t="str">
        <f>IF(OR(M21="",Results!M8=""),"",IF(AND(M21=Results!M8,Results!M8&lt;&gt;Games!$C$55),1,0))</f>
        <v/>
      </c>
      <c r="AU21" s="13" t="str">
        <f>IF(OR(N21="",Results!N8=""),"",IF(AND(N21=Results!N8,Results!N8&lt;&gt;Games!$C$56),1,0))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 t="str">
        <f>IF(OR(B22="",Results!B8=""),"",IF(B22=Results!B8,1+IF(OR($O22=1,$P22=1,$Q22=1),1,0),0))</f>
        <v/>
      </c>
      <c r="T22" s="4" t="str">
        <f>IF(OR(C22="",Results!C8=""),"",IF(C22=Results!C8,1+IF(OR($O22=2,$P22=2,$Q22=2),1,0),0))</f>
        <v/>
      </c>
      <c r="U22" s="4" t="str">
        <f>IF(OR(D22="",Results!D8=""),"",IF(D22=Results!D8,1+IF(OR($O22=3,$P22=3,$Q22=3),1,0),0))</f>
        <v/>
      </c>
      <c r="V22" s="4" t="str">
        <f>IF(OR(E22="",Results!E8=""),"",IF(E22=Results!E8,1+IF(OR($O22=4,$P22=4,$Q22=4),1,0),0))</f>
        <v/>
      </c>
      <c r="W22" s="4" t="str">
        <f>IF(OR(F22="",Results!F8=""),"",IF(F22=Results!F8,1+IF(OR($O22=5,$P22=5,$Q22=5),1,0),0))</f>
        <v/>
      </c>
      <c r="X22" s="4" t="str">
        <f>IF(OR(G22="",Results!G8=""),"",IF(G22=Results!G8,1+IF(OR($O22=6,$P22=6,$Q22=6),1,0),0))</f>
        <v/>
      </c>
      <c r="Y22" s="4" t="str">
        <f>IF(OR(H22="",Results!H8=""),"",IF(H22=Results!H8,1+IF(OR($O22=7,$P22=7,$Q22=7),1,0),0))</f>
        <v/>
      </c>
      <c r="Z22" s="4" t="str">
        <f>IF(OR(I22="",Results!I8=""),"",IF(I22=Results!I8,1+IF(OR($O22=8,$P22=8,$Q22=8),1,0),0))</f>
        <v/>
      </c>
      <c r="AA22" s="4" t="str">
        <f>IF(OR(J22="",Results!J8=""),"",IF(J22=Results!J8,1+IF(OR($O22=9,$P22=9,$Q22=9),1,0),0))</f>
        <v/>
      </c>
      <c r="AB22" s="4" t="str">
        <f>IF(OR(K22="",Results!K8=""),"",IF(K22=Results!K8,1+IF(OR($O22=10,$P22=10,$Q22=10),1,0),0))</f>
        <v/>
      </c>
      <c r="AC22" s="4" t="str">
        <f>IF(OR(L22="",Results!L8=""),"",IF(L22=Results!L8,1+IF(OR($O22=11,$P22=11,$Q22=11),1,0),0))</f>
        <v/>
      </c>
      <c r="AD22" s="4" t="str">
        <f>IF(OR(M22="",Results!M8=""),"",IF(M22=Results!M8,1+IF(OR($O22=12,$P22=12,$Q22=12),1,0),0))</f>
        <v/>
      </c>
      <c r="AE22" s="4" t="str">
        <f>IF(OR(N22="",Results!N8=""),"",IF(N22=Results!N8,1+IF(OR($O22=13,$P22=13,$Q22=13),1,0),0))</f>
        <v/>
      </c>
      <c r="AF22" s="11">
        <f t="shared" si="0"/>
        <v>0</v>
      </c>
      <c r="AG22" s="4" t="str">
        <f>IF(OR($R22="",Results!O8=""),"",ABS($R22-Results!O8))</f>
        <v/>
      </c>
      <c r="AH22" s="12">
        <v>10</v>
      </c>
      <c r="AI22" s="13" t="str">
        <f>IF(OR(B22="",Results!B8=""),"",IF(AND(B22=Results!B8,Results!B8&lt;&gt;Games!$C$44),1,0))</f>
        <v/>
      </c>
      <c r="AJ22" s="13" t="str">
        <f>IF(OR(C22="",Results!C8=""),"",IF(AND(C22=Results!C8,Results!C8&lt;&gt;Games!$C$45),1,0))</f>
        <v/>
      </c>
      <c r="AK22" s="13" t="str">
        <f>IF(OR(D22="",Results!D8=""),"",IF(AND(D22=Results!D8,Results!D8&lt;&gt;Games!$C$46),1,0))</f>
        <v/>
      </c>
      <c r="AL22" s="13" t="str">
        <f>IF(OR(E22="",Results!E8=""),"",IF(AND(E22=Results!E8,Results!E8&lt;&gt;Games!$C$47),1,0))</f>
        <v/>
      </c>
      <c r="AM22" s="13" t="str">
        <f>IF(OR(F22="",Results!F8=""),"",IF(AND(F22=Results!F8,Results!F8&lt;&gt;Games!$C$48),1,0))</f>
        <v/>
      </c>
      <c r="AN22" s="13" t="str">
        <f>IF(OR(G22="",Results!G8=""),"",IF(AND(G22=Results!G8,Results!G8&lt;&gt;Games!$C$49),1,0))</f>
        <v/>
      </c>
      <c r="AO22" s="13" t="str">
        <f>IF(OR(H22="",Results!H8=""),"",IF(AND(H22=Results!H8,Results!H8&lt;&gt;Games!$C$50),1,0))</f>
        <v/>
      </c>
      <c r="AP22" s="13" t="str">
        <f>IF(OR(I22="",Results!I8=""),"",IF(AND(I22=Results!I8,Results!I8&lt;&gt;Games!$C$51),1,0))</f>
        <v/>
      </c>
      <c r="AQ22" s="13" t="str">
        <f>IF(OR(J22="",Results!J8=""),"",IF(AND(J22=Results!J8,Results!J8&lt;&gt;Games!$C$52),1,0))</f>
        <v/>
      </c>
      <c r="AR22" s="13" t="str">
        <f>IF(OR(K22="",Results!K8=""),"",IF(AND(K22=Results!K8,Results!K8&lt;&gt;Games!$C$53),1,0))</f>
        <v/>
      </c>
      <c r="AS22" s="13" t="str">
        <f>IF(OR(L22="",Results!L8=""),"",IF(AND(L22=Results!L8,Results!L8&lt;&gt;Games!$C$54),1,0))</f>
        <v/>
      </c>
      <c r="AT22" s="13" t="str">
        <f>IF(OR(M22="",Results!M8=""),"",IF(AND(M22=Results!M8,Results!M8&lt;&gt;Games!$C$55),1,0))</f>
        <v/>
      </c>
      <c r="AU22" s="13" t="str">
        <f>IF(OR(N22="",Results!N8=""),"",IF(AND(N22=Results!N8,Results!N8&lt;&gt;Games!$C$56),1,0))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 t="str">
        <f>IF(OR(B23="",Results!B8=""),"",IF(B23=Results!B8,1+IF(OR($O23=1,$P23=1,$Q23=1),1,0),0))</f>
        <v/>
      </c>
      <c r="T23" s="4" t="str">
        <f>IF(OR(C23="",Results!C8=""),"",IF(C23=Results!C8,1+IF(OR($O23=2,$P23=2,$Q23=2),1,0),0))</f>
        <v/>
      </c>
      <c r="U23" s="4" t="str">
        <f>IF(OR(D23="",Results!D8=""),"",IF(D23=Results!D8,1+IF(OR($O23=3,$P23=3,$Q23=3),1,0),0))</f>
        <v/>
      </c>
      <c r="V23" s="4" t="str">
        <f>IF(OR(E23="",Results!E8=""),"",IF(E23=Results!E8,1+IF(OR($O23=4,$P23=4,$Q23=4),1,0),0))</f>
        <v/>
      </c>
      <c r="W23" s="4" t="str">
        <f>IF(OR(F23="",Results!F8=""),"",IF(F23=Results!F8,1+IF(OR($O23=5,$P23=5,$Q23=5),1,0),0))</f>
        <v/>
      </c>
      <c r="X23" s="4" t="str">
        <f>IF(OR(G23="",Results!G8=""),"",IF(G23=Results!G8,1+IF(OR($O23=6,$P23=6,$Q23=6),1,0),0))</f>
        <v/>
      </c>
      <c r="Y23" s="4" t="str">
        <f>IF(OR(H23="",Results!H8=""),"",IF(H23=Results!H8,1+IF(OR($O23=7,$P23=7,$Q23=7),1,0),0))</f>
        <v/>
      </c>
      <c r="Z23" s="4" t="str">
        <f>IF(OR(I23="",Results!I8=""),"",IF(I23=Results!I8,1+IF(OR($O23=8,$P23=8,$Q23=8),1,0),0))</f>
        <v/>
      </c>
      <c r="AA23" s="4" t="str">
        <f>IF(OR(J23="",Results!J8=""),"",IF(J23=Results!J8,1+IF(OR($O23=9,$P23=9,$Q23=9),1,0),0))</f>
        <v/>
      </c>
      <c r="AB23" s="4" t="str">
        <f>IF(OR(K23="",Results!K8=""),"",IF(K23=Results!K8,1+IF(OR($O23=10,$P23=10,$Q23=10),1,0),0))</f>
        <v/>
      </c>
      <c r="AC23" s="4" t="str">
        <f>IF(OR(L23="",Results!L8=""),"",IF(L23=Results!L8,1+IF(OR($O23=11,$P23=11,$Q23=11),1,0),0))</f>
        <v/>
      </c>
      <c r="AD23" s="4" t="str">
        <f>IF(OR(M23="",Results!M8=""),"",IF(M23=Results!M8,1+IF(OR($O23=12,$P23=12,$Q23=12),1,0),0))</f>
        <v/>
      </c>
      <c r="AE23" s="4" t="str">
        <f>IF(OR(N23="",Results!N8=""),"",IF(N23=Results!N8,1+IF(OR($O23=13,$P23=13,$Q23=13),1,0),0))</f>
        <v/>
      </c>
      <c r="AF23" s="11">
        <f t="shared" si="0"/>
        <v>0</v>
      </c>
      <c r="AG23" s="4" t="str">
        <f>IF(OR($R23="",Results!O8=""),"",ABS($R23-Results!O8))</f>
        <v/>
      </c>
      <c r="AH23" s="12">
        <v>55</v>
      </c>
      <c r="AI23" s="13" t="str">
        <f>IF(OR(B23="",Results!B8=""),"",IF(AND(B23=Results!B8,Results!B8&lt;&gt;Games!$C$44),1,0))</f>
        <v/>
      </c>
      <c r="AJ23" s="13" t="str">
        <f>IF(OR(C23="",Results!C8=""),"",IF(AND(C23=Results!C8,Results!C8&lt;&gt;Games!$C$45),1,0))</f>
        <v/>
      </c>
      <c r="AK23" s="13" t="str">
        <f>IF(OR(D23="",Results!D8=""),"",IF(AND(D23=Results!D8,Results!D8&lt;&gt;Games!$C$46),1,0))</f>
        <v/>
      </c>
      <c r="AL23" s="13" t="str">
        <f>IF(OR(E23="",Results!E8=""),"",IF(AND(E23=Results!E8,Results!E8&lt;&gt;Games!$C$47),1,0))</f>
        <v/>
      </c>
      <c r="AM23" s="13" t="str">
        <f>IF(OR(F23="",Results!F8=""),"",IF(AND(F23=Results!F8,Results!F8&lt;&gt;Games!$C$48),1,0))</f>
        <v/>
      </c>
      <c r="AN23" s="13" t="str">
        <f>IF(OR(G23="",Results!G8=""),"",IF(AND(G23=Results!G8,Results!G8&lt;&gt;Games!$C$49),1,0))</f>
        <v/>
      </c>
      <c r="AO23" s="13" t="str">
        <f>IF(OR(H23="",Results!H8=""),"",IF(AND(H23=Results!H8,Results!H8&lt;&gt;Games!$C$50),1,0))</f>
        <v/>
      </c>
      <c r="AP23" s="13" t="str">
        <f>IF(OR(I23="",Results!I8=""),"",IF(AND(I23=Results!I8,Results!I8&lt;&gt;Games!$C$51),1,0))</f>
        <v/>
      </c>
      <c r="AQ23" s="13" t="str">
        <f>IF(OR(J23="",Results!J8=""),"",IF(AND(J23=Results!J8,Results!J8&lt;&gt;Games!$C$52),1,0))</f>
        <v/>
      </c>
      <c r="AR23" s="13" t="str">
        <f>IF(OR(K23="",Results!K8=""),"",IF(AND(K23=Results!K8,Results!K8&lt;&gt;Games!$C$53),1,0))</f>
        <v/>
      </c>
      <c r="AS23" s="13" t="str">
        <f>IF(OR(L23="",Results!L8=""),"",IF(AND(L23=Results!L8,Results!L8&lt;&gt;Games!$C$54),1,0))</f>
        <v/>
      </c>
      <c r="AT23" s="13" t="str">
        <f>IF(OR(M23="",Results!M8=""),"",IF(AND(M23=Results!M8,Results!M8&lt;&gt;Games!$C$55),1,0))</f>
        <v/>
      </c>
      <c r="AU23" s="13" t="str">
        <f>IF(OR(N23="",Results!N8=""),"",IF(AND(N23=Results!N8,Results!N8&lt;&gt;Games!$C$56),1,0))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IF(OR(B24="",Results!B8=""),"",IF(B24=Results!B8,1+IF(OR($O24=1,$P24=1,$Q24=1),1,0),0))</f>
        <v/>
      </c>
      <c r="T24" s="4" t="str">
        <f>IF(OR(C24="",Results!C8=""),"",IF(C24=Results!C8,1+IF(OR($O24=2,$P24=2,$Q24=2),1,0),0))</f>
        <v/>
      </c>
      <c r="U24" s="4" t="str">
        <f>IF(OR(D24="",Results!D8=""),"",IF(D24=Results!D8,1+IF(OR($O24=3,$P24=3,$Q24=3),1,0),0))</f>
        <v/>
      </c>
      <c r="V24" s="4" t="str">
        <f>IF(OR(E24="",Results!E8=""),"",IF(E24=Results!E8,1+IF(OR($O24=4,$P24=4,$Q24=4),1,0),0))</f>
        <v/>
      </c>
      <c r="W24" s="4" t="str">
        <f>IF(OR(F24="",Results!F8=""),"",IF(F24=Results!F8,1+IF(OR($O24=5,$P24=5,$Q24=5),1,0),0))</f>
        <v/>
      </c>
      <c r="X24" s="4" t="str">
        <f>IF(OR(G24="",Results!G8=""),"",IF(G24=Results!G8,1+IF(OR($O24=6,$P24=6,$Q24=6),1,0),0))</f>
        <v/>
      </c>
      <c r="Y24" s="4" t="str">
        <f>IF(OR(H24="",Results!H8=""),"",IF(H24=Results!H8,1+IF(OR($O24=7,$P24=7,$Q24=7),1,0),0))</f>
        <v/>
      </c>
      <c r="Z24" s="4" t="str">
        <f>IF(OR(I24="",Results!I8=""),"",IF(I24=Results!I8,1+IF(OR($O24=8,$P24=8,$Q24=8),1,0),0))</f>
        <v/>
      </c>
      <c r="AA24" s="4" t="str">
        <f>IF(OR(J24="",Results!J8=""),"",IF(J24=Results!J8,1+IF(OR($O24=9,$P24=9,$Q24=9),1,0),0))</f>
        <v/>
      </c>
      <c r="AB24" s="4" t="str">
        <f>IF(OR(K24="",Results!K8=""),"",IF(K24=Results!K8,1+IF(OR($O24=10,$P24=10,$Q24=10),1,0),0))</f>
        <v/>
      </c>
      <c r="AC24" s="4" t="str">
        <f>IF(OR(L24="",Results!L8=""),"",IF(L24=Results!L8,1+IF(OR($O24=11,$P24=11,$Q24=11),1,0),0))</f>
        <v/>
      </c>
      <c r="AD24" s="4" t="str">
        <f>IF(OR(M24="",Results!M8=""),"",IF(M24=Results!M8,1+IF(OR($O24=12,$P24=12,$Q24=12),1,0),0))</f>
        <v/>
      </c>
      <c r="AE24" s="4" t="str">
        <f>IF(OR(N24="",Results!N8=""),"",IF(N24=Results!N8,1+IF(OR($O24=13,$P24=13,$Q24=13),1,0),0))</f>
        <v/>
      </c>
      <c r="AF24" s="11">
        <f t="shared" si="0"/>
        <v>0</v>
      </c>
      <c r="AG24" s="4" t="str">
        <f>IF(OR($R24="",Results!O8=""),"",ABS($R24-Results!O8))</f>
        <v/>
      </c>
      <c r="AH24" s="12">
        <v>47</v>
      </c>
      <c r="AI24" s="13" t="str">
        <f>IF(OR(B24="",Results!B8=""),"",IF(AND(B24=Results!B8,Results!B8&lt;&gt;Games!$C$44),1,0))</f>
        <v/>
      </c>
      <c r="AJ24" s="13" t="str">
        <f>IF(OR(C24="",Results!C8=""),"",IF(AND(C24=Results!C8,Results!C8&lt;&gt;Games!$C$45),1,0))</f>
        <v/>
      </c>
      <c r="AK24" s="13" t="str">
        <f>IF(OR(D24="",Results!D8=""),"",IF(AND(D24=Results!D8,Results!D8&lt;&gt;Games!$C$46),1,0))</f>
        <v/>
      </c>
      <c r="AL24" s="13" t="str">
        <f>IF(OR(E24="",Results!E8=""),"",IF(AND(E24=Results!E8,Results!E8&lt;&gt;Games!$C$47),1,0))</f>
        <v/>
      </c>
      <c r="AM24" s="13" t="str">
        <f>IF(OR(F24="",Results!F8=""),"",IF(AND(F24=Results!F8,Results!F8&lt;&gt;Games!$C$48),1,0))</f>
        <v/>
      </c>
      <c r="AN24" s="13" t="str">
        <f>IF(OR(G24="",Results!G8=""),"",IF(AND(G24=Results!G8,Results!G8&lt;&gt;Games!$C$49),1,0))</f>
        <v/>
      </c>
      <c r="AO24" s="13" t="str">
        <f>IF(OR(H24="",Results!H8=""),"",IF(AND(H24=Results!H8,Results!H8&lt;&gt;Games!$C$50),1,0))</f>
        <v/>
      </c>
      <c r="AP24" s="13" t="str">
        <f>IF(OR(I24="",Results!I8=""),"",IF(AND(I24=Results!I8,Results!I8&lt;&gt;Games!$C$51),1,0))</f>
        <v/>
      </c>
      <c r="AQ24" s="13" t="str">
        <f>IF(OR(J24="",Results!J8=""),"",IF(AND(J24=Results!J8,Results!J8&lt;&gt;Games!$C$52),1,0))</f>
        <v/>
      </c>
      <c r="AR24" s="13" t="str">
        <f>IF(OR(K24="",Results!K8=""),"",IF(AND(K24=Results!K8,Results!K8&lt;&gt;Games!$C$53),1,0))</f>
        <v/>
      </c>
      <c r="AS24" s="13" t="str">
        <f>IF(OR(L24="",Results!L8=""),"",IF(AND(L24=Results!L8,Results!L8&lt;&gt;Games!$C$54),1,0))</f>
        <v/>
      </c>
      <c r="AT24" s="13" t="str">
        <f>IF(OR(M24="",Results!M8=""),"",IF(AND(M24=Results!M8,Results!M8&lt;&gt;Games!$C$55),1,0))</f>
        <v/>
      </c>
      <c r="AU24" s="13" t="str">
        <f>IF(OR(N24="",Results!N8=""),"",IF(AND(N24=Results!N8,Results!N8&lt;&gt;Games!$C$56),1,0))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 t="str">
        <f>IF(OR(B25="",Results!B8=""),"",IF(B25=Results!B8,1+IF(OR($O25=1,$P25=1,$Q25=1),1,0),0))</f>
        <v/>
      </c>
      <c r="T25" s="4" t="str">
        <f>IF(OR(C25="",Results!C8=""),"",IF(C25=Results!C8,1+IF(OR($O25=2,$P25=2,$Q25=2),1,0),0))</f>
        <v/>
      </c>
      <c r="U25" s="4" t="str">
        <f>IF(OR(D25="",Results!D8=""),"",IF(D25=Results!D8,1+IF(OR($O25=3,$P25=3,$Q25=3),1,0),0))</f>
        <v/>
      </c>
      <c r="V25" s="4" t="str">
        <f>IF(OR(E25="",Results!E8=""),"",IF(E25=Results!E8,1+IF(OR($O25=4,$P25=4,$Q25=4),1,0),0))</f>
        <v/>
      </c>
      <c r="W25" s="4" t="str">
        <f>IF(OR(F25="",Results!F8=""),"",IF(F25=Results!F8,1+IF(OR($O25=5,$P25=5,$Q25=5),1,0),0))</f>
        <v/>
      </c>
      <c r="X25" s="4" t="str">
        <f>IF(OR(G25="",Results!G8=""),"",IF(G25=Results!G8,1+IF(OR($O25=6,$P25=6,$Q25=6),1,0),0))</f>
        <v/>
      </c>
      <c r="Y25" s="4" t="str">
        <f>IF(OR(H25="",Results!H8=""),"",IF(H25=Results!H8,1+IF(OR($O25=7,$P25=7,$Q25=7),1,0),0))</f>
        <v/>
      </c>
      <c r="Z25" s="4" t="str">
        <f>IF(OR(I25="",Results!I8=""),"",IF(I25=Results!I8,1+IF(OR($O25=8,$P25=8,$Q25=8),1,0),0))</f>
        <v/>
      </c>
      <c r="AA25" s="4" t="str">
        <f>IF(OR(J25="",Results!J8=""),"",IF(J25=Results!J8,1+IF(OR($O25=9,$P25=9,$Q25=9),1,0),0))</f>
        <v/>
      </c>
      <c r="AB25" s="4" t="str">
        <f>IF(OR(K25="",Results!K8=""),"",IF(K25=Results!K8,1+IF(OR($O25=10,$P25=10,$Q25=10),1,0),0))</f>
        <v/>
      </c>
      <c r="AC25" s="4" t="str">
        <f>IF(OR(L25="",Results!L8=""),"",IF(L25=Results!L8,1+IF(OR($O25=11,$P25=11,$Q25=11),1,0),0))</f>
        <v/>
      </c>
      <c r="AD25" s="4" t="str">
        <f>IF(OR(M25="",Results!M8=""),"",IF(M25=Results!M8,1+IF(OR($O25=12,$P25=12,$Q25=12),1,0),0))</f>
        <v/>
      </c>
      <c r="AE25" s="4" t="str">
        <f>IF(OR(N25="",Results!N8=""),"",IF(N25=Results!N8,1+IF(OR($O25=13,$P25=13,$Q25=13),1,0),0))</f>
        <v/>
      </c>
      <c r="AF25" s="11">
        <f t="shared" si="0"/>
        <v>0</v>
      </c>
      <c r="AG25" s="4" t="str">
        <f>IF(OR($R25="",Results!O8=""),"",ABS($R25-Results!O8))</f>
        <v/>
      </c>
      <c r="AH25" s="12">
        <v>54</v>
      </c>
      <c r="AI25" s="13" t="str">
        <f>IF(OR(B25="",Results!B8=""),"",IF(AND(B25=Results!B8,Results!B8&lt;&gt;Games!$C$44),1,0))</f>
        <v/>
      </c>
      <c r="AJ25" s="13" t="str">
        <f>IF(OR(C25="",Results!C8=""),"",IF(AND(C25=Results!C8,Results!C8&lt;&gt;Games!$C$45),1,0))</f>
        <v/>
      </c>
      <c r="AK25" s="13" t="str">
        <f>IF(OR(D25="",Results!D8=""),"",IF(AND(D25=Results!D8,Results!D8&lt;&gt;Games!$C$46),1,0))</f>
        <v/>
      </c>
      <c r="AL25" s="13" t="str">
        <f>IF(OR(E25="",Results!E8=""),"",IF(AND(E25=Results!E8,Results!E8&lt;&gt;Games!$C$47),1,0))</f>
        <v/>
      </c>
      <c r="AM25" s="13" t="str">
        <f>IF(OR(F25="",Results!F8=""),"",IF(AND(F25=Results!F8,Results!F8&lt;&gt;Games!$C$48),1,0))</f>
        <v/>
      </c>
      <c r="AN25" s="13" t="str">
        <f>IF(OR(G25="",Results!G8=""),"",IF(AND(G25=Results!G8,Results!G8&lt;&gt;Games!$C$49),1,0))</f>
        <v/>
      </c>
      <c r="AO25" s="13" t="str">
        <f>IF(OR(H25="",Results!H8=""),"",IF(AND(H25=Results!H8,Results!H8&lt;&gt;Games!$C$50),1,0))</f>
        <v/>
      </c>
      <c r="AP25" s="13" t="str">
        <f>IF(OR(I25="",Results!I8=""),"",IF(AND(I25=Results!I8,Results!I8&lt;&gt;Games!$C$51),1,0))</f>
        <v/>
      </c>
      <c r="AQ25" s="13" t="str">
        <f>IF(OR(J25="",Results!J8=""),"",IF(AND(J25=Results!J8,Results!J8&lt;&gt;Games!$C$52),1,0))</f>
        <v/>
      </c>
      <c r="AR25" s="13" t="str">
        <f>IF(OR(K25="",Results!K8=""),"",IF(AND(K25=Results!K8,Results!K8&lt;&gt;Games!$C$53),1,0))</f>
        <v/>
      </c>
      <c r="AS25" s="13" t="str">
        <f>IF(OR(L25="",Results!L8=""),"",IF(AND(L25=Results!L8,Results!L8&lt;&gt;Games!$C$54),1,0))</f>
        <v/>
      </c>
      <c r="AT25" s="13" t="str">
        <f>IF(OR(M25="",Results!M8=""),"",IF(AND(M25=Results!M8,Results!M8&lt;&gt;Games!$C$55),1,0))</f>
        <v/>
      </c>
      <c r="AU25" s="13" t="str">
        <f>IF(OR(N25="",Results!N8=""),"",IF(AND(N25=Results!N8,Results!N8&lt;&gt;Games!$C$56),1,0))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tr">
        <f>IF(OR(B26="",Results!B8=""),"",IF(B26=Results!B8,1+IF(OR($O26=1,$P26=1,$Q26=1),1,0),0))</f>
        <v/>
      </c>
      <c r="T26" s="4" t="str">
        <f>IF(OR(C26="",Results!C8=""),"",IF(C26=Results!C8,1+IF(OR($O26=2,$P26=2,$Q26=2),1,0),0))</f>
        <v/>
      </c>
      <c r="U26" s="4" t="str">
        <f>IF(OR(D26="",Results!D8=""),"",IF(D26=Results!D8,1+IF(OR($O26=3,$P26=3,$Q26=3),1,0),0))</f>
        <v/>
      </c>
      <c r="V26" s="4" t="str">
        <f>IF(OR(E26="",Results!E8=""),"",IF(E26=Results!E8,1+IF(OR($O26=4,$P26=4,$Q26=4),1,0),0))</f>
        <v/>
      </c>
      <c r="W26" s="4" t="str">
        <f>IF(OR(F26="",Results!F8=""),"",IF(F26=Results!F8,1+IF(OR($O26=5,$P26=5,$Q26=5),1,0),0))</f>
        <v/>
      </c>
      <c r="X26" s="4" t="str">
        <f>IF(OR(G26="",Results!G8=""),"",IF(G26=Results!G8,1+IF(OR($O26=6,$P26=6,$Q26=6),1,0),0))</f>
        <v/>
      </c>
      <c r="Y26" s="4" t="str">
        <f>IF(OR(H26="",Results!H8=""),"",IF(H26=Results!H8,1+IF(OR($O26=7,$P26=7,$Q26=7),1,0),0))</f>
        <v/>
      </c>
      <c r="Z26" s="4" t="str">
        <f>IF(OR(I26="",Results!I8=""),"",IF(I26=Results!I8,1+IF(OR($O26=8,$P26=8,$Q26=8),1,0),0))</f>
        <v/>
      </c>
      <c r="AA26" s="4" t="str">
        <f>IF(OR(J26="",Results!J8=""),"",IF(J26=Results!J8,1+IF(OR($O26=9,$P26=9,$Q26=9),1,0),0))</f>
        <v/>
      </c>
      <c r="AB26" s="4" t="str">
        <f>IF(OR(K26="",Results!K8=""),"",IF(K26=Results!K8,1+IF(OR($O26=10,$P26=10,$Q26=10),1,0),0))</f>
        <v/>
      </c>
      <c r="AC26" s="4" t="str">
        <f>IF(OR(L26="",Results!L8=""),"",IF(L26=Results!L8,1+IF(OR($O26=11,$P26=11,$Q26=11),1,0),0))</f>
        <v/>
      </c>
      <c r="AD26" s="4" t="str">
        <f>IF(OR(M26="",Results!M8=""),"",IF(M26=Results!M8,1+IF(OR($O26=12,$P26=12,$Q26=12),1,0),0))</f>
        <v/>
      </c>
      <c r="AE26" s="4" t="str">
        <f>IF(OR(N26="",Results!N8=""),"",IF(N26=Results!N8,1+IF(OR($O26=13,$P26=13,$Q26=13),1,0),0))</f>
        <v/>
      </c>
      <c r="AF26" s="11">
        <f t="shared" si="0"/>
        <v>0</v>
      </c>
      <c r="AG26" s="4" t="str">
        <f>IF(OR($R26="",Results!O8=""),"",ABS($R26-Results!O8))</f>
        <v/>
      </c>
      <c r="AH26" s="12">
        <v>48</v>
      </c>
      <c r="AI26" s="13" t="str">
        <f>IF(OR(B26="",Results!B8=""),"",IF(AND(B26=Results!B8,Results!B8&lt;&gt;Games!$C$44),1,0))</f>
        <v/>
      </c>
      <c r="AJ26" s="13" t="str">
        <f>IF(OR(C26="",Results!C8=""),"",IF(AND(C26=Results!C8,Results!C8&lt;&gt;Games!$C$45),1,0))</f>
        <v/>
      </c>
      <c r="AK26" s="13" t="str">
        <f>IF(OR(D26="",Results!D8=""),"",IF(AND(D26=Results!D8,Results!D8&lt;&gt;Games!$C$46),1,0))</f>
        <v/>
      </c>
      <c r="AL26" s="13" t="str">
        <f>IF(OR(E26="",Results!E8=""),"",IF(AND(E26=Results!E8,Results!E8&lt;&gt;Games!$C$47),1,0))</f>
        <v/>
      </c>
      <c r="AM26" s="13" t="str">
        <f>IF(OR(F26="",Results!F8=""),"",IF(AND(F26=Results!F8,Results!F8&lt;&gt;Games!$C$48),1,0))</f>
        <v/>
      </c>
      <c r="AN26" s="13" t="str">
        <f>IF(OR(G26="",Results!G8=""),"",IF(AND(G26=Results!G8,Results!G8&lt;&gt;Games!$C$49),1,0))</f>
        <v/>
      </c>
      <c r="AO26" s="13" t="str">
        <f>IF(OR(H26="",Results!H8=""),"",IF(AND(H26=Results!H8,Results!H8&lt;&gt;Games!$C$50),1,0))</f>
        <v/>
      </c>
      <c r="AP26" s="13" t="str">
        <f>IF(OR(I26="",Results!I8=""),"",IF(AND(I26=Results!I8,Results!I8&lt;&gt;Games!$C$51),1,0))</f>
        <v/>
      </c>
      <c r="AQ26" s="13" t="str">
        <f>IF(OR(J26="",Results!J8=""),"",IF(AND(J26=Results!J8,Results!J8&lt;&gt;Games!$C$52),1,0))</f>
        <v/>
      </c>
      <c r="AR26" s="13" t="str">
        <f>IF(OR(K26="",Results!K8=""),"",IF(AND(K26=Results!K8,Results!K8&lt;&gt;Games!$C$53),1,0))</f>
        <v/>
      </c>
      <c r="AS26" s="13" t="str">
        <f>IF(OR(L26="",Results!L8=""),"",IF(AND(L26=Results!L8,Results!L8&lt;&gt;Games!$C$54),1,0))</f>
        <v/>
      </c>
      <c r="AT26" s="13" t="str">
        <f>IF(OR(M26="",Results!M8=""),"",IF(AND(M26=Results!M8,Results!M8&lt;&gt;Games!$C$55),1,0))</f>
        <v/>
      </c>
      <c r="AU26" s="13" t="str">
        <f>IF(OR(N26="",Results!N8=""),"",IF(AND(N26=Results!N8,Results!N8&lt;&gt;Games!$C$56),1,0))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 t="str">
        <f>IF(OR(B27="",Results!B8=""),"",IF(B27=Results!B8,1+IF(OR($O27=1,$P27=1,$Q27=1),1,0),0))</f>
        <v/>
      </c>
      <c r="T27" s="4" t="str">
        <f>IF(OR(C27="",Results!C8=""),"",IF(C27=Results!C8,1+IF(OR($O27=2,$P27=2,$Q27=2),1,0),0))</f>
        <v/>
      </c>
      <c r="U27" s="4" t="str">
        <f>IF(OR(D27="",Results!D8=""),"",IF(D27=Results!D8,1+IF(OR($O27=3,$P27=3,$Q27=3),1,0),0))</f>
        <v/>
      </c>
      <c r="V27" s="4" t="str">
        <f>IF(OR(E27="",Results!E8=""),"",IF(E27=Results!E8,1+IF(OR($O27=4,$P27=4,$Q27=4),1,0),0))</f>
        <v/>
      </c>
      <c r="W27" s="4" t="str">
        <f>IF(OR(F27="",Results!F8=""),"",IF(F27=Results!F8,1+IF(OR($O27=5,$P27=5,$Q27=5),1,0),0))</f>
        <v/>
      </c>
      <c r="X27" s="4" t="str">
        <f>IF(OR(G27="",Results!G8=""),"",IF(G27=Results!G8,1+IF(OR($O27=6,$P27=6,$Q27=6),1,0),0))</f>
        <v/>
      </c>
      <c r="Y27" s="4" t="str">
        <f>IF(OR(H27="",Results!H8=""),"",IF(H27=Results!H8,1+IF(OR($O27=7,$P27=7,$Q27=7),1,0),0))</f>
        <v/>
      </c>
      <c r="Z27" s="4" t="str">
        <f>IF(OR(I27="",Results!I8=""),"",IF(I27=Results!I8,1+IF(OR($O27=8,$P27=8,$Q27=8),1,0),0))</f>
        <v/>
      </c>
      <c r="AA27" s="4" t="str">
        <f>IF(OR(J27="",Results!J8=""),"",IF(J27=Results!J8,1+IF(OR($O27=9,$P27=9,$Q27=9),1,0),0))</f>
        <v/>
      </c>
      <c r="AB27" s="4" t="str">
        <f>IF(OR(K27="",Results!K8=""),"",IF(K27=Results!K8,1+IF(OR($O27=10,$P27=10,$Q27=10),1,0),0))</f>
        <v/>
      </c>
      <c r="AC27" s="4" t="str">
        <f>IF(OR(L27="",Results!L8=""),"",IF(L27=Results!L8,1+IF(OR($O27=11,$P27=11,$Q27=11),1,0),0))</f>
        <v/>
      </c>
      <c r="AD27" s="4" t="str">
        <f>IF(OR(M27="",Results!M8=""),"",IF(M27=Results!M8,1+IF(OR($O27=12,$P27=12,$Q27=12),1,0),0))</f>
        <v/>
      </c>
      <c r="AE27" s="4" t="str">
        <f>IF(OR(N27="",Results!N8=""),"",IF(N27=Results!N8,1+IF(OR($O27=13,$P27=13,$Q27=13),1,0),0))</f>
        <v/>
      </c>
      <c r="AF27" s="11">
        <f t="shared" si="0"/>
        <v>0</v>
      </c>
      <c r="AG27" s="4" t="str">
        <f>IF(OR($R27="",Results!O8=""),"",ABS($R27-Results!O8))</f>
        <v/>
      </c>
      <c r="AH27" s="12">
        <v>38</v>
      </c>
      <c r="AI27" s="13" t="str">
        <f>IF(OR(B27="",Results!B8=""),"",IF(AND(B27=Results!B8,Results!B8&lt;&gt;Games!$C$44),1,0))</f>
        <v/>
      </c>
      <c r="AJ27" s="13" t="str">
        <f>IF(OR(C27="",Results!C8=""),"",IF(AND(C27=Results!C8,Results!C8&lt;&gt;Games!$C$45),1,0))</f>
        <v/>
      </c>
      <c r="AK27" s="13" t="str">
        <f>IF(OR(D27="",Results!D8=""),"",IF(AND(D27=Results!D8,Results!D8&lt;&gt;Games!$C$46),1,0))</f>
        <v/>
      </c>
      <c r="AL27" s="13" t="str">
        <f>IF(OR(E27="",Results!E8=""),"",IF(AND(E27=Results!E8,Results!E8&lt;&gt;Games!$C$47),1,0))</f>
        <v/>
      </c>
      <c r="AM27" s="13" t="str">
        <f>IF(OR(F27="",Results!F8=""),"",IF(AND(F27=Results!F8,Results!F8&lt;&gt;Games!$C$48),1,0))</f>
        <v/>
      </c>
      <c r="AN27" s="13" t="str">
        <f>IF(OR(G27="",Results!G8=""),"",IF(AND(G27=Results!G8,Results!G8&lt;&gt;Games!$C$49),1,0))</f>
        <v/>
      </c>
      <c r="AO27" s="13" t="str">
        <f>IF(OR(H27="",Results!H8=""),"",IF(AND(H27=Results!H8,Results!H8&lt;&gt;Games!$C$50),1,0))</f>
        <v/>
      </c>
      <c r="AP27" s="13" t="str">
        <f>IF(OR(I27="",Results!I8=""),"",IF(AND(I27=Results!I8,Results!I8&lt;&gt;Games!$C$51),1,0))</f>
        <v/>
      </c>
      <c r="AQ27" s="13" t="str">
        <f>IF(OR(J27="",Results!J8=""),"",IF(AND(J27=Results!J8,Results!J8&lt;&gt;Games!$C$52),1,0))</f>
        <v/>
      </c>
      <c r="AR27" s="13" t="str">
        <f>IF(OR(K27="",Results!K8=""),"",IF(AND(K27=Results!K8,Results!K8&lt;&gt;Games!$C$53),1,0))</f>
        <v/>
      </c>
      <c r="AS27" s="13" t="str">
        <f>IF(OR(L27="",Results!L8=""),"",IF(AND(L27=Results!L8,Results!L8&lt;&gt;Games!$C$54),1,0))</f>
        <v/>
      </c>
      <c r="AT27" s="13" t="str">
        <f>IF(OR(M27="",Results!M8=""),"",IF(AND(M27=Results!M8,Results!M8&lt;&gt;Games!$C$55),1,0))</f>
        <v/>
      </c>
      <c r="AU27" s="13" t="str">
        <f>IF(OR(N27="",Results!N8=""),"",IF(AND(N27=Results!N8,Results!N8&lt;&gt;Games!$C$56),1,0))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IF(OR(B28="",Results!B8=""),"",IF(B28=Results!B8,1+IF(OR($O28=1,$P28=1,$Q28=1),1,0),0))</f>
        <v/>
      </c>
      <c r="T28" s="4" t="str">
        <f>IF(OR(C28="",Results!C8=""),"",IF(C28=Results!C8,1+IF(OR($O28=2,$P28=2,$Q28=2),1,0),0))</f>
        <v/>
      </c>
      <c r="U28" s="4" t="str">
        <f>IF(OR(D28="",Results!D8=""),"",IF(D28=Results!D8,1+IF(OR($O28=3,$P28=3,$Q28=3),1,0),0))</f>
        <v/>
      </c>
      <c r="V28" s="4" t="str">
        <f>IF(OR(E28="",Results!E8=""),"",IF(E28=Results!E8,1+IF(OR($O28=4,$P28=4,$Q28=4),1,0),0))</f>
        <v/>
      </c>
      <c r="W28" s="4" t="str">
        <f>IF(OR(F28="",Results!F8=""),"",IF(F28=Results!F8,1+IF(OR($O28=5,$P28=5,$Q28=5),1,0),0))</f>
        <v/>
      </c>
      <c r="X28" s="4" t="str">
        <f>IF(OR(G28="",Results!G8=""),"",IF(G28=Results!G8,1+IF(OR($O28=6,$P28=6,$Q28=6),1,0),0))</f>
        <v/>
      </c>
      <c r="Y28" s="4" t="str">
        <f>IF(OR(H28="",Results!H8=""),"",IF(H28=Results!H8,1+IF(OR($O28=7,$P28=7,$Q28=7),1,0),0))</f>
        <v/>
      </c>
      <c r="Z28" s="4" t="str">
        <f>IF(OR(I28="",Results!I8=""),"",IF(I28=Results!I8,1+IF(OR($O28=8,$P28=8,$Q28=8),1,0),0))</f>
        <v/>
      </c>
      <c r="AA28" s="4" t="str">
        <f>IF(OR(J28="",Results!J8=""),"",IF(J28=Results!J8,1+IF(OR($O28=9,$P28=9,$Q28=9),1,0),0))</f>
        <v/>
      </c>
      <c r="AB28" s="4" t="str">
        <f>IF(OR(K28="",Results!K8=""),"",IF(K28=Results!K8,1+IF(OR($O28=10,$P28=10,$Q28=10),1,0),0))</f>
        <v/>
      </c>
      <c r="AC28" s="4" t="str">
        <f>IF(OR(L28="",Results!L8=""),"",IF(L28=Results!L8,1+IF(OR($O28=11,$P28=11,$Q28=11),1,0),0))</f>
        <v/>
      </c>
      <c r="AD28" s="4" t="str">
        <f>IF(OR(M28="",Results!M8=""),"",IF(M28=Results!M8,1+IF(OR($O28=12,$P28=12,$Q28=12),1,0),0))</f>
        <v/>
      </c>
      <c r="AE28" s="4" t="str">
        <f>IF(OR(N28="",Results!N8=""),"",IF(N28=Results!N8,1+IF(OR($O28=13,$P28=13,$Q28=13),1,0),0))</f>
        <v/>
      </c>
      <c r="AF28" s="11">
        <f t="shared" si="0"/>
        <v>0</v>
      </c>
      <c r="AG28" s="4" t="str">
        <f>IF(OR($R28="",Results!O8=""),"",ABS($R28-Results!O8))</f>
        <v/>
      </c>
      <c r="AH28" s="12">
        <v>60</v>
      </c>
      <c r="AI28" s="13" t="str">
        <f>IF(OR(B28="",Results!B8=""),"",IF(AND(B28=Results!B8,Results!B8&lt;&gt;Games!$C$44),1,0))</f>
        <v/>
      </c>
      <c r="AJ28" s="13" t="str">
        <f>IF(OR(C28="",Results!C8=""),"",IF(AND(C28=Results!C8,Results!C8&lt;&gt;Games!$C$45),1,0))</f>
        <v/>
      </c>
      <c r="AK28" s="13" t="str">
        <f>IF(OR(D28="",Results!D8=""),"",IF(AND(D28=Results!D8,Results!D8&lt;&gt;Games!$C$46),1,0))</f>
        <v/>
      </c>
      <c r="AL28" s="13" t="str">
        <f>IF(OR(E28="",Results!E8=""),"",IF(AND(E28=Results!E8,Results!E8&lt;&gt;Games!$C$47),1,0))</f>
        <v/>
      </c>
      <c r="AM28" s="13" t="str">
        <f>IF(OR(F28="",Results!F8=""),"",IF(AND(F28=Results!F8,Results!F8&lt;&gt;Games!$C$48),1,0))</f>
        <v/>
      </c>
      <c r="AN28" s="13" t="str">
        <f>IF(OR(G28="",Results!G8=""),"",IF(AND(G28=Results!G8,Results!G8&lt;&gt;Games!$C$49),1,0))</f>
        <v/>
      </c>
      <c r="AO28" s="13" t="str">
        <f>IF(OR(H28="",Results!H8=""),"",IF(AND(H28=Results!H8,Results!H8&lt;&gt;Games!$C$50),1,0))</f>
        <v/>
      </c>
      <c r="AP28" s="13" t="str">
        <f>IF(OR(I28="",Results!I8=""),"",IF(AND(I28=Results!I8,Results!I8&lt;&gt;Games!$C$51),1,0))</f>
        <v/>
      </c>
      <c r="AQ28" s="13" t="str">
        <f>IF(OR(J28="",Results!J8=""),"",IF(AND(J28=Results!J8,Results!J8&lt;&gt;Games!$C$52),1,0))</f>
        <v/>
      </c>
      <c r="AR28" s="13" t="str">
        <f>IF(OR(K28="",Results!K8=""),"",IF(AND(K28=Results!K8,Results!K8&lt;&gt;Games!$C$53),1,0))</f>
        <v/>
      </c>
      <c r="AS28" s="13" t="str">
        <f>IF(OR(L28="",Results!L8=""),"",IF(AND(L28=Results!L8,Results!L8&lt;&gt;Games!$C$54),1,0))</f>
        <v/>
      </c>
      <c r="AT28" s="13" t="str">
        <f>IF(OR(M28="",Results!M8=""),"",IF(AND(M28=Results!M8,Results!M8&lt;&gt;Games!$C$55),1,0))</f>
        <v/>
      </c>
      <c r="AU28" s="13" t="str">
        <f>IF(OR(N28="",Results!N8=""),"",IF(AND(N28=Results!N8,Results!N8&lt;&gt;Games!$C$56),1,0))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IF(OR(B29="",Results!B8=""),"",IF(B29=Results!B8,1+IF(OR($O29=1,$P29=1,$Q29=1),1,0),0))</f>
        <v/>
      </c>
      <c r="T29" s="4" t="str">
        <f>IF(OR(C29="",Results!C8=""),"",IF(C29=Results!C8,1+IF(OR($O29=2,$P29=2,$Q29=2),1,0),0))</f>
        <v/>
      </c>
      <c r="U29" s="4" t="str">
        <f>IF(OR(D29="",Results!D8=""),"",IF(D29=Results!D8,1+IF(OR($O29=3,$P29=3,$Q29=3),1,0),0))</f>
        <v/>
      </c>
      <c r="V29" s="4" t="str">
        <f>IF(OR(E29="",Results!E8=""),"",IF(E29=Results!E8,1+IF(OR($O29=4,$P29=4,$Q29=4),1,0),0))</f>
        <v/>
      </c>
      <c r="W29" s="4" t="str">
        <f>IF(OR(F29="",Results!F8=""),"",IF(F29=Results!F8,1+IF(OR($O29=5,$P29=5,$Q29=5),1,0),0))</f>
        <v/>
      </c>
      <c r="X29" s="4" t="str">
        <f>IF(OR(G29="",Results!G8=""),"",IF(G29=Results!G8,1+IF(OR($O29=6,$P29=6,$Q29=6),1,0),0))</f>
        <v/>
      </c>
      <c r="Y29" s="4" t="str">
        <f>IF(OR(H29="",Results!H8=""),"",IF(H29=Results!H8,1+IF(OR($O29=7,$P29=7,$Q29=7),1,0),0))</f>
        <v/>
      </c>
      <c r="Z29" s="4" t="str">
        <f>IF(OR(I29="",Results!I8=""),"",IF(I29=Results!I8,1+IF(OR($O29=8,$P29=8,$Q29=8),1,0),0))</f>
        <v/>
      </c>
      <c r="AA29" s="4" t="str">
        <f>IF(OR(J29="",Results!J8=""),"",IF(J29=Results!J8,1+IF(OR($O29=9,$P29=9,$Q29=9),1,0),0))</f>
        <v/>
      </c>
      <c r="AB29" s="4" t="str">
        <f>IF(OR(K29="",Results!K8=""),"",IF(K29=Results!K8,1+IF(OR($O29=10,$P29=10,$Q29=10),1,0),0))</f>
        <v/>
      </c>
      <c r="AC29" s="4" t="str">
        <f>IF(OR(L29="",Results!L8=""),"",IF(L29=Results!L8,1+IF(OR($O29=11,$P29=11,$Q29=11),1,0),0))</f>
        <v/>
      </c>
      <c r="AD29" s="4" t="str">
        <f>IF(OR(M29="",Results!M8=""),"",IF(M29=Results!M8,1+IF(OR($O29=12,$P29=12,$Q29=12),1,0),0))</f>
        <v/>
      </c>
      <c r="AE29" s="4" t="str">
        <f>IF(OR(N29="",Results!N8=""),"",IF(N29=Results!N8,1+IF(OR($O29=13,$P29=13,$Q29=13),1,0),0))</f>
        <v/>
      </c>
      <c r="AF29" s="11">
        <f t="shared" si="0"/>
        <v>0</v>
      </c>
      <c r="AG29" s="4" t="str">
        <f>IF(OR($R29="",Results!O8=""),"",ABS($R29-Results!O8))</f>
        <v/>
      </c>
      <c r="AH29" s="12">
        <v>11</v>
      </c>
      <c r="AI29" s="13" t="str">
        <f>IF(OR(B29="",Results!B8=""),"",IF(AND(B29=Results!B8,Results!B8&lt;&gt;Games!$C$44),1,0))</f>
        <v/>
      </c>
      <c r="AJ29" s="13" t="str">
        <f>IF(OR(C29="",Results!C8=""),"",IF(AND(C29=Results!C8,Results!C8&lt;&gt;Games!$C$45),1,0))</f>
        <v/>
      </c>
      <c r="AK29" s="13" t="str">
        <f>IF(OR(D29="",Results!D8=""),"",IF(AND(D29=Results!D8,Results!D8&lt;&gt;Games!$C$46),1,0))</f>
        <v/>
      </c>
      <c r="AL29" s="13" t="str">
        <f>IF(OR(E29="",Results!E8=""),"",IF(AND(E29=Results!E8,Results!E8&lt;&gt;Games!$C$47),1,0))</f>
        <v/>
      </c>
      <c r="AM29" s="13" t="str">
        <f>IF(OR(F29="",Results!F8=""),"",IF(AND(F29=Results!F8,Results!F8&lt;&gt;Games!$C$48),1,0))</f>
        <v/>
      </c>
      <c r="AN29" s="13" t="str">
        <f>IF(OR(G29="",Results!G8=""),"",IF(AND(G29=Results!G8,Results!G8&lt;&gt;Games!$C$49),1,0))</f>
        <v/>
      </c>
      <c r="AO29" s="13" t="str">
        <f>IF(OR(H29="",Results!H8=""),"",IF(AND(H29=Results!H8,Results!H8&lt;&gt;Games!$C$50),1,0))</f>
        <v/>
      </c>
      <c r="AP29" s="13" t="str">
        <f>IF(OR(I29="",Results!I8=""),"",IF(AND(I29=Results!I8,Results!I8&lt;&gt;Games!$C$51),1,0))</f>
        <v/>
      </c>
      <c r="AQ29" s="13" t="str">
        <f>IF(OR(J29="",Results!J8=""),"",IF(AND(J29=Results!J8,Results!J8&lt;&gt;Games!$C$52),1,0))</f>
        <v/>
      </c>
      <c r="AR29" s="13" t="str">
        <f>IF(OR(K29="",Results!K8=""),"",IF(AND(K29=Results!K8,Results!K8&lt;&gt;Games!$C$53),1,0))</f>
        <v/>
      </c>
      <c r="AS29" s="13" t="str">
        <f>IF(OR(L29="",Results!L8=""),"",IF(AND(L29=Results!L8,Results!L8&lt;&gt;Games!$C$54),1,0))</f>
        <v/>
      </c>
      <c r="AT29" s="13" t="str">
        <f>IF(OR(M29="",Results!M8=""),"",IF(AND(M29=Results!M8,Results!M8&lt;&gt;Games!$C$55),1,0))</f>
        <v/>
      </c>
      <c r="AU29" s="13" t="str">
        <f>IF(OR(N29="",Results!N8=""),"",IF(AND(N29=Results!N8,Results!N8&lt;&gt;Games!$C$56),1,0))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 t="str">
        <f>IF(OR(B30="",Results!B8=""),"",IF(B30=Results!B8,1+IF(OR($O30=1,$P30=1,$Q30=1),1,0),0))</f>
        <v/>
      </c>
      <c r="T30" s="4" t="str">
        <f>IF(OR(C30="",Results!C8=""),"",IF(C30=Results!C8,1+IF(OR($O30=2,$P30=2,$Q30=2),1,0),0))</f>
        <v/>
      </c>
      <c r="U30" s="4" t="str">
        <f>IF(OR(D30="",Results!D8=""),"",IF(D30=Results!D8,1+IF(OR($O30=3,$P30=3,$Q30=3),1,0),0))</f>
        <v/>
      </c>
      <c r="V30" s="4" t="str">
        <f>IF(OR(E30="",Results!E8=""),"",IF(E30=Results!E8,1+IF(OR($O30=4,$P30=4,$Q30=4),1,0),0))</f>
        <v/>
      </c>
      <c r="W30" s="4" t="str">
        <f>IF(OR(F30="",Results!F8=""),"",IF(F30=Results!F8,1+IF(OR($O30=5,$P30=5,$Q30=5),1,0),0))</f>
        <v/>
      </c>
      <c r="X30" s="4" t="str">
        <f>IF(OR(G30="",Results!G8=""),"",IF(G30=Results!G8,1+IF(OR($O30=6,$P30=6,$Q30=6),1,0),0))</f>
        <v/>
      </c>
      <c r="Y30" s="4" t="str">
        <f>IF(OR(H30="",Results!H8=""),"",IF(H30=Results!H8,1+IF(OR($O30=7,$P30=7,$Q30=7),1,0),0))</f>
        <v/>
      </c>
      <c r="Z30" s="4" t="str">
        <f>IF(OR(I30="",Results!I8=""),"",IF(I30=Results!I8,1+IF(OR($O30=8,$P30=8,$Q30=8),1,0),0))</f>
        <v/>
      </c>
      <c r="AA30" s="4" t="str">
        <f>IF(OR(J30="",Results!J8=""),"",IF(J30=Results!J8,1+IF(OR($O30=9,$P30=9,$Q30=9),1,0),0))</f>
        <v/>
      </c>
      <c r="AB30" s="4" t="str">
        <f>IF(OR(K30="",Results!K8=""),"",IF(K30=Results!K8,1+IF(OR($O30=10,$P30=10,$Q30=10),1,0),0))</f>
        <v/>
      </c>
      <c r="AC30" s="4" t="str">
        <f>IF(OR(L30="",Results!L8=""),"",IF(L30=Results!L8,1+IF(OR($O30=11,$P30=11,$Q30=11),1,0),0))</f>
        <v/>
      </c>
      <c r="AD30" s="4" t="str">
        <f>IF(OR(M30="",Results!M8=""),"",IF(M30=Results!M8,1+IF(OR($O30=12,$P30=12,$Q30=12),1,0),0))</f>
        <v/>
      </c>
      <c r="AE30" s="4" t="str">
        <f>IF(OR(N30="",Results!N8=""),"",IF(N30=Results!N8,1+IF(OR($O30=13,$P30=13,$Q30=13),1,0),0))</f>
        <v/>
      </c>
      <c r="AF30" s="11">
        <f t="shared" si="0"/>
        <v>0</v>
      </c>
      <c r="AG30" s="4" t="str">
        <f>IF(OR($R30="",Results!O8=""),"",ABS($R30-Results!O8))</f>
        <v/>
      </c>
      <c r="AH30" s="12">
        <v>12</v>
      </c>
      <c r="AI30" s="13" t="str">
        <f>IF(OR(B30="",Results!B8=""),"",IF(AND(B30=Results!B8,Results!B8&lt;&gt;Games!$C$44),1,0))</f>
        <v/>
      </c>
      <c r="AJ30" s="13" t="str">
        <f>IF(OR(C30="",Results!C8=""),"",IF(AND(C30=Results!C8,Results!C8&lt;&gt;Games!$C$45),1,0))</f>
        <v/>
      </c>
      <c r="AK30" s="13" t="str">
        <f>IF(OR(D30="",Results!D8=""),"",IF(AND(D30=Results!D8,Results!D8&lt;&gt;Games!$C$46),1,0))</f>
        <v/>
      </c>
      <c r="AL30" s="13" t="str">
        <f>IF(OR(E30="",Results!E8=""),"",IF(AND(E30=Results!E8,Results!E8&lt;&gt;Games!$C$47),1,0))</f>
        <v/>
      </c>
      <c r="AM30" s="13" t="str">
        <f>IF(OR(F30="",Results!F8=""),"",IF(AND(F30=Results!F8,Results!F8&lt;&gt;Games!$C$48),1,0))</f>
        <v/>
      </c>
      <c r="AN30" s="13" t="str">
        <f>IF(OR(G30="",Results!G8=""),"",IF(AND(G30=Results!G8,Results!G8&lt;&gt;Games!$C$49),1,0))</f>
        <v/>
      </c>
      <c r="AO30" s="13" t="str">
        <f>IF(OR(H30="",Results!H8=""),"",IF(AND(H30=Results!H8,Results!H8&lt;&gt;Games!$C$50),1,0))</f>
        <v/>
      </c>
      <c r="AP30" s="13" t="str">
        <f>IF(OR(I30="",Results!I8=""),"",IF(AND(I30=Results!I8,Results!I8&lt;&gt;Games!$C$51),1,0))</f>
        <v/>
      </c>
      <c r="AQ30" s="13" t="str">
        <f>IF(OR(J30="",Results!J8=""),"",IF(AND(J30=Results!J8,Results!J8&lt;&gt;Games!$C$52),1,0))</f>
        <v/>
      </c>
      <c r="AR30" s="13" t="str">
        <f>IF(OR(K30="",Results!K8=""),"",IF(AND(K30=Results!K8,Results!K8&lt;&gt;Games!$C$53),1,0))</f>
        <v/>
      </c>
      <c r="AS30" s="13" t="str">
        <f>IF(OR(L30="",Results!L8=""),"",IF(AND(L30=Results!L8,Results!L8&lt;&gt;Games!$C$54),1,0))</f>
        <v/>
      </c>
      <c r="AT30" s="13" t="str">
        <f>IF(OR(M30="",Results!M8=""),"",IF(AND(M30=Results!M8,Results!M8&lt;&gt;Games!$C$55),1,0))</f>
        <v/>
      </c>
      <c r="AU30" s="13" t="str">
        <f>IF(OR(N30="",Results!N8=""),"",IF(AND(N30=Results!N8,Results!N8&lt;&gt;Games!$C$56),1,0))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IF(OR(B31="",Results!B8=""),"",IF(B31=Results!B8,1+IF(OR($O31=1,$P31=1,$Q31=1),1,0),0))</f>
        <v/>
      </c>
      <c r="T31" s="4" t="str">
        <f>IF(OR(C31="",Results!C8=""),"",IF(C31=Results!C8,1+IF(OR($O31=2,$P31=2,$Q31=2),1,0),0))</f>
        <v/>
      </c>
      <c r="U31" s="4" t="str">
        <f>IF(OR(D31="",Results!D8=""),"",IF(D31=Results!D8,1+IF(OR($O31=3,$P31=3,$Q31=3),1,0),0))</f>
        <v/>
      </c>
      <c r="V31" s="4" t="str">
        <f>IF(OR(E31="",Results!E8=""),"",IF(E31=Results!E8,1+IF(OR($O31=4,$P31=4,$Q31=4),1,0),0))</f>
        <v/>
      </c>
      <c r="W31" s="4" t="str">
        <f>IF(OR(F31="",Results!F8=""),"",IF(F31=Results!F8,1+IF(OR($O31=5,$P31=5,$Q31=5),1,0),0))</f>
        <v/>
      </c>
      <c r="X31" s="4" t="str">
        <f>IF(OR(G31="",Results!G8=""),"",IF(G31=Results!G8,1+IF(OR($O31=6,$P31=6,$Q31=6),1,0),0))</f>
        <v/>
      </c>
      <c r="Y31" s="4" t="str">
        <f>IF(OR(H31="",Results!H8=""),"",IF(H31=Results!H8,1+IF(OR($O31=7,$P31=7,$Q31=7),1,0),0))</f>
        <v/>
      </c>
      <c r="Z31" s="4" t="str">
        <f>IF(OR(I31="",Results!I8=""),"",IF(I31=Results!I8,1+IF(OR($O31=8,$P31=8,$Q31=8),1,0),0))</f>
        <v/>
      </c>
      <c r="AA31" s="4" t="str">
        <f>IF(OR(J31="",Results!J8=""),"",IF(J31=Results!J8,1+IF(OR($O31=9,$P31=9,$Q31=9),1,0),0))</f>
        <v/>
      </c>
      <c r="AB31" s="4" t="str">
        <f>IF(OR(K31="",Results!K8=""),"",IF(K31=Results!K8,1+IF(OR($O31=10,$P31=10,$Q31=10),1,0),0))</f>
        <v/>
      </c>
      <c r="AC31" s="4" t="str">
        <f>IF(OR(L31="",Results!L8=""),"",IF(L31=Results!L8,1+IF(OR($O31=11,$P31=11,$Q31=11),1,0),0))</f>
        <v/>
      </c>
      <c r="AD31" s="4" t="str">
        <f>IF(OR(M31="",Results!M8=""),"",IF(M31=Results!M8,1+IF(OR($O31=12,$P31=12,$Q31=12),1,0),0))</f>
        <v/>
      </c>
      <c r="AE31" s="4" t="str">
        <f>IF(OR(N31="",Results!N8=""),"",IF(N31=Results!N8,1+IF(OR($O31=13,$P31=13,$Q31=13),1,0),0))</f>
        <v/>
      </c>
      <c r="AF31" s="11">
        <f t="shared" si="0"/>
        <v>0</v>
      </c>
      <c r="AG31" s="4" t="str">
        <f>IF(OR($R31="",Results!O8=""),"",ABS($R31-Results!O8))</f>
        <v/>
      </c>
      <c r="AH31" s="12">
        <v>13</v>
      </c>
      <c r="AI31" s="13" t="str">
        <f>IF(OR(B31="",Results!B8=""),"",IF(AND(B31=Results!B8,Results!B8&lt;&gt;Games!$C$44),1,0))</f>
        <v/>
      </c>
      <c r="AJ31" s="13" t="str">
        <f>IF(OR(C31="",Results!C8=""),"",IF(AND(C31=Results!C8,Results!C8&lt;&gt;Games!$C$45),1,0))</f>
        <v/>
      </c>
      <c r="AK31" s="13" t="str">
        <f>IF(OR(D31="",Results!D8=""),"",IF(AND(D31=Results!D8,Results!D8&lt;&gt;Games!$C$46),1,0))</f>
        <v/>
      </c>
      <c r="AL31" s="13" t="str">
        <f>IF(OR(E31="",Results!E8=""),"",IF(AND(E31=Results!E8,Results!E8&lt;&gt;Games!$C$47),1,0))</f>
        <v/>
      </c>
      <c r="AM31" s="13" t="str">
        <f>IF(OR(F31="",Results!F8=""),"",IF(AND(F31=Results!F8,Results!F8&lt;&gt;Games!$C$48),1,0))</f>
        <v/>
      </c>
      <c r="AN31" s="13" t="str">
        <f>IF(OR(G31="",Results!G8=""),"",IF(AND(G31=Results!G8,Results!G8&lt;&gt;Games!$C$49),1,0))</f>
        <v/>
      </c>
      <c r="AO31" s="13" t="str">
        <f>IF(OR(H31="",Results!H8=""),"",IF(AND(H31=Results!H8,Results!H8&lt;&gt;Games!$C$50),1,0))</f>
        <v/>
      </c>
      <c r="AP31" s="13" t="str">
        <f>IF(OR(I31="",Results!I8=""),"",IF(AND(I31=Results!I8,Results!I8&lt;&gt;Games!$C$51),1,0))</f>
        <v/>
      </c>
      <c r="AQ31" s="13" t="str">
        <f>IF(OR(J31="",Results!J8=""),"",IF(AND(J31=Results!J8,Results!J8&lt;&gt;Games!$C$52),1,0))</f>
        <v/>
      </c>
      <c r="AR31" s="13" t="str">
        <f>IF(OR(K31="",Results!K8=""),"",IF(AND(K31=Results!K8,Results!K8&lt;&gt;Games!$C$53),1,0))</f>
        <v/>
      </c>
      <c r="AS31" s="13" t="str">
        <f>IF(OR(L31="",Results!L8=""),"",IF(AND(L31=Results!L8,Results!L8&lt;&gt;Games!$C$54),1,0))</f>
        <v/>
      </c>
      <c r="AT31" s="13" t="str">
        <f>IF(OR(M31="",Results!M8=""),"",IF(AND(M31=Results!M8,Results!M8&lt;&gt;Games!$C$55),1,0))</f>
        <v/>
      </c>
      <c r="AU31" s="13" t="str">
        <f>IF(OR(N31="",Results!N8=""),"",IF(AND(N31=Results!N8,Results!N8&lt;&gt;Games!$C$56),1,0))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IF(OR(B32="",Results!B8=""),"",IF(B32=Results!B8,1+IF(OR($O32=1,$P32=1,$Q32=1),1,0),0))</f>
        <v/>
      </c>
      <c r="T32" s="4" t="str">
        <f>IF(OR(C32="",Results!C8=""),"",IF(C32=Results!C8,1+IF(OR($O32=2,$P32=2,$Q32=2),1,0),0))</f>
        <v/>
      </c>
      <c r="U32" s="4" t="str">
        <f>IF(OR(D32="",Results!D8=""),"",IF(D32=Results!D8,1+IF(OR($O32=3,$P32=3,$Q32=3),1,0),0))</f>
        <v/>
      </c>
      <c r="V32" s="4" t="str">
        <f>IF(OR(E32="",Results!E8=""),"",IF(E32=Results!E8,1+IF(OR($O32=4,$P32=4,$Q32=4),1,0),0))</f>
        <v/>
      </c>
      <c r="W32" s="4" t="str">
        <f>IF(OR(F32="",Results!F8=""),"",IF(F32=Results!F8,1+IF(OR($O32=5,$P32=5,$Q32=5),1,0),0))</f>
        <v/>
      </c>
      <c r="X32" s="4" t="str">
        <f>IF(OR(G32="",Results!G8=""),"",IF(G32=Results!G8,1+IF(OR($O32=6,$P32=6,$Q32=6),1,0),0))</f>
        <v/>
      </c>
      <c r="Y32" s="4" t="str">
        <f>IF(OR(H32="",Results!H8=""),"",IF(H32=Results!H8,1+IF(OR($O32=7,$P32=7,$Q32=7),1,0),0))</f>
        <v/>
      </c>
      <c r="Z32" s="4" t="str">
        <f>IF(OR(I32="",Results!I8=""),"",IF(I32=Results!I8,1+IF(OR($O32=8,$P32=8,$Q32=8),1,0),0))</f>
        <v/>
      </c>
      <c r="AA32" s="4" t="str">
        <f>IF(OR(J32="",Results!J8=""),"",IF(J32=Results!J8,1+IF(OR($O32=9,$P32=9,$Q32=9),1,0),0))</f>
        <v/>
      </c>
      <c r="AB32" s="4" t="str">
        <f>IF(OR(K32="",Results!K8=""),"",IF(K32=Results!K8,1+IF(OR($O32=10,$P32=10,$Q32=10),1,0),0))</f>
        <v/>
      </c>
      <c r="AC32" s="4" t="str">
        <f>IF(OR(L32="",Results!L8=""),"",IF(L32=Results!L8,1+IF(OR($O32=11,$P32=11,$Q32=11),1,0),0))</f>
        <v/>
      </c>
      <c r="AD32" s="4" t="str">
        <f>IF(OR(M32="",Results!M8=""),"",IF(M32=Results!M8,1+IF(OR($O32=12,$P32=12,$Q32=12),1,0),0))</f>
        <v/>
      </c>
      <c r="AE32" s="4" t="str">
        <f>IF(OR(N32="",Results!N8=""),"",IF(N32=Results!N8,1+IF(OR($O32=13,$P32=13,$Q32=13),1,0),0))</f>
        <v/>
      </c>
      <c r="AF32" s="11">
        <f t="shared" si="0"/>
        <v>0</v>
      </c>
      <c r="AG32" s="4" t="str">
        <f>IF(OR($R32="",Results!O8=""),"",ABS($R32-Results!O8))</f>
        <v/>
      </c>
      <c r="AH32" s="12">
        <v>14</v>
      </c>
      <c r="AI32" s="13" t="str">
        <f>IF(OR(B32="",Results!B8=""),"",IF(AND(B32=Results!B8,Results!B8&lt;&gt;Games!$C$44),1,0))</f>
        <v/>
      </c>
      <c r="AJ32" s="13" t="str">
        <f>IF(OR(C32="",Results!C8=""),"",IF(AND(C32=Results!C8,Results!C8&lt;&gt;Games!$C$45),1,0))</f>
        <v/>
      </c>
      <c r="AK32" s="13" t="str">
        <f>IF(OR(D32="",Results!D8=""),"",IF(AND(D32=Results!D8,Results!D8&lt;&gt;Games!$C$46),1,0))</f>
        <v/>
      </c>
      <c r="AL32" s="13" t="str">
        <f>IF(OR(E32="",Results!E8=""),"",IF(AND(E32=Results!E8,Results!E8&lt;&gt;Games!$C$47),1,0))</f>
        <v/>
      </c>
      <c r="AM32" s="13" t="str">
        <f>IF(OR(F32="",Results!F8=""),"",IF(AND(F32=Results!F8,Results!F8&lt;&gt;Games!$C$48),1,0))</f>
        <v/>
      </c>
      <c r="AN32" s="13" t="str">
        <f>IF(OR(G32="",Results!G8=""),"",IF(AND(G32=Results!G8,Results!G8&lt;&gt;Games!$C$49),1,0))</f>
        <v/>
      </c>
      <c r="AO32" s="13" t="str">
        <f>IF(OR(H32="",Results!H8=""),"",IF(AND(H32=Results!H8,Results!H8&lt;&gt;Games!$C$50),1,0))</f>
        <v/>
      </c>
      <c r="AP32" s="13" t="str">
        <f>IF(OR(I32="",Results!I8=""),"",IF(AND(I32=Results!I8,Results!I8&lt;&gt;Games!$C$51),1,0))</f>
        <v/>
      </c>
      <c r="AQ32" s="13" t="str">
        <f>IF(OR(J32="",Results!J8=""),"",IF(AND(J32=Results!J8,Results!J8&lt;&gt;Games!$C$52),1,0))</f>
        <v/>
      </c>
      <c r="AR32" s="13" t="str">
        <f>IF(OR(K32="",Results!K8=""),"",IF(AND(K32=Results!K8,Results!K8&lt;&gt;Games!$C$53),1,0))</f>
        <v/>
      </c>
      <c r="AS32" s="13" t="str">
        <f>IF(OR(L32="",Results!L8=""),"",IF(AND(L32=Results!L8,Results!L8&lt;&gt;Games!$C$54),1,0))</f>
        <v/>
      </c>
      <c r="AT32" s="13" t="str">
        <f>IF(OR(M32="",Results!M8=""),"",IF(AND(M32=Results!M8,Results!M8&lt;&gt;Games!$C$55),1,0))</f>
        <v/>
      </c>
      <c r="AU32" s="13" t="str">
        <f>IF(OR(N32="",Results!N8=""),"",IF(AND(N32=Results!N8,Results!N8&lt;&gt;Games!$C$56),1,0))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4" t="str">
        <f>IF(OR(B33="",Results!B8=""),"",IF(B33=Results!B8,1+IF(OR($O33=1,$P33=1,$Q33=1),1,0),0))</f>
        <v/>
      </c>
      <c r="T33" s="4" t="str">
        <f>IF(OR(C33="",Results!C8=""),"",IF(C33=Results!C8,1+IF(OR($O33=2,$P33=2,$Q33=2),1,0),0))</f>
        <v/>
      </c>
      <c r="U33" s="4" t="str">
        <f>IF(OR(D33="",Results!D8=""),"",IF(D33=Results!D8,1+IF(OR($O33=3,$P33=3,$Q33=3),1,0),0))</f>
        <v/>
      </c>
      <c r="V33" s="4" t="str">
        <f>IF(OR(E33="",Results!E8=""),"",IF(E33=Results!E8,1+IF(OR($O33=4,$P33=4,$Q33=4),1,0),0))</f>
        <v/>
      </c>
      <c r="W33" s="4" t="str">
        <f>IF(OR(F33="",Results!F8=""),"",IF(F33=Results!F8,1+IF(OR($O33=5,$P33=5,$Q33=5),1,0),0))</f>
        <v/>
      </c>
      <c r="X33" s="4" t="str">
        <f>IF(OR(G33="",Results!G8=""),"",IF(G33=Results!G8,1+IF(OR($O33=6,$P33=6,$Q33=6),1,0),0))</f>
        <v/>
      </c>
      <c r="Y33" s="4" t="str">
        <f>IF(OR(H33="",Results!H8=""),"",IF(H33=Results!H8,1+IF(OR($O33=7,$P33=7,$Q33=7),1,0),0))</f>
        <v/>
      </c>
      <c r="Z33" s="4" t="str">
        <f>IF(OR(I33="",Results!I8=""),"",IF(I33=Results!I8,1+IF(OR($O33=8,$P33=8,$Q33=8),1,0),0))</f>
        <v/>
      </c>
      <c r="AA33" s="4" t="str">
        <f>IF(OR(J33="",Results!J8=""),"",IF(J33=Results!J8,1+IF(OR($O33=9,$P33=9,$Q33=9),1,0),0))</f>
        <v/>
      </c>
      <c r="AB33" s="4" t="str">
        <f>IF(OR(K33="",Results!K8=""),"",IF(K33=Results!K8,1+IF(OR($O33=10,$P33=10,$Q33=10),1,0),0))</f>
        <v/>
      </c>
      <c r="AC33" s="4" t="str">
        <f>IF(OR(L33="",Results!L8=""),"",IF(L33=Results!L8,1+IF(OR($O33=11,$P33=11,$Q33=11),1,0),0))</f>
        <v/>
      </c>
      <c r="AD33" s="4" t="str">
        <f>IF(OR(M33="",Results!M8=""),"",IF(M33=Results!M8,1+IF(OR($O33=12,$P33=12,$Q33=12),1,0),0))</f>
        <v/>
      </c>
      <c r="AE33" s="4" t="str">
        <f>IF(OR(N33="",Results!N8=""),"",IF(N33=Results!N8,1+IF(OR($O33=13,$P33=13,$Q33=13),1,0),0))</f>
        <v/>
      </c>
      <c r="AF33" s="11">
        <f t="shared" si="0"/>
        <v>0</v>
      </c>
      <c r="AG33" s="4" t="str">
        <f>IF(OR($R33="",Results!O8=""),"",ABS($R33-Results!O8))</f>
        <v/>
      </c>
      <c r="AH33" s="12">
        <v>15</v>
      </c>
      <c r="AI33" s="13" t="str">
        <f>IF(OR(B33="",Results!B8=""),"",IF(AND(B33=Results!B8,Results!B8&lt;&gt;Games!$C$44),1,0))</f>
        <v/>
      </c>
      <c r="AJ33" s="13" t="str">
        <f>IF(OR(C33="",Results!C8=""),"",IF(AND(C33=Results!C8,Results!C8&lt;&gt;Games!$C$45),1,0))</f>
        <v/>
      </c>
      <c r="AK33" s="13" t="str">
        <f>IF(OR(D33="",Results!D8=""),"",IF(AND(D33=Results!D8,Results!D8&lt;&gt;Games!$C$46),1,0))</f>
        <v/>
      </c>
      <c r="AL33" s="13" t="str">
        <f>IF(OR(E33="",Results!E8=""),"",IF(AND(E33=Results!E8,Results!E8&lt;&gt;Games!$C$47),1,0))</f>
        <v/>
      </c>
      <c r="AM33" s="13" t="str">
        <f>IF(OR(F33="",Results!F8=""),"",IF(AND(F33=Results!F8,Results!F8&lt;&gt;Games!$C$48),1,0))</f>
        <v/>
      </c>
      <c r="AN33" s="13" t="str">
        <f>IF(OR(G33="",Results!G8=""),"",IF(AND(G33=Results!G8,Results!G8&lt;&gt;Games!$C$49),1,0))</f>
        <v/>
      </c>
      <c r="AO33" s="13" t="str">
        <f>IF(OR(H33="",Results!H8=""),"",IF(AND(H33=Results!H8,Results!H8&lt;&gt;Games!$C$50),1,0))</f>
        <v/>
      </c>
      <c r="AP33" s="13" t="str">
        <f>IF(OR(I33="",Results!I8=""),"",IF(AND(I33=Results!I8,Results!I8&lt;&gt;Games!$C$51),1,0))</f>
        <v/>
      </c>
      <c r="AQ33" s="13" t="str">
        <f>IF(OR(J33="",Results!J8=""),"",IF(AND(J33=Results!J8,Results!J8&lt;&gt;Games!$C$52),1,0))</f>
        <v/>
      </c>
      <c r="AR33" s="13" t="str">
        <f>IF(OR(K33="",Results!K8=""),"",IF(AND(K33=Results!K8,Results!K8&lt;&gt;Games!$C$53),1,0))</f>
        <v/>
      </c>
      <c r="AS33" s="13" t="str">
        <f>IF(OR(L33="",Results!L8=""),"",IF(AND(L33=Results!L8,Results!L8&lt;&gt;Games!$C$54),1,0))</f>
        <v/>
      </c>
      <c r="AT33" s="13" t="str">
        <f>IF(OR(M33="",Results!M8=""),"",IF(AND(M33=Results!M8,Results!M8&lt;&gt;Games!$C$55),1,0))</f>
        <v/>
      </c>
      <c r="AU33" s="13" t="str">
        <f>IF(OR(N33="",Results!N8=""),"",IF(AND(N33=Results!N8,Results!N8&lt;&gt;Games!$C$56),1,0))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IF(OR(B34="",Results!B8=""),"",IF(B34=Results!B8,1+IF(OR($O34=1,$P34=1,$Q34=1),1,0),0))</f>
        <v/>
      </c>
      <c r="T34" s="4" t="str">
        <f>IF(OR(C34="",Results!C8=""),"",IF(C34=Results!C8,1+IF(OR($O34=2,$P34=2,$Q34=2),1,0),0))</f>
        <v/>
      </c>
      <c r="U34" s="4" t="str">
        <f>IF(OR(D34="",Results!D8=""),"",IF(D34=Results!D8,1+IF(OR($O34=3,$P34=3,$Q34=3),1,0),0))</f>
        <v/>
      </c>
      <c r="V34" s="4" t="str">
        <f>IF(OR(E34="",Results!E8=""),"",IF(E34=Results!E8,1+IF(OR($O34=4,$P34=4,$Q34=4),1,0),0))</f>
        <v/>
      </c>
      <c r="W34" s="4" t="str">
        <f>IF(OR(F34="",Results!F8=""),"",IF(F34=Results!F8,1+IF(OR($O34=5,$P34=5,$Q34=5),1,0),0))</f>
        <v/>
      </c>
      <c r="X34" s="4" t="str">
        <f>IF(OR(G34="",Results!G8=""),"",IF(G34=Results!G8,1+IF(OR($O34=6,$P34=6,$Q34=6),1,0),0))</f>
        <v/>
      </c>
      <c r="Y34" s="4" t="str">
        <f>IF(OR(H34="",Results!H8=""),"",IF(H34=Results!H8,1+IF(OR($O34=7,$P34=7,$Q34=7),1,0),0))</f>
        <v/>
      </c>
      <c r="Z34" s="4" t="str">
        <f>IF(OR(I34="",Results!I8=""),"",IF(I34=Results!I8,1+IF(OR($O34=8,$P34=8,$Q34=8),1,0),0))</f>
        <v/>
      </c>
      <c r="AA34" s="4" t="str">
        <f>IF(OR(J34="",Results!J8=""),"",IF(J34=Results!J8,1+IF(OR($O34=9,$P34=9,$Q34=9),1,0),0))</f>
        <v/>
      </c>
      <c r="AB34" s="4" t="str">
        <f>IF(OR(K34="",Results!K8=""),"",IF(K34=Results!K8,1+IF(OR($O34=10,$P34=10,$Q34=10),1,0),0))</f>
        <v/>
      </c>
      <c r="AC34" s="4" t="str">
        <f>IF(OR(L34="",Results!L8=""),"",IF(L34=Results!L8,1+IF(OR($O34=11,$P34=11,$Q34=11),1,0),0))</f>
        <v/>
      </c>
      <c r="AD34" s="4" t="str">
        <f>IF(OR(M34="",Results!M8=""),"",IF(M34=Results!M8,1+IF(OR($O34=12,$P34=12,$Q34=12),1,0),0))</f>
        <v/>
      </c>
      <c r="AE34" s="4" t="str">
        <f>IF(OR(N34="",Results!N8=""),"",IF(N34=Results!N8,1+IF(OR($O34=13,$P34=13,$Q34=13),1,0),0))</f>
        <v/>
      </c>
      <c r="AF34" s="11">
        <f t="shared" si="0"/>
        <v>0</v>
      </c>
      <c r="AG34" s="4" t="str">
        <f>IF(OR($R34="",Results!O8=""),"",ABS($R34-Results!O8))</f>
        <v/>
      </c>
      <c r="AH34" s="12">
        <v>16</v>
      </c>
      <c r="AI34" s="13" t="str">
        <f>IF(OR(B34="",Results!B8=""),"",IF(AND(B34=Results!B8,Results!B8&lt;&gt;Games!$C$44),1,0))</f>
        <v/>
      </c>
      <c r="AJ34" s="13" t="str">
        <f>IF(OR(C34="",Results!C8=""),"",IF(AND(C34=Results!C8,Results!C8&lt;&gt;Games!$C$45),1,0))</f>
        <v/>
      </c>
      <c r="AK34" s="13" t="str">
        <f>IF(OR(D34="",Results!D8=""),"",IF(AND(D34=Results!D8,Results!D8&lt;&gt;Games!$C$46),1,0))</f>
        <v/>
      </c>
      <c r="AL34" s="13" t="str">
        <f>IF(OR(E34="",Results!E8=""),"",IF(AND(E34=Results!E8,Results!E8&lt;&gt;Games!$C$47),1,0))</f>
        <v/>
      </c>
      <c r="AM34" s="13" t="str">
        <f>IF(OR(F34="",Results!F8=""),"",IF(AND(F34=Results!F8,Results!F8&lt;&gt;Games!$C$48),1,0))</f>
        <v/>
      </c>
      <c r="AN34" s="13" t="str">
        <f>IF(OR(G34="",Results!G8=""),"",IF(AND(G34=Results!G8,Results!G8&lt;&gt;Games!$C$49),1,0))</f>
        <v/>
      </c>
      <c r="AO34" s="13" t="str">
        <f>IF(OR(H34="",Results!H8=""),"",IF(AND(H34=Results!H8,Results!H8&lt;&gt;Games!$C$50),1,0))</f>
        <v/>
      </c>
      <c r="AP34" s="13" t="str">
        <f>IF(OR(I34="",Results!I8=""),"",IF(AND(I34=Results!I8,Results!I8&lt;&gt;Games!$C$51),1,0))</f>
        <v/>
      </c>
      <c r="AQ34" s="13" t="str">
        <f>IF(OR(J34="",Results!J8=""),"",IF(AND(J34=Results!J8,Results!J8&lt;&gt;Games!$C$52),1,0))</f>
        <v/>
      </c>
      <c r="AR34" s="13" t="str">
        <f>IF(OR(K34="",Results!K8=""),"",IF(AND(K34=Results!K8,Results!K8&lt;&gt;Games!$C$53),1,0))</f>
        <v/>
      </c>
      <c r="AS34" s="13" t="str">
        <f>IF(OR(L34="",Results!L8=""),"",IF(AND(L34=Results!L8,Results!L8&lt;&gt;Games!$C$54),1,0))</f>
        <v/>
      </c>
      <c r="AT34" s="13" t="str">
        <f>IF(OR(M34="",Results!M8=""),"",IF(AND(M34=Results!M8,Results!M8&lt;&gt;Games!$C$55),1,0))</f>
        <v/>
      </c>
      <c r="AU34" s="13" t="str">
        <f>IF(OR(N34="",Results!N8=""),"",IF(AND(N34=Results!N8,Results!N8&lt;&gt;Games!$C$56),1,0))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IF(OR(B35="",Results!B8=""),"",IF(B35=Results!B8,1+IF(OR($O35=1,$P35=1,$Q35=1),1,0),0))</f>
        <v/>
      </c>
      <c r="T35" s="4" t="str">
        <f>IF(OR(C35="",Results!C8=""),"",IF(C35=Results!C8,1+IF(OR($O35=2,$P35=2,$Q35=2),1,0),0))</f>
        <v/>
      </c>
      <c r="U35" s="4" t="str">
        <f>IF(OR(D35="",Results!D8=""),"",IF(D35=Results!D8,1+IF(OR($O35=3,$P35=3,$Q35=3),1,0),0))</f>
        <v/>
      </c>
      <c r="V35" s="4" t="str">
        <f>IF(OR(E35="",Results!E8=""),"",IF(E35=Results!E8,1+IF(OR($O35=4,$P35=4,$Q35=4),1,0),0))</f>
        <v/>
      </c>
      <c r="W35" s="4" t="str">
        <f>IF(OR(F35="",Results!F8=""),"",IF(F35=Results!F8,1+IF(OR($O35=5,$P35=5,$Q35=5),1,0),0))</f>
        <v/>
      </c>
      <c r="X35" s="4" t="str">
        <f>IF(OR(G35="",Results!G8=""),"",IF(G35=Results!G8,1+IF(OR($O35=6,$P35=6,$Q35=6),1,0),0))</f>
        <v/>
      </c>
      <c r="Y35" s="4" t="str">
        <f>IF(OR(H35="",Results!H8=""),"",IF(H35=Results!H8,1+IF(OR($O35=7,$P35=7,$Q35=7),1,0),0))</f>
        <v/>
      </c>
      <c r="Z35" s="4" t="str">
        <f>IF(OR(I35="",Results!I8=""),"",IF(I35=Results!I8,1+IF(OR($O35=8,$P35=8,$Q35=8),1,0),0))</f>
        <v/>
      </c>
      <c r="AA35" s="4" t="str">
        <f>IF(OR(J35="",Results!J8=""),"",IF(J35=Results!J8,1+IF(OR($O35=9,$P35=9,$Q35=9),1,0),0))</f>
        <v/>
      </c>
      <c r="AB35" s="4" t="str">
        <f>IF(OR(K35="",Results!K8=""),"",IF(K35=Results!K8,1+IF(OR($O35=10,$P35=10,$Q35=10),1,0),0))</f>
        <v/>
      </c>
      <c r="AC35" s="4" t="str">
        <f>IF(OR(L35="",Results!L8=""),"",IF(L35=Results!L8,1+IF(OR($O35=11,$P35=11,$Q35=11),1,0),0))</f>
        <v/>
      </c>
      <c r="AD35" s="4" t="str">
        <f>IF(OR(M35="",Results!M8=""),"",IF(M35=Results!M8,1+IF(OR($O35=12,$P35=12,$Q35=12),1,0),0))</f>
        <v/>
      </c>
      <c r="AE35" s="4" t="str">
        <f>IF(OR(N35="",Results!N8=""),"",IF(N35=Results!N8,1+IF(OR($O35=13,$P35=13,$Q35=13),1,0),0))</f>
        <v/>
      </c>
      <c r="AF35" s="11">
        <f t="shared" si="0"/>
        <v>0</v>
      </c>
      <c r="AG35" s="4" t="str">
        <f>IF(OR($R35="",Results!O8=""),"",ABS($R35-Results!O8))</f>
        <v/>
      </c>
      <c r="AH35" s="12">
        <v>17</v>
      </c>
      <c r="AI35" s="13" t="str">
        <f>IF(OR(B35="",Results!B8=""),"",IF(AND(B35=Results!B8,Results!B8&lt;&gt;Games!$C$44),1,0))</f>
        <v/>
      </c>
      <c r="AJ35" s="13" t="str">
        <f>IF(OR(C35="",Results!C8=""),"",IF(AND(C35=Results!C8,Results!C8&lt;&gt;Games!$C$45),1,0))</f>
        <v/>
      </c>
      <c r="AK35" s="13" t="str">
        <f>IF(OR(D35="",Results!D8=""),"",IF(AND(D35=Results!D8,Results!D8&lt;&gt;Games!$C$46),1,0))</f>
        <v/>
      </c>
      <c r="AL35" s="13" t="str">
        <f>IF(OR(E35="",Results!E8=""),"",IF(AND(E35=Results!E8,Results!E8&lt;&gt;Games!$C$47),1,0))</f>
        <v/>
      </c>
      <c r="AM35" s="13" t="str">
        <f>IF(OR(F35="",Results!F8=""),"",IF(AND(F35=Results!F8,Results!F8&lt;&gt;Games!$C$48),1,0))</f>
        <v/>
      </c>
      <c r="AN35" s="13" t="str">
        <f>IF(OR(G35="",Results!G8=""),"",IF(AND(G35=Results!G8,Results!G8&lt;&gt;Games!$C$49),1,0))</f>
        <v/>
      </c>
      <c r="AO35" s="13" t="str">
        <f>IF(OR(H35="",Results!H8=""),"",IF(AND(H35=Results!H8,Results!H8&lt;&gt;Games!$C$50),1,0))</f>
        <v/>
      </c>
      <c r="AP35" s="13" t="str">
        <f>IF(OR(I35="",Results!I8=""),"",IF(AND(I35=Results!I8,Results!I8&lt;&gt;Games!$C$51),1,0))</f>
        <v/>
      </c>
      <c r="AQ35" s="13" t="str">
        <f>IF(OR(J35="",Results!J8=""),"",IF(AND(J35=Results!J8,Results!J8&lt;&gt;Games!$C$52),1,0))</f>
        <v/>
      </c>
      <c r="AR35" s="13" t="str">
        <f>IF(OR(K35="",Results!K8=""),"",IF(AND(K35=Results!K8,Results!K8&lt;&gt;Games!$C$53),1,0))</f>
        <v/>
      </c>
      <c r="AS35" s="13" t="str">
        <f>IF(OR(L35="",Results!L8=""),"",IF(AND(L35=Results!L8,Results!L8&lt;&gt;Games!$C$54),1,0))</f>
        <v/>
      </c>
      <c r="AT35" s="13" t="str">
        <f>IF(OR(M35="",Results!M8=""),"",IF(AND(M35=Results!M8,Results!M8&lt;&gt;Games!$C$55),1,0))</f>
        <v/>
      </c>
      <c r="AU35" s="13" t="str">
        <f>IF(OR(N35="",Results!N8=""),"",IF(AND(N35=Results!N8,Results!N8&lt;&gt;Games!$C$56),1,0))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IF(OR(B36="",Results!B8=""),"",IF(B36=Results!B8,1+IF(OR($O36=1,$P36=1,$Q36=1),1,0),0))</f>
        <v/>
      </c>
      <c r="T36" s="4" t="str">
        <f>IF(OR(C36="",Results!C8=""),"",IF(C36=Results!C8,1+IF(OR($O36=2,$P36=2,$Q36=2),1,0),0))</f>
        <v/>
      </c>
      <c r="U36" s="4" t="str">
        <f>IF(OR(D36="",Results!D8=""),"",IF(D36=Results!D8,1+IF(OR($O36=3,$P36=3,$Q36=3),1,0),0))</f>
        <v/>
      </c>
      <c r="V36" s="4" t="str">
        <f>IF(OR(E36="",Results!E8=""),"",IF(E36=Results!E8,1+IF(OR($O36=4,$P36=4,$Q36=4),1,0),0))</f>
        <v/>
      </c>
      <c r="W36" s="4" t="str">
        <f>IF(OR(F36="",Results!F8=""),"",IF(F36=Results!F8,1+IF(OR($O36=5,$P36=5,$Q36=5),1,0),0))</f>
        <v/>
      </c>
      <c r="X36" s="4" t="str">
        <f>IF(OR(G36="",Results!G8=""),"",IF(G36=Results!G8,1+IF(OR($O36=6,$P36=6,$Q36=6),1,0),0))</f>
        <v/>
      </c>
      <c r="Y36" s="4" t="str">
        <f>IF(OR(H36="",Results!H8=""),"",IF(H36=Results!H8,1+IF(OR($O36=7,$P36=7,$Q36=7),1,0),0))</f>
        <v/>
      </c>
      <c r="Z36" s="4" t="str">
        <f>IF(OR(I36="",Results!I8=""),"",IF(I36=Results!I8,1+IF(OR($O36=8,$P36=8,$Q36=8),1,0),0))</f>
        <v/>
      </c>
      <c r="AA36" s="4" t="str">
        <f>IF(OR(J36="",Results!J8=""),"",IF(J36=Results!J8,1+IF(OR($O36=9,$P36=9,$Q36=9),1,0),0))</f>
        <v/>
      </c>
      <c r="AB36" s="4" t="str">
        <f>IF(OR(K36="",Results!K8=""),"",IF(K36=Results!K8,1+IF(OR($O36=10,$P36=10,$Q36=10),1,0),0))</f>
        <v/>
      </c>
      <c r="AC36" s="4" t="str">
        <f>IF(OR(L36="",Results!L8=""),"",IF(L36=Results!L8,1+IF(OR($O36=11,$P36=11,$Q36=11),1,0),0))</f>
        <v/>
      </c>
      <c r="AD36" s="4" t="str">
        <f>IF(OR(M36="",Results!M8=""),"",IF(M36=Results!M8,1+IF(OR($O36=12,$P36=12,$Q36=12),1,0),0))</f>
        <v/>
      </c>
      <c r="AE36" s="4" t="str">
        <f>IF(OR(N36="",Results!N8=""),"",IF(N36=Results!N8,1+IF(OR($O36=13,$P36=13,$Q36=13),1,0),0))</f>
        <v/>
      </c>
      <c r="AF36" s="11">
        <f t="shared" si="0"/>
        <v>0</v>
      </c>
      <c r="AG36" s="4" t="str">
        <f>IF(OR($R36="",Results!O8=""),"",ABS($R36-Results!O8))</f>
        <v/>
      </c>
      <c r="AH36" s="12">
        <v>39</v>
      </c>
      <c r="AI36" s="13" t="str">
        <f>IF(OR(B36="",Results!B8=""),"",IF(AND(B36=Results!B8,Results!B8&lt;&gt;Games!$C$44),1,0))</f>
        <v/>
      </c>
      <c r="AJ36" s="13" t="str">
        <f>IF(OR(C36="",Results!C8=""),"",IF(AND(C36=Results!C8,Results!C8&lt;&gt;Games!$C$45),1,0))</f>
        <v/>
      </c>
      <c r="AK36" s="13" t="str">
        <f>IF(OR(D36="",Results!D8=""),"",IF(AND(D36=Results!D8,Results!D8&lt;&gt;Games!$C$46),1,0))</f>
        <v/>
      </c>
      <c r="AL36" s="13" t="str">
        <f>IF(OR(E36="",Results!E8=""),"",IF(AND(E36=Results!E8,Results!E8&lt;&gt;Games!$C$47),1,0))</f>
        <v/>
      </c>
      <c r="AM36" s="13" t="str">
        <f>IF(OR(F36="",Results!F8=""),"",IF(AND(F36=Results!F8,Results!F8&lt;&gt;Games!$C$48),1,0))</f>
        <v/>
      </c>
      <c r="AN36" s="13" t="str">
        <f>IF(OR(G36="",Results!G8=""),"",IF(AND(G36=Results!G8,Results!G8&lt;&gt;Games!$C$49),1,0))</f>
        <v/>
      </c>
      <c r="AO36" s="13" t="str">
        <f>IF(OR(H36="",Results!H8=""),"",IF(AND(H36=Results!H8,Results!H8&lt;&gt;Games!$C$50),1,0))</f>
        <v/>
      </c>
      <c r="AP36" s="13" t="str">
        <f>IF(OR(I36="",Results!I8=""),"",IF(AND(I36=Results!I8,Results!I8&lt;&gt;Games!$C$51),1,0))</f>
        <v/>
      </c>
      <c r="AQ36" s="13" t="str">
        <f>IF(OR(J36="",Results!J8=""),"",IF(AND(J36=Results!J8,Results!J8&lt;&gt;Games!$C$52),1,0))</f>
        <v/>
      </c>
      <c r="AR36" s="13" t="str">
        <f>IF(OR(K36="",Results!K8=""),"",IF(AND(K36=Results!K8,Results!K8&lt;&gt;Games!$C$53),1,0))</f>
        <v/>
      </c>
      <c r="AS36" s="13" t="str">
        <f>IF(OR(L36="",Results!L8=""),"",IF(AND(L36=Results!L8,Results!L8&lt;&gt;Games!$C$54),1,0))</f>
        <v/>
      </c>
      <c r="AT36" s="13" t="str">
        <f>IF(OR(M36="",Results!M8=""),"",IF(AND(M36=Results!M8,Results!M8&lt;&gt;Games!$C$55),1,0))</f>
        <v/>
      </c>
      <c r="AU36" s="13" t="str">
        <f>IF(OR(N36="",Results!N8=""),"",IF(AND(N36=Results!N8,Results!N8&lt;&gt;Games!$C$56),1,0))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IF(OR(B37="",Results!B8=""),"",IF(B37=Results!B8,1+IF(OR($O37=1,$P37=1,$Q37=1),1,0),0))</f>
        <v/>
      </c>
      <c r="T37" s="4" t="str">
        <f>IF(OR(C37="",Results!C8=""),"",IF(C37=Results!C8,1+IF(OR($O37=2,$P37=2,$Q37=2),1,0),0))</f>
        <v/>
      </c>
      <c r="U37" s="4" t="str">
        <f>IF(OR(D37="",Results!D8=""),"",IF(D37=Results!D8,1+IF(OR($O37=3,$P37=3,$Q37=3),1,0),0))</f>
        <v/>
      </c>
      <c r="V37" s="4" t="str">
        <f>IF(OR(E37="",Results!E8=""),"",IF(E37=Results!E8,1+IF(OR($O37=4,$P37=4,$Q37=4),1,0),0))</f>
        <v/>
      </c>
      <c r="W37" s="4" t="str">
        <f>IF(OR(F37="",Results!F8=""),"",IF(F37=Results!F8,1+IF(OR($O37=5,$P37=5,$Q37=5),1,0),0))</f>
        <v/>
      </c>
      <c r="X37" s="4" t="str">
        <f>IF(OR(G37="",Results!G8=""),"",IF(G37=Results!G8,1+IF(OR($O37=6,$P37=6,$Q37=6),1,0),0))</f>
        <v/>
      </c>
      <c r="Y37" s="4" t="str">
        <f>IF(OR(H37="",Results!H8=""),"",IF(H37=Results!H8,1+IF(OR($O37=7,$P37=7,$Q37=7),1,0),0))</f>
        <v/>
      </c>
      <c r="Z37" s="4" t="str">
        <f>IF(OR(I37="",Results!I8=""),"",IF(I37=Results!I8,1+IF(OR($O37=8,$P37=8,$Q37=8),1,0),0))</f>
        <v/>
      </c>
      <c r="AA37" s="4" t="str">
        <f>IF(OR(J37="",Results!J8=""),"",IF(J37=Results!J8,1+IF(OR($O37=9,$P37=9,$Q37=9),1,0),0))</f>
        <v/>
      </c>
      <c r="AB37" s="4" t="str">
        <f>IF(OR(K37="",Results!K8=""),"",IF(K37=Results!K8,1+IF(OR($O37=10,$P37=10,$Q37=10),1,0),0))</f>
        <v/>
      </c>
      <c r="AC37" s="4" t="str">
        <f>IF(OR(L37="",Results!L8=""),"",IF(L37=Results!L8,1+IF(OR($O37=11,$P37=11,$Q37=11),1,0),0))</f>
        <v/>
      </c>
      <c r="AD37" s="4" t="str">
        <f>IF(OR(M37="",Results!M8=""),"",IF(M37=Results!M8,1+IF(OR($O37=12,$P37=12,$Q37=12),1,0),0))</f>
        <v/>
      </c>
      <c r="AE37" s="4" t="str">
        <f>IF(OR(N37="",Results!N8=""),"",IF(N37=Results!N8,1+IF(OR($O37=13,$P37=13,$Q37=13),1,0),0))</f>
        <v/>
      </c>
      <c r="AF37" s="11">
        <f t="shared" si="0"/>
        <v>0</v>
      </c>
      <c r="AG37" s="4" t="str">
        <f>IF(OR($R37="",Results!O8=""),"",ABS($R37-Results!O8))</f>
        <v/>
      </c>
      <c r="AH37" s="12">
        <v>49</v>
      </c>
      <c r="AI37" s="13" t="str">
        <f>IF(OR(B37="",Results!B8=""),"",IF(AND(B37=Results!B8,Results!B8&lt;&gt;Games!$C$44),1,0))</f>
        <v/>
      </c>
      <c r="AJ37" s="13" t="str">
        <f>IF(OR(C37="",Results!C8=""),"",IF(AND(C37=Results!C8,Results!C8&lt;&gt;Games!$C$45),1,0))</f>
        <v/>
      </c>
      <c r="AK37" s="13" t="str">
        <f>IF(OR(D37="",Results!D8=""),"",IF(AND(D37=Results!D8,Results!D8&lt;&gt;Games!$C$46),1,0))</f>
        <v/>
      </c>
      <c r="AL37" s="13" t="str">
        <f>IF(OR(E37="",Results!E8=""),"",IF(AND(E37=Results!E8,Results!E8&lt;&gt;Games!$C$47),1,0))</f>
        <v/>
      </c>
      <c r="AM37" s="13" t="str">
        <f>IF(OR(F37="",Results!F8=""),"",IF(AND(F37=Results!F8,Results!F8&lt;&gt;Games!$C$48),1,0))</f>
        <v/>
      </c>
      <c r="AN37" s="13" t="str">
        <f>IF(OR(G37="",Results!G8=""),"",IF(AND(G37=Results!G8,Results!G8&lt;&gt;Games!$C$49),1,0))</f>
        <v/>
      </c>
      <c r="AO37" s="13" t="str">
        <f>IF(OR(H37="",Results!H8=""),"",IF(AND(H37=Results!H8,Results!H8&lt;&gt;Games!$C$50),1,0))</f>
        <v/>
      </c>
      <c r="AP37" s="13" t="str">
        <f>IF(OR(I37="",Results!I8=""),"",IF(AND(I37=Results!I8,Results!I8&lt;&gt;Games!$C$51),1,0))</f>
        <v/>
      </c>
      <c r="AQ37" s="13" t="str">
        <f>IF(OR(J37="",Results!J8=""),"",IF(AND(J37=Results!J8,Results!J8&lt;&gt;Games!$C$52),1,0))</f>
        <v/>
      </c>
      <c r="AR37" s="13" t="str">
        <f>IF(OR(K37="",Results!K8=""),"",IF(AND(K37=Results!K8,Results!K8&lt;&gt;Games!$C$53),1,0))</f>
        <v/>
      </c>
      <c r="AS37" s="13" t="str">
        <f>IF(OR(L37="",Results!L8=""),"",IF(AND(L37=Results!L8,Results!L8&lt;&gt;Games!$C$54),1,0))</f>
        <v/>
      </c>
      <c r="AT37" s="13" t="str">
        <f>IF(OR(M37="",Results!M8=""),"",IF(AND(M37=Results!M8,Results!M8&lt;&gt;Games!$C$55),1,0))</f>
        <v/>
      </c>
      <c r="AU37" s="13" t="str">
        <f>IF(OR(N37="",Results!N8=""),"",IF(AND(N37=Results!N8,Results!N8&lt;&gt;Games!$C$56),1,0))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tr">
        <f>IF(OR(B38="",Results!B8=""),"",IF(B38=Results!B8,1+IF(OR($O38=1,$P38=1,$Q38=1),1,0),0))</f>
        <v/>
      </c>
      <c r="T38" s="4" t="str">
        <f>IF(OR(C38="",Results!C8=""),"",IF(C38=Results!C8,1+IF(OR($O38=2,$P38=2,$Q38=2),1,0),0))</f>
        <v/>
      </c>
      <c r="U38" s="4" t="str">
        <f>IF(OR(D38="",Results!D8=""),"",IF(D38=Results!D8,1+IF(OR($O38=3,$P38=3,$Q38=3),1,0),0))</f>
        <v/>
      </c>
      <c r="V38" s="4" t="str">
        <f>IF(OR(E38="",Results!E8=""),"",IF(E38=Results!E8,1+IF(OR($O38=4,$P38=4,$Q38=4),1,0),0))</f>
        <v/>
      </c>
      <c r="W38" s="4" t="str">
        <f>IF(OR(F38="",Results!F8=""),"",IF(F38=Results!F8,1+IF(OR($O38=5,$P38=5,$Q38=5),1,0),0))</f>
        <v/>
      </c>
      <c r="X38" s="4" t="str">
        <f>IF(OR(G38="",Results!G8=""),"",IF(G38=Results!G8,1+IF(OR($O38=6,$P38=6,$Q38=6),1,0),0))</f>
        <v/>
      </c>
      <c r="Y38" s="4" t="str">
        <f>IF(OR(H38="",Results!H8=""),"",IF(H38=Results!H8,1+IF(OR($O38=7,$P38=7,$Q38=7),1,0),0))</f>
        <v/>
      </c>
      <c r="Z38" s="4" t="str">
        <f>IF(OR(I38="",Results!I8=""),"",IF(I38=Results!I8,1+IF(OR($O38=8,$P38=8,$Q38=8),1,0),0))</f>
        <v/>
      </c>
      <c r="AA38" s="4" t="str">
        <f>IF(OR(J38="",Results!J8=""),"",IF(J38=Results!J8,1+IF(OR($O38=9,$P38=9,$Q38=9),1,0),0))</f>
        <v/>
      </c>
      <c r="AB38" s="4" t="str">
        <f>IF(OR(K38="",Results!K8=""),"",IF(K38=Results!K8,1+IF(OR($O38=10,$P38=10,$Q38=10),1,0),0))</f>
        <v/>
      </c>
      <c r="AC38" s="4" t="str">
        <f>IF(OR(L38="",Results!L8=""),"",IF(L38=Results!L8,1+IF(OR($O38=11,$P38=11,$Q38=11),1,0),0))</f>
        <v/>
      </c>
      <c r="AD38" s="4" t="str">
        <f>IF(OR(M38="",Results!M8=""),"",IF(M38=Results!M8,1+IF(OR($O38=12,$P38=12,$Q38=12),1,0),0))</f>
        <v/>
      </c>
      <c r="AE38" s="4" t="str">
        <f>IF(OR(N38="",Results!N8=""),"",IF(N38=Results!N8,1+IF(OR($O38=13,$P38=13,$Q38=13),1,0),0))</f>
        <v/>
      </c>
      <c r="AF38" s="11">
        <f t="shared" ref="AF38:AF65" si="2">SUM(S38:AE38)</f>
        <v>0</v>
      </c>
      <c r="AG38" s="4" t="str">
        <f>IF(OR($R38="",Results!O8=""),"",ABS($R38-Results!O8))</f>
        <v/>
      </c>
      <c r="AH38" s="12">
        <v>18</v>
      </c>
      <c r="AI38" s="13" t="str">
        <f>IF(OR(B38="",Results!B8=""),"",IF(AND(B38=Results!B8,Results!B8&lt;&gt;Games!$C$44),1,0))</f>
        <v/>
      </c>
      <c r="AJ38" s="13" t="str">
        <f>IF(OR(C38="",Results!C8=""),"",IF(AND(C38=Results!C8,Results!C8&lt;&gt;Games!$C$45),1,0))</f>
        <v/>
      </c>
      <c r="AK38" s="13" t="str">
        <f>IF(OR(D38="",Results!D8=""),"",IF(AND(D38=Results!D8,Results!D8&lt;&gt;Games!$C$46),1,0))</f>
        <v/>
      </c>
      <c r="AL38" s="13" t="str">
        <f>IF(OR(E38="",Results!E8=""),"",IF(AND(E38=Results!E8,Results!E8&lt;&gt;Games!$C$47),1,0))</f>
        <v/>
      </c>
      <c r="AM38" s="13" t="str">
        <f>IF(OR(F38="",Results!F8=""),"",IF(AND(F38=Results!F8,Results!F8&lt;&gt;Games!$C$48),1,0))</f>
        <v/>
      </c>
      <c r="AN38" s="13" t="str">
        <f>IF(OR(G38="",Results!G8=""),"",IF(AND(G38=Results!G8,Results!G8&lt;&gt;Games!$C$49),1,0))</f>
        <v/>
      </c>
      <c r="AO38" s="13" t="str">
        <f>IF(OR(H38="",Results!H8=""),"",IF(AND(H38=Results!H8,Results!H8&lt;&gt;Games!$C$50),1,0))</f>
        <v/>
      </c>
      <c r="AP38" s="13" t="str">
        <f>IF(OR(I38="",Results!I8=""),"",IF(AND(I38=Results!I8,Results!I8&lt;&gt;Games!$C$51),1,0))</f>
        <v/>
      </c>
      <c r="AQ38" s="13" t="str">
        <f>IF(OR(J38="",Results!J8=""),"",IF(AND(J38=Results!J8,Results!J8&lt;&gt;Games!$C$52),1,0))</f>
        <v/>
      </c>
      <c r="AR38" s="13" t="str">
        <f>IF(OR(K38="",Results!K8=""),"",IF(AND(K38=Results!K8,Results!K8&lt;&gt;Games!$C$53),1,0))</f>
        <v/>
      </c>
      <c r="AS38" s="13" t="str">
        <f>IF(OR(L38="",Results!L8=""),"",IF(AND(L38=Results!L8,Results!L8&lt;&gt;Games!$C$54),1,0))</f>
        <v/>
      </c>
      <c r="AT38" s="13" t="str">
        <f>IF(OR(M38="",Results!M8=""),"",IF(AND(M38=Results!M8,Results!M8&lt;&gt;Games!$C$55),1,0))</f>
        <v/>
      </c>
      <c r="AU38" s="13" t="str">
        <f>IF(OR(N38="",Results!N8=""),"",IF(AND(N38=Results!N8,Results!N8&lt;&gt;Games!$C$56),1,0))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IF(OR(B39="",Results!B8=""),"",IF(B39=Results!B8,1+IF(OR($O39=1,$P39=1,$Q39=1),1,0),0))</f>
        <v/>
      </c>
      <c r="T39" s="4" t="str">
        <f>IF(OR(C39="",Results!C8=""),"",IF(C39=Results!C8,1+IF(OR($O39=2,$P39=2,$Q39=2),1,0),0))</f>
        <v/>
      </c>
      <c r="U39" s="4" t="str">
        <f>IF(OR(D39="",Results!D8=""),"",IF(D39=Results!D8,1+IF(OR($O39=3,$P39=3,$Q39=3),1,0),0))</f>
        <v/>
      </c>
      <c r="V39" s="4" t="str">
        <f>IF(OR(E39="",Results!E8=""),"",IF(E39=Results!E8,1+IF(OR($O39=4,$P39=4,$Q39=4),1,0),0))</f>
        <v/>
      </c>
      <c r="W39" s="4" t="str">
        <f>IF(OR(F39="",Results!F8=""),"",IF(F39=Results!F8,1+IF(OR($O39=5,$P39=5,$Q39=5),1,0),0))</f>
        <v/>
      </c>
      <c r="X39" s="4" t="str">
        <f>IF(OR(G39="",Results!G8=""),"",IF(G39=Results!G8,1+IF(OR($O39=6,$P39=6,$Q39=6),1,0),0))</f>
        <v/>
      </c>
      <c r="Y39" s="4" t="str">
        <f>IF(OR(H39="",Results!H8=""),"",IF(H39=Results!H8,1+IF(OR($O39=7,$P39=7,$Q39=7),1,0),0))</f>
        <v/>
      </c>
      <c r="Z39" s="4" t="str">
        <f>IF(OR(I39="",Results!I8=""),"",IF(I39=Results!I8,1+IF(OR($O39=8,$P39=8,$Q39=8),1,0),0))</f>
        <v/>
      </c>
      <c r="AA39" s="4" t="str">
        <f>IF(OR(J39="",Results!J8=""),"",IF(J39=Results!J8,1+IF(OR($O39=9,$P39=9,$Q39=9),1,0),0))</f>
        <v/>
      </c>
      <c r="AB39" s="4" t="str">
        <f>IF(OR(K39="",Results!K8=""),"",IF(K39=Results!K8,1+IF(OR($O39=10,$P39=10,$Q39=10),1,0),0))</f>
        <v/>
      </c>
      <c r="AC39" s="4" t="str">
        <f>IF(OR(L39="",Results!L8=""),"",IF(L39=Results!L8,1+IF(OR($O39=11,$P39=11,$Q39=11),1,0),0))</f>
        <v/>
      </c>
      <c r="AD39" s="4" t="str">
        <f>IF(OR(M39="",Results!M8=""),"",IF(M39=Results!M8,1+IF(OR($O39=12,$P39=12,$Q39=12),1,0),0))</f>
        <v/>
      </c>
      <c r="AE39" s="4" t="str">
        <f>IF(OR(N39="",Results!N8=""),"",IF(N39=Results!N8,1+IF(OR($O39=13,$P39=13,$Q39=13),1,0),0))</f>
        <v/>
      </c>
      <c r="AF39" s="11">
        <f t="shared" si="2"/>
        <v>0</v>
      </c>
      <c r="AG39" s="4" t="str">
        <f>IF(OR($R39="",Results!O8=""),"",ABS($R39-Results!O8))</f>
        <v/>
      </c>
      <c r="AH39" s="12">
        <v>50</v>
      </c>
      <c r="AI39" s="13" t="str">
        <f>IF(OR(B39="",Results!B8=""),"",IF(AND(B39=Results!B8,Results!B8&lt;&gt;Games!$C$44),1,0))</f>
        <v/>
      </c>
      <c r="AJ39" s="13" t="str">
        <f>IF(OR(C39="",Results!C8=""),"",IF(AND(C39=Results!C8,Results!C8&lt;&gt;Games!$C$45),1,0))</f>
        <v/>
      </c>
      <c r="AK39" s="13" t="str">
        <f>IF(OR(D39="",Results!D8=""),"",IF(AND(D39=Results!D8,Results!D8&lt;&gt;Games!$C$46),1,0))</f>
        <v/>
      </c>
      <c r="AL39" s="13" t="str">
        <f>IF(OR(E39="",Results!E8=""),"",IF(AND(E39=Results!E8,Results!E8&lt;&gt;Games!$C$47),1,0))</f>
        <v/>
      </c>
      <c r="AM39" s="13" t="str">
        <f>IF(OR(F39="",Results!F8=""),"",IF(AND(F39=Results!F8,Results!F8&lt;&gt;Games!$C$48),1,0))</f>
        <v/>
      </c>
      <c r="AN39" s="13" t="str">
        <f>IF(OR(G39="",Results!G8=""),"",IF(AND(G39=Results!G8,Results!G8&lt;&gt;Games!$C$49),1,0))</f>
        <v/>
      </c>
      <c r="AO39" s="13" t="str">
        <f>IF(OR(H39="",Results!H8=""),"",IF(AND(H39=Results!H8,Results!H8&lt;&gt;Games!$C$50),1,0))</f>
        <v/>
      </c>
      <c r="AP39" s="13" t="str">
        <f>IF(OR(I39="",Results!I8=""),"",IF(AND(I39=Results!I8,Results!I8&lt;&gt;Games!$C$51),1,0))</f>
        <v/>
      </c>
      <c r="AQ39" s="13" t="str">
        <f>IF(OR(J39="",Results!J8=""),"",IF(AND(J39=Results!J8,Results!J8&lt;&gt;Games!$C$52),1,0))</f>
        <v/>
      </c>
      <c r="AR39" s="13" t="str">
        <f>IF(OR(K39="",Results!K8=""),"",IF(AND(K39=Results!K8,Results!K8&lt;&gt;Games!$C$53),1,0))</f>
        <v/>
      </c>
      <c r="AS39" s="13" t="str">
        <f>IF(OR(L39="",Results!L8=""),"",IF(AND(L39=Results!L8,Results!L8&lt;&gt;Games!$C$54),1,0))</f>
        <v/>
      </c>
      <c r="AT39" s="13" t="str">
        <f>IF(OR(M39="",Results!M8=""),"",IF(AND(M39=Results!M8,Results!M8&lt;&gt;Games!$C$55),1,0))</f>
        <v/>
      </c>
      <c r="AU39" s="13" t="str">
        <f>IF(OR(N39="",Results!N8=""),"",IF(AND(N39=Results!N8,Results!N8&lt;&gt;Games!$C$56),1,0))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4" t="str">
        <f>IF(OR(B40="",Results!B8=""),"",IF(B40=Results!B8,1+IF(OR($O40=1,$P40=1,$Q40=1),1,0),0))</f>
        <v/>
      </c>
      <c r="T40" s="4" t="str">
        <f>IF(OR(C40="",Results!C8=""),"",IF(C40=Results!C8,1+IF(OR($O40=2,$P40=2,$Q40=2),1,0),0))</f>
        <v/>
      </c>
      <c r="U40" s="4" t="str">
        <f>IF(OR(D40="",Results!D8=""),"",IF(D40=Results!D8,1+IF(OR($O40=3,$P40=3,$Q40=3),1,0),0))</f>
        <v/>
      </c>
      <c r="V40" s="4" t="str">
        <f>IF(OR(E40="",Results!E8=""),"",IF(E40=Results!E8,1+IF(OR($O40=4,$P40=4,$Q40=4),1,0),0))</f>
        <v/>
      </c>
      <c r="W40" s="4" t="str">
        <f>IF(OR(F40="",Results!F8=""),"",IF(F40=Results!F8,1+IF(OR($O40=5,$P40=5,$Q40=5),1,0),0))</f>
        <v/>
      </c>
      <c r="X40" s="4" t="str">
        <f>IF(OR(G40="",Results!G8=""),"",IF(G40=Results!G8,1+IF(OR($O40=6,$P40=6,$Q40=6),1,0),0))</f>
        <v/>
      </c>
      <c r="Y40" s="4" t="str">
        <f>IF(OR(H40="",Results!H8=""),"",IF(H40=Results!H8,1+IF(OR($O40=7,$P40=7,$Q40=7),1,0),0))</f>
        <v/>
      </c>
      <c r="Z40" s="4" t="str">
        <f>IF(OR(I40="",Results!I8=""),"",IF(I40=Results!I8,1+IF(OR($O40=8,$P40=8,$Q40=8),1,0),0))</f>
        <v/>
      </c>
      <c r="AA40" s="4" t="str">
        <f>IF(OR(J40="",Results!J8=""),"",IF(J40=Results!J8,1+IF(OR($O40=9,$P40=9,$Q40=9),1,0),0))</f>
        <v/>
      </c>
      <c r="AB40" s="4" t="str">
        <f>IF(OR(K40="",Results!K8=""),"",IF(K40=Results!K8,1+IF(OR($O40=10,$P40=10,$Q40=10),1,0),0))</f>
        <v/>
      </c>
      <c r="AC40" s="4" t="str">
        <f>IF(OR(L40="",Results!L8=""),"",IF(L40=Results!L8,1+IF(OR($O40=11,$P40=11,$Q40=11),1,0),0))</f>
        <v/>
      </c>
      <c r="AD40" s="4" t="str">
        <f>IF(OR(M40="",Results!M8=""),"",IF(M40=Results!M8,1+IF(OR($O40=12,$P40=12,$Q40=12),1,0),0))</f>
        <v/>
      </c>
      <c r="AE40" s="4" t="str">
        <f>IF(OR(N40="",Results!N8=""),"",IF(N40=Results!N8,1+IF(OR($O40=13,$P40=13,$Q40=13),1,0),0))</f>
        <v/>
      </c>
      <c r="AF40" s="11">
        <f t="shared" si="2"/>
        <v>0</v>
      </c>
      <c r="AG40" s="4" t="str">
        <f>IF(OR($R40="",Results!O8=""),"",ABS($R40-Results!O8))</f>
        <v/>
      </c>
      <c r="AH40" s="12">
        <v>19</v>
      </c>
      <c r="AI40" s="13" t="str">
        <f>IF(OR(B40="",Results!B8=""),"",IF(AND(B40=Results!B8,Results!B8&lt;&gt;Games!$C$44),1,0))</f>
        <v/>
      </c>
      <c r="AJ40" s="13" t="str">
        <f>IF(OR(C40="",Results!C8=""),"",IF(AND(C40=Results!C8,Results!C8&lt;&gt;Games!$C$45),1,0))</f>
        <v/>
      </c>
      <c r="AK40" s="13" t="str">
        <f>IF(OR(D40="",Results!D8=""),"",IF(AND(D40=Results!D8,Results!D8&lt;&gt;Games!$C$46),1,0))</f>
        <v/>
      </c>
      <c r="AL40" s="13" t="str">
        <f>IF(OR(E40="",Results!E8=""),"",IF(AND(E40=Results!E8,Results!E8&lt;&gt;Games!$C$47),1,0))</f>
        <v/>
      </c>
      <c r="AM40" s="13" t="str">
        <f>IF(OR(F40="",Results!F8=""),"",IF(AND(F40=Results!F8,Results!F8&lt;&gt;Games!$C$48),1,0))</f>
        <v/>
      </c>
      <c r="AN40" s="13" t="str">
        <f>IF(OR(G40="",Results!G8=""),"",IF(AND(G40=Results!G8,Results!G8&lt;&gt;Games!$C$49),1,0))</f>
        <v/>
      </c>
      <c r="AO40" s="13" t="str">
        <f>IF(OR(H40="",Results!H8=""),"",IF(AND(H40=Results!H8,Results!H8&lt;&gt;Games!$C$50),1,0))</f>
        <v/>
      </c>
      <c r="AP40" s="13" t="str">
        <f>IF(OR(I40="",Results!I8=""),"",IF(AND(I40=Results!I8,Results!I8&lt;&gt;Games!$C$51),1,0))</f>
        <v/>
      </c>
      <c r="AQ40" s="13" t="str">
        <f>IF(OR(J40="",Results!J8=""),"",IF(AND(J40=Results!J8,Results!J8&lt;&gt;Games!$C$52),1,0))</f>
        <v/>
      </c>
      <c r="AR40" s="13" t="str">
        <f>IF(OR(K40="",Results!K8=""),"",IF(AND(K40=Results!K8,Results!K8&lt;&gt;Games!$C$53),1,0))</f>
        <v/>
      </c>
      <c r="AS40" s="13" t="str">
        <f>IF(OR(L40="",Results!L8=""),"",IF(AND(L40=Results!L8,Results!L8&lt;&gt;Games!$C$54),1,0))</f>
        <v/>
      </c>
      <c r="AT40" s="13" t="str">
        <f>IF(OR(M40="",Results!M8=""),"",IF(AND(M40=Results!M8,Results!M8&lt;&gt;Games!$C$55),1,0))</f>
        <v/>
      </c>
      <c r="AU40" s="13" t="str">
        <f>IF(OR(N40="",Results!N8=""),"",IF(AND(N40=Results!N8,Results!N8&lt;&gt;Games!$C$56),1,0))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IF(OR(B41="",Results!B8=""),"",IF(B41=Results!B8,1+IF(OR($O41=1,$P41=1,$Q41=1),1,0),0))</f>
        <v/>
      </c>
      <c r="T41" s="4" t="str">
        <f>IF(OR(C41="",Results!C8=""),"",IF(C41=Results!C8,1+IF(OR($O41=2,$P41=2,$Q41=2),1,0),0))</f>
        <v/>
      </c>
      <c r="U41" s="4" t="str">
        <f>IF(OR(D41="",Results!D8=""),"",IF(D41=Results!D8,1+IF(OR($O41=3,$P41=3,$Q41=3),1,0),0))</f>
        <v/>
      </c>
      <c r="V41" s="4" t="str">
        <f>IF(OR(E41="",Results!E8=""),"",IF(E41=Results!E8,1+IF(OR($O41=4,$P41=4,$Q41=4),1,0),0))</f>
        <v/>
      </c>
      <c r="W41" s="4" t="str">
        <f>IF(OR(F41="",Results!F8=""),"",IF(F41=Results!F8,1+IF(OR($O41=5,$P41=5,$Q41=5),1,0),0))</f>
        <v/>
      </c>
      <c r="X41" s="4" t="str">
        <f>IF(OR(G41="",Results!G8=""),"",IF(G41=Results!G8,1+IF(OR($O41=6,$P41=6,$Q41=6),1,0),0))</f>
        <v/>
      </c>
      <c r="Y41" s="4" t="str">
        <f>IF(OR(H41="",Results!H8=""),"",IF(H41=Results!H8,1+IF(OR($O41=7,$P41=7,$Q41=7),1,0),0))</f>
        <v/>
      </c>
      <c r="Z41" s="4" t="str">
        <f>IF(OR(I41="",Results!I8=""),"",IF(I41=Results!I8,1+IF(OR($O41=8,$P41=8,$Q41=8),1,0),0))</f>
        <v/>
      </c>
      <c r="AA41" s="4" t="str">
        <f>IF(OR(J41="",Results!J8=""),"",IF(J41=Results!J8,1+IF(OR($O41=9,$P41=9,$Q41=9),1,0),0))</f>
        <v/>
      </c>
      <c r="AB41" s="4" t="str">
        <f>IF(OR(K41="",Results!K8=""),"",IF(K41=Results!K8,1+IF(OR($O41=10,$P41=10,$Q41=10),1,0),0))</f>
        <v/>
      </c>
      <c r="AC41" s="4" t="str">
        <f>IF(OR(L41="",Results!L8=""),"",IF(L41=Results!L8,1+IF(OR($O41=11,$P41=11,$Q41=11),1,0),0))</f>
        <v/>
      </c>
      <c r="AD41" s="4" t="str">
        <f>IF(OR(M41="",Results!M8=""),"",IF(M41=Results!M8,1+IF(OR($O41=12,$P41=12,$Q41=12),1,0),0))</f>
        <v/>
      </c>
      <c r="AE41" s="4" t="str">
        <f>IF(OR(N41="",Results!N8=""),"",IF(N41=Results!N8,1+IF(OR($O41=13,$P41=13,$Q41=13),1,0),0))</f>
        <v/>
      </c>
      <c r="AF41" s="11">
        <f t="shared" si="2"/>
        <v>0</v>
      </c>
      <c r="AG41" s="4" t="str">
        <f>IF(OR($R41="",Results!O8=""),"",ABS($R41-Results!O8))</f>
        <v/>
      </c>
      <c r="AH41" s="12">
        <v>20</v>
      </c>
      <c r="AI41" s="13" t="str">
        <f>IF(OR(B41="",Results!B8=""),"",IF(AND(B41=Results!B8,Results!B8&lt;&gt;Games!$C$44),1,0))</f>
        <v/>
      </c>
      <c r="AJ41" s="13" t="str">
        <f>IF(OR(C41="",Results!C8=""),"",IF(AND(C41=Results!C8,Results!C8&lt;&gt;Games!$C$45),1,0))</f>
        <v/>
      </c>
      <c r="AK41" s="13" t="str">
        <f>IF(OR(D41="",Results!D8=""),"",IF(AND(D41=Results!D8,Results!D8&lt;&gt;Games!$C$46),1,0))</f>
        <v/>
      </c>
      <c r="AL41" s="13" t="str">
        <f>IF(OR(E41="",Results!E8=""),"",IF(AND(E41=Results!E8,Results!E8&lt;&gt;Games!$C$47),1,0))</f>
        <v/>
      </c>
      <c r="AM41" s="13" t="str">
        <f>IF(OR(F41="",Results!F8=""),"",IF(AND(F41=Results!F8,Results!F8&lt;&gt;Games!$C$48),1,0))</f>
        <v/>
      </c>
      <c r="AN41" s="13" t="str">
        <f>IF(OR(G41="",Results!G8=""),"",IF(AND(G41=Results!G8,Results!G8&lt;&gt;Games!$C$49),1,0))</f>
        <v/>
      </c>
      <c r="AO41" s="13" t="str">
        <f>IF(OR(H41="",Results!H8=""),"",IF(AND(H41=Results!H8,Results!H8&lt;&gt;Games!$C$50),1,0))</f>
        <v/>
      </c>
      <c r="AP41" s="13" t="str">
        <f>IF(OR(I41="",Results!I8=""),"",IF(AND(I41=Results!I8,Results!I8&lt;&gt;Games!$C$51),1,0))</f>
        <v/>
      </c>
      <c r="AQ41" s="13" t="str">
        <f>IF(OR(J41="",Results!J8=""),"",IF(AND(J41=Results!J8,Results!J8&lt;&gt;Games!$C$52),1,0))</f>
        <v/>
      </c>
      <c r="AR41" s="13" t="str">
        <f>IF(OR(K41="",Results!K8=""),"",IF(AND(K41=Results!K8,Results!K8&lt;&gt;Games!$C$53),1,0))</f>
        <v/>
      </c>
      <c r="AS41" s="13" t="str">
        <f>IF(OR(L41="",Results!L8=""),"",IF(AND(L41=Results!L8,Results!L8&lt;&gt;Games!$C$54),1,0))</f>
        <v/>
      </c>
      <c r="AT41" s="13" t="str">
        <f>IF(OR(M41="",Results!M8=""),"",IF(AND(M41=Results!M8,Results!M8&lt;&gt;Games!$C$55),1,0))</f>
        <v/>
      </c>
      <c r="AU41" s="13" t="str">
        <f>IF(OR(N41="",Results!N8=""),"",IF(AND(N41=Results!N8,Results!N8&lt;&gt;Games!$C$56),1,0))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4" t="str">
        <f>IF(OR(B42="",Results!B8=""),"",IF(B42=Results!B8,1+IF(OR($O42=1,$P42=1,$Q42=1),1,0),0))</f>
        <v/>
      </c>
      <c r="T42" s="4" t="str">
        <f>IF(OR(C42="",Results!C8=""),"",IF(C42=Results!C8,1+IF(OR($O42=2,$P42=2,$Q42=2),1,0),0))</f>
        <v/>
      </c>
      <c r="U42" s="4" t="str">
        <f>IF(OR(D42="",Results!D8=""),"",IF(D42=Results!D8,1+IF(OR($O42=3,$P42=3,$Q42=3),1,0),0))</f>
        <v/>
      </c>
      <c r="V42" s="4" t="str">
        <f>IF(OR(E42="",Results!E8=""),"",IF(E42=Results!E8,1+IF(OR($O42=4,$P42=4,$Q42=4),1,0),0))</f>
        <v/>
      </c>
      <c r="W42" s="4" t="str">
        <f>IF(OR(F42="",Results!F8=""),"",IF(F42=Results!F8,1+IF(OR($O42=5,$P42=5,$Q42=5),1,0),0))</f>
        <v/>
      </c>
      <c r="X42" s="4" t="str">
        <f>IF(OR(G42="",Results!G8=""),"",IF(G42=Results!G8,1+IF(OR($O42=6,$P42=6,$Q42=6),1,0),0))</f>
        <v/>
      </c>
      <c r="Y42" s="4" t="str">
        <f>IF(OR(H42="",Results!H8=""),"",IF(H42=Results!H8,1+IF(OR($O42=7,$P42=7,$Q42=7),1,0),0))</f>
        <v/>
      </c>
      <c r="Z42" s="4" t="str">
        <f>IF(OR(I42="",Results!I8=""),"",IF(I42=Results!I8,1+IF(OR($O42=8,$P42=8,$Q42=8),1,0),0))</f>
        <v/>
      </c>
      <c r="AA42" s="4" t="str">
        <f>IF(OR(J42="",Results!J8=""),"",IF(J42=Results!J8,1+IF(OR($O42=9,$P42=9,$Q42=9),1,0),0))</f>
        <v/>
      </c>
      <c r="AB42" s="4" t="str">
        <f>IF(OR(K42="",Results!K8=""),"",IF(K42=Results!K8,1+IF(OR($O42=10,$P42=10,$Q42=10),1,0),0))</f>
        <v/>
      </c>
      <c r="AC42" s="4" t="str">
        <f>IF(OR(L42="",Results!L8=""),"",IF(L42=Results!L8,1+IF(OR($O42=11,$P42=11,$Q42=11),1,0),0))</f>
        <v/>
      </c>
      <c r="AD42" s="4" t="str">
        <f>IF(OR(M42="",Results!M8=""),"",IF(M42=Results!M8,1+IF(OR($O42=12,$P42=12,$Q42=12),1,0),0))</f>
        <v/>
      </c>
      <c r="AE42" s="4" t="str">
        <f>IF(OR(N42="",Results!N8=""),"",IF(N42=Results!N8,1+IF(OR($O42=13,$P42=13,$Q42=13),1,0),0))</f>
        <v/>
      </c>
      <c r="AF42" s="11">
        <f t="shared" si="2"/>
        <v>0</v>
      </c>
      <c r="AG42" s="4" t="str">
        <f>IF(OR($R42="",Results!O8=""),"",ABS($R42-Results!O8))</f>
        <v/>
      </c>
      <c r="AH42" s="12">
        <v>21</v>
      </c>
      <c r="AI42" s="13" t="str">
        <f>IF(OR(B42="",Results!B8=""),"",IF(AND(B42=Results!B8,Results!B8&lt;&gt;Games!$C$44),1,0))</f>
        <v/>
      </c>
      <c r="AJ42" s="13" t="str">
        <f>IF(OR(C42="",Results!C8=""),"",IF(AND(C42=Results!C8,Results!C8&lt;&gt;Games!$C$45),1,0))</f>
        <v/>
      </c>
      <c r="AK42" s="13" t="str">
        <f>IF(OR(D42="",Results!D8=""),"",IF(AND(D42=Results!D8,Results!D8&lt;&gt;Games!$C$46),1,0))</f>
        <v/>
      </c>
      <c r="AL42" s="13" t="str">
        <f>IF(OR(E42="",Results!E8=""),"",IF(AND(E42=Results!E8,Results!E8&lt;&gt;Games!$C$47),1,0))</f>
        <v/>
      </c>
      <c r="AM42" s="13" t="str">
        <f>IF(OR(F42="",Results!F8=""),"",IF(AND(F42=Results!F8,Results!F8&lt;&gt;Games!$C$48),1,0))</f>
        <v/>
      </c>
      <c r="AN42" s="13" t="str">
        <f>IF(OR(G42="",Results!G8=""),"",IF(AND(G42=Results!G8,Results!G8&lt;&gt;Games!$C$49),1,0))</f>
        <v/>
      </c>
      <c r="AO42" s="13" t="str">
        <f>IF(OR(H42="",Results!H8=""),"",IF(AND(H42=Results!H8,Results!H8&lt;&gt;Games!$C$50),1,0))</f>
        <v/>
      </c>
      <c r="AP42" s="13" t="str">
        <f>IF(OR(I42="",Results!I8=""),"",IF(AND(I42=Results!I8,Results!I8&lt;&gt;Games!$C$51),1,0))</f>
        <v/>
      </c>
      <c r="AQ42" s="13" t="str">
        <f>IF(OR(J42="",Results!J8=""),"",IF(AND(J42=Results!J8,Results!J8&lt;&gt;Games!$C$52),1,0))</f>
        <v/>
      </c>
      <c r="AR42" s="13" t="str">
        <f>IF(OR(K42="",Results!K8=""),"",IF(AND(K42=Results!K8,Results!K8&lt;&gt;Games!$C$53),1,0))</f>
        <v/>
      </c>
      <c r="AS42" s="13" t="str">
        <f>IF(OR(L42="",Results!L8=""),"",IF(AND(L42=Results!L8,Results!L8&lt;&gt;Games!$C$54),1,0))</f>
        <v/>
      </c>
      <c r="AT42" s="13" t="str">
        <f>IF(OR(M42="",Results!M8=""),"",IF(AND(M42=Results!M8,Results!M8&lt;&gt;Games!$C$55),1,0))</f>
        <v/>
      </c>
      <c r="AU42" s="13" t="str">
        <f>IF(OR(N42="",Results!N8=""),"",IF(AND(N42=Results!N8,Results!N8&lt;&gt;Games!$C$56),1,0))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4" t="str">
        <f>IF(OR(B43="",Results!B8=""),"",IF(B43=Results!B8,1+IF(OR($O43=1,$P43=1,$Q43=1),1,0),0))</f>
        <v/>
      </c>
      <c r="T43" s="4" t="str">
        <f>IF(OR(C43="",Results!C8=""),"",IF(C43=Results!C8,1+IF(OR($O43=2,$P43=2,$Q43=2),1,0),0))</f>
        <v/>
      </c>
      <c r="U43" s="4" t="str">
        <f>IF(OR(D43="",Results!D8=""),"",IF(D43=Results!D8,1+IF(OR($O43=3,$P43=3,$Q43=3),1,0),0))</f>
        <v/>
      </c>
      <c r="V43" s="4" t="str">
        <f>IF(OR(E43="",Results!E8=""),"",IF(E43=Results!E8,1+IF(OR($O43=4,$P43=4,$Q43=4),1,0),0))</f>
        <v/>
      </c>
      <c r="W43" s="4" t="str">
        <f>IF(OR(F43="",Results!F8=""),"",IF(F43=Results!F8,1+IF(OR($O43=5,$P43=5,$Q43=5),1,0),0))</f>
        <v/>
      </c>
      <c r="X43" s="4" t="str">
        <f>IF(OR(G43="",Results!G8=""),"",IF(G43=Results!G8,1+IF(OR($O43=6,$P43=6,$Q43=6),1,0),0))</f>
        <v/>
      </c>
      <c r="Y43" s="4" t="str">
        <f>IF(OR(H43="",Results!H8=""),"",IF(H43=Results!H8,1+IF(OR($O43=7,$P43=7,$Q43=7),1,0),0))</f>
        <v/>
      </c>
      <c r="Z43" s="4" t="str">
        <f>IF(OR(I43="",Results!I8=""),"",IF(I43=Results!I8,1+IF(OR($O43=8,$P43=8,$Q43=8),1,0),0))</f>
        <v/>
      </c>
      <c r="AA43" s="4" t="str">
        <f>IF(OR(J43="",Results!J8=""),"",IF(J43=Results!J8,1+IF(OR($O43=9,$P43=9,$Q43=9),1,0),0))</f>
        <v/>
      </c>
      <c r="AB43" s="4" t="str">
        <f>IF(OR(K43="",Results!K8=""),"",IF(K43=Results!K8,1+IF(OR($O43=10,$P43=10,$Q43=10),1,0),0))</f>
        <v/>
      </c>
      <c r="AC43" s="4" t="str">
        <f>IF(OR(L43="",Results!L8=""),"",IF(L43=Results!L8,1+IF(OR($O43=11,$P43=11,$Q43=11),1,0),0))</f>
        <v/>
      </c>
      <c r="AD43" s="4" t="str">
        <f>IF(OR(M43="",Results!M8=""),"",IF(M43=Results!M8,1+IF(OR($O43=12,$P43=12,$Q43=12),1,0),0))</f>
        <v/>
      </c>
      <c r="AE43" s="4" t="str">
        <f>IF(OR(N43="",Results!N8=""),"",IF(N43=Results!N8,1+IF(OR($O43=13,$P43=13,$Q43=13),1,0),0))</f>
        <v/>
      </c>
      <c r="AF43" s="11">
        <f t="shared" si="2"/>
        <v>0</v>
      </c>
      <c r="AG43" s="4" t="str">
        <f>IF(OR($R43="",Results!O8=""),"",ABS($R43-Results!O8))</f>
        <v/>
      </c>
      <c r="AH43" s="12">
        <v>22</v>
      </c>
      <c r="AI43" s="13" t="str">
        <f>IF(OR(B43="",Results!B8=""),"",IF(AND(B43=Results!B8,Results!B8&lt;&gt;Games!$C$44),1,0))</f>
        <v/>
      </c>
      <c r="AJ43" s="13" t="str">
        <f>IF(OR(C43="",Results!C8=""),"",IF(AND(C43=Results!C8,Results!C8&lt;&gt;Games!$C$45),1,0))</f>
        <v/>
      </c>
      <c r="AK43" s="13" t="str">
        <f>IF(OR(D43="",Results!D8=""),"",IF(AND(D43=Results!D8,Results!D8&lt;&gt;Games!$C$46),1,0))</f>
        <v/>
      </c>
      <c r="AL43" s="13" t="str">
        <f>IF(OR(E43="",Results!E8=""),"",IF(AND(E43=Results!E8,Results!E8&lt;&gt;Games!$C$47),1,0))</f>
        <v/>
      </c>
      <c r="AM43" s="13" t="str">
        <f>IF(OR(F43="",Results!F8=""),"",IF(AND(F43=Results!F8,Results!F8&lt;&gt;Games!$C$48),1,0))</f>
        <v/>
      </c>
      <c r="AN43" s="13" t="str">
        <f>IF(OR(G43="",Results!G8=""),"",IF(AND(G43=Results!G8,Results!G8&lt;&gt;Games!$C$49),1,0))</f>
        <v/>
      </c>
      <c r="AO43" s="13" t="str">
        <f>IF(OR(H43="",Results!H8=""),"",IF(AND(H43=Results!H8,Results!H8&lt;&gt;Games!$C$50),1,0))</f>
        <v/>
      </c>
      <c r="AP43" s="13" t="str">
        <f>IF(OR(I43="",Results!I8=""),"",IF(AND(I43=Results!I8,Results!I8&lt;&gt;Games!$C$51),1,0))</f>
        <v/>
      </c>
      <c r="AQ43" s="13" t="str">
        <f>IF(OR(J43="",Results!J8=""),"",IF(AND(J43=Results!J8,Results!J8&lt;&gt;Games!$C$52),1,0))</f>
        <v/>
      </c>
      <c r="AR43" s="13" t="str">
        <f>IF(OR(K43="",Results!K8=""),"",IF(AND(K43=Results!K8,Results!K8&lt;&gt;Games!$C$53),1,0))</f>
        <v/>
      </c>
      <c r="AS43" s="13" t="str">
        <f>IF(OR(L43="",Results!L8=""),"",IF(AND(L43=Results!L8,Results!L8&lt;&gt;Games!$C$54),1,0))</f>
        <v/>
      </c>
      <c r="AT43" s="13" t="str">
        <f>IF(OR(M43="",Results!M8=""),"",IF(AND(M43=Results!M8,Results!M8&lt;&gt;Games!$C$55),1,0))</f>
        <v/>
      </c>
      <c r="AU43" s="13" t="str">
        <f>IF(OR(N43="",Results!N8=""),"",IF(AND(N43=Results!N8,Results!N8&lt;&gt;Games!$C$56),1,0))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tr">
        <f>IF(OR(B44="",Results!B8=""),"",IF(B44=Results!B8,1+IF(OR($O44=1,$P44=1,$Q44=1),1,0),0))</f>
        <v/>
      </c>
      <c r="T44" s="4" t="str">
        <f>IF(OR(C44="",Results!C8=""),"",IF(C44=Results!C8,1+IF(OR($O44=2,$P44=2,$Q44=2),1,0),0))</f>
        <v/>
      </c>
      <c r="U44" s="4" t="str">
        <f>IF(OR(D44="",Results!D8=""),"",IF(D44=Results!D8,1+IF(OR($O44=3,$P44=3,$Q44=3),1,0),0))</f>
        <v/>
      </c>
      <c r="V44" s="4" t="str">
        <f>IF(OR(E44="",Results!E8=""),"",IF(E44=Results!E8,1+IF(OR($O44=4,$P44=4,$Q44=4),1,0),0))</f>
        <v/>
      </c>
      <c r="W44" s="4" t="str">
        <f>IF(OR(F44="",Results!F8=""),"",IF(F44=Results!F8,1+IF(OR($O44=5,$P44=5,$Q44=5),1,0),0))</f>
        <v/>
      </c>
      <c r="X44" s="4" t="str">
        <f>IF(OR(G44="",Results!G8=""),"",IF(G44=Results!G8,1+IF(OR($O44=6,$P44=6,$Q44=6),1,0),0))</f>
        <v/>
      </c>
      <c r="Y44" s="4" t="str">
        <f>IF(OR(H44="",Results!H8=""),"",IF(H44=Results!H8,1+IF(OR($O44=7,$P44=7,$Q44=7),1,0),0))</f>
        <v/>
      </c>
      <c r="Z44" s="4" t="str">
        <f>IF(OR(I44="",Results!I8=""),"",IF(I44=Results!I8,1+IF(OR($O44=8,$P44=8,$Q44=8),1,0),0))</f>
        <v/>
      </c>
      <c r="AA44" s="4" t="str">
        <f>IF(OR(J44="",Results!J8=""),"",IF(J44=Results!J8,1+IF(OR($O44=9,$P44=9,$Q44=9),1,0),0))</f>
        <v/>
      </c>
      <c r="AB44" s="4" t="str">
        <f>IF(OR(K44="",Results!K8=""),"",IF(K44=Results!K8,1+IF(OR($O44=10,$P44=10,$Q44=10),1,0),0))</f>
        <v/>
      </c>
      <c r="AC44" s="4" t="str">
        <f>IF(OR(L44="",Results!L8=""),"",IF(L44=Results!L8,1+IF(OR($O44=11,$P44=11,$Q44=11),1,0),0))</f>
        <v/>
      </c>
      <c r="AD44" s="4" t="str">
        <f>IF(OR(M44="",Results!M8=""),"",IF(M44=Results!M8,1+IF(OR($O44=12,$P44=12,$Q44=12),1,0),0))</f>
        <v/>
      </c>
      <c r="AE44" s="4" t="str">
        <f>IF(OR(N44="",Results!N8=""),"",IF(N44=Results!N8,1+IF(OR($O44=13,$P44=13,$Q44=13),1,0),0))</f>
        <v/>
      </c>
      <c r="AF44" s="11">
        <f t="shared" si="2"/>
        <v>0</v>
      </c>
      <c r="AG44" s="4" t="str">
        <f>IF(OR($R44="",Results!O8=""),"",ABS($R44-Results!O8))</f>
        <v/>
      </c>
      <c r="AH44" s="12">
        <v>23</v>
      </c>
      <c r="AI44" s="13" t="str">
        <f>IF(OR(B44="",Results!B8=""),"",IF(AND(B44=Results!B8,Results!B8&lt;&gt;Games!$C$44),1,0))</f>
        <v/>
      </c>
      <c r="AJ44" s="13" t="str">
        <f>IF(OR(C44="",Results!C8=""),"",IF(AND(C44=Results!C8,Results!C8&lt;&gt;Games!$C$45),1,0))</f>
        <v/>
      </c>
      <c r="AK44" s="13" t="str">
        <f>IF(OR(D44="",Results!D8=""),"",IF(AND(D44=Results!D8,Results!D8&lt;&gt;Games!$C$46),1,0))</f>
        <v/>
      </c>
      <c r="AL44" s="13" t="str">
        <f>IF(OR(E44="",Results!E8=""),"",IF(AND(E44=Results!E8,Results!E8&lt;&gt;Games!$C$47),1,0))</f>
        <v/>
      </c>
      <c r="AM44" s="13" t="str">
        <f>IF(OR(F44="",Results!F8=""),"",IF(AND(F44=Results!F8,Results!F8&lt;&gt;Games!$C$48),1,0))</f>
        <v/>
      </c>
      <c r="AN44" s="13" t="str">
        <f>IF(OR(G44="",Results!G8=""),"",IF(AND(G44=Results!G8,Results!G8&lt;&gt;Games!$C$49),1,0))</f>
        <v/>
      </c>
      <c r="AO44" s="13" t="str">
        <f>IF(OR(H44="",Results!H8=""),"",IF(AND(H44=Results!H8,Results!H8&lt;&gt;Games!$C$50),1,0))</f>
        <v/>
      </c>
      <c r="AP44" s="13" t="str">
        <f>IF(OR(I44="",Results!I8=""),"",IF(AND(I44=Results!I8,Results!I8&lt;&gt;Games!$C$51),1,0))</f>
        <v/>
      </c>
      <c r="AQ44" s="13" t="str">
        <f>IF(OR(J44="",Results!J8=""),"",IF(AND(J44=Results!J8,Results!J8&lt;&gt;Games!$C$52),1,0))</f>
        <v/>
      </c>
      <c r="AR44" s="13" t="str">
        <f>IF(OR(K44="",Results!K8=""),"",IF(AND(K44=Results!K8,Results!K8&lt;&gt;Games!$C$53),1,0))</f>
        <v/>
      </c>
      <c r="AS44" s="13" t="str">
        <f>IF(OR(L44="",Results!L8=""),"",IF(AND(L44=Results!L8,Results!L8&lt;&gt;Games!$C$54),1,0))</f>
        <v/>
      </c>
      <c r="AT44" s="13" t="str">
        <f>IF(OR(M44="",Results!M8=""),"",IF(AND(M44=Results!M8,Results!M8&lt;&gt;Games!$C$55),1,0))</f>
        <v/>
      </c>
      <c r="AU44" s="13" t="str">
        <f>IF(OR(N44="",Results!N8=""),"",IF(AND(N44=Results!N8,Results!N8&lt;&gt;Games!$C$56),1,0))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IF(OR(B45="",Results!B8=""),"",IF(B45=Results!B8,1+IF(OR($O45=1,$P45=1,$Q45=1),1,0),0))</f>
        <v/>
      </c>
      <c r="T45" s="4" t="str">
        <f>IF(OR(C45="",Results!C8=""),"",IF(C45=Results!C8,1+IF(OR($O45=2,$P45=2,$Q45=2),1,0),0))</f>
        <v/>
      </c>
      <c r="U45" s="4" t="str">
        <f>IF(OR(D45="",Results!D8=""),"",IF(D45=Results!D8,1+IF(OR($O45=3,$P45=3,$Q45=3),1,0),0))</f>
        <v/>
      </c>
      <c r="V45" s="4" t="str">
        <f>IF(OR(E45="",Results!E8=""),"",IF(E45=Results!E8,1+IF(OR($O45=4,$P45=4,$Q45=4),1,0),0))</f>
        <v/>
      </c>
      <c r="W45" s="4" t="str">
        <f>IF(OR(F45="",Results!F8=""),"",IF(F45=Results!F8,1+IF(OR($O45=5,$P45=5,$Q45=5),1,0),0))</f>
        <v/>
      </c>
      <c r="X45" s="4" t="str">
        <f>IF(OR(G45="",Results!G8=""),"",IF(G45=Results!G8,1+IF(OR($O45=6,$P45=6,$Q45=6),1,0),0))</f>
        <v/>
      </c>
      <c r="Y45" s="4" t="str">
        <f>IF(OR(H45="",Results!H8=""),"",IF(H45=Results!H8,1+IF(OR($O45=7,$P45=7,$Q45=7),1,0),0))</f>
        <v/>
      </c>
      <c r="Z45" s="4" t="str">
        <f>IF(OR(I45="",Results!I8=""),"",IF(I45=Results!I8,1+IF(OR($O45=8,$P45=8,$Q45=8),1,0),0))</f>
        <v/>
      </c>
      <c r="AA45" s="4" t="str">
        <f>IF(OR(J45="",Results!J8=""),"",IF(J45=Results!J8,1+IF(OR($O45=9,$P45=9,$Q45=9),1,0),0))</f>
        <v/>
      </c>
      <c r="AB45" s="4" t="str">
        <f>IF(OR(K45="",Results!K8=""),"",IF(K45=Results!K8,1+IF(OR($O45=10,$P45=10,$Q45=10),1,0),0))</f>
        <v/>
      </c>
      <c r="AC45" s="4" t="str">
        <f>IF(OR(L45="",Results!L8=""),"",IF(L45=Results!L8,1+IF(OR($O45=11,$P45=11,$Q45=11),1,0),0))</f>
        <v/>
      </c>
      <c r="AD45" s="4" t="str">
        <f>IF(OR(M45="",Results!M8=""),"",IF(M45=Results!M8,1+IF(OR($O45=12,$P45=12,$Q45=12),1,0),0))</f>
        <v/>
      </c>
      <c r="AE45" s="4" t="str">
        <f>IF(OR(N45="",Results!N8=""),"",IF(N45=Results!N8,1+IF(OR($O45=13,$P45=13,$Q45=13),1,0),0))</f>
        <v/>
      </c>
      <c r="AF45" s="11">
        <f t="shared" si="2"/>
        <v>0</v>
      </c>
      <c r="AG45" s="4" t="str">
        <f>IF(OR($R45="",Results!O8=""),"",ABS($R45-Results!O8))</f>
        <v/>
      </c>
      <c r="AH45" s="12">
        <v>24</v>
      </c>
      <c r="AI45" s="13" t="str">
        <f>IF(OR(B45="",Results!B8=""),"",IF(AND(B45=Results!B8,Results!B8&lt;&gt;Games!$C$44),1,0))</f>
        <v/>
      </c>
      <c r="AJ45" s="13" t="str">
        <f>IF(OR(C45="",Results!C8=""),"",IF(AND(C45=Results!C8,Results!C8&lt;&gt;Games!$C$45),1,0))</f>
        <v/>
      </c>
      <c r="AK45" s="13" t="str">
        <f>IF(OR(D45="",Results!D8=""),"",IF(AND(D45=Results!D8,Results!D8&lt;&gt;Games!$C$46),1,0))</f>
        <v/>
      </c>
      <c r="AL45" s="13" t="str">
        <f>IF(OR(E45="",Results!E8=""),"",IF(AND(E45=Results!E8,Results!E8&lt;&gt;Games!$C$47),1,0))</f>
        <v/>
      </c>
      <c r="AM45" s="13" t="str">
        <f>IF(OR(F45="",Results!F8=""),"",IF(AND(F45=Results!F8,Results!F8&lt;&gt;Games!$C$48),1,0))</f>
        <v/>
      </c>
      <c r="AN45" s="13" t="str">
        <f>IF(OR(G45="",Results!G8=""),"",IF(AND(G45=Results!G8,Results!G8&lt;&gt;Games!$C$49),1,0))</f>
        <v/>
      </c>
      <c r="AO45" s="13" t="str">
        <f>IF(OR(H45="",Results!H8=""),"",IF(AND(H45=Results!H8,Results!H8&lt;&gt;Games!$C$50),1,0))</f>
        <v/>
      </c>
      <c r="AP45" s="13" t="str">
        <f>IF(OR(I45="",Results!I8=""),"",IF(AND(I45=Results!I8,Results!I8&lt;&gt;Games!$C$51),1,0))</f>
        <v/>
      </c>
      <c r="AQ45" s="13" t="str">
        <f>IF(OR(J45="",Results!J8=""),"",IF(AND(J45=Results!J8,Results!J8&lt;&gt;Games!$C$52),1,0))</f>
        <v/>
      </c>
      <c r="AR45" s="13" t="str">
        <f>IF(OR(K45="",Results!K8=""),"",IF(AND(K45=Results!K8,Results!K8&lt;&gt;Games!$C$53),1,0))</f>
        <v/>
      </c>
      <c r="AS45" s="13" t="str">
        <f>IF(OR(L45="",Results!L8=""),"",IF(AND(L45=Results!L8,Results!L8&lt;&gt;Games!$C$54),1,0))</f>
        <v/>
      </c>
      <c r="AT45" s="13" t="str">
        <f>IF(OR(M45="",Results!M8=""),"",IF(AND(M45=Results!M8,Results!M8&lt;&gt;Games!$C$55),1,0))</f>
        <v/>
      </c>
      <c r="AU45" s="13" t="str">
        <f>IF(OR(N45="",Results!N8=""),"",IF(AND(N45=Results!N8,Results!N8&lt;&gt;Games!$C$56),1,0))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IF(OR(B46="",Results!B8=""),"",IF(B46=Results!B8,1+IF(OR($O46=1,$P46=1,$Q46=1),1,0),0))</f>
        <v/>
      </c>
      <c r="T46" s="4" t="str">
        <f>IF(OR(C46="",Results!C8=""),"",IF(C46=Results!C8,1+IF(OR($O46=2,$P46=2,$Q46=2),1,0),0))</f>
        <v/>
      </c>
      <c r="U46" s="4" t="str">
        <f>IF(OR(D46="",Results!D8=""),"",IF(D46=Results!D8,1+IF(OR($O46=3,$P46=3,$Q46=3),1,0),0))</f>
        <v/>
      </c>
      <c r="V46" s="4" t="str">
        <f>IF(OR(E46="",Results!E8=""),"",IF(E46=Results!E8,1+IF(OR($O46=4,$P46=4,$Q46=4),1,0),0))</f>
        <v/>
      </c>
      <c r="W46" s="4" t="str">
        <f>IF(OR(F46="",Results!F8=""),"",IF(F46=Results!F8,1+IF(OR($O46=5,$P46=5,$Q46=5),1,0),0))</f>
        <v/>
      </c>
      <c r="X46" s="4" t="str">
        <f>IF(OR(G46="",Results!G8=""),"",IF(G46=Results!G8,1+IF(OR($O46=6,$P46=6,$Q46=6),1,0),0))</f>
        <v/>
      </c>
      <c r="Y46" s="4" t="str">
        <f>IF(OR(H46="",Results!H8=""),"",IF(H46=Results!H8,1+IF(OR($O46=7,$P46=7,$Q46=7),1,0),0))</f>
        <v/>
      </c>
      <c r="Z46" s="4" t="str">
        <f>IF(OR(I46="",Results!I8=""),"",IF(I46=Results!I8,1+IF(OR($O46=8,$P46=8,$Q46=8),1,0),0))</f>
        <v/>
      </c>
      <c r="AA46" s="4" t="str">
        <f>IF(OR(J46="",Results!J8=""),"",IF(J46=Results!J8,1+IF(OR($O46=9,$P46=9,$Q46=9),1,0),0))</f>
        <v/>
      </c>
      <c r="AB46" s="4" t="str">
        <f>IF(OR(K46="",Results!K8=""),"",IF(K46=Results!K8,1+IF(OR($O46=10,$P46=10,$Q46=10),1,0),0))</f>
        <v/>
      </c>
      <c r="AC46" s="4" t="str">
        <f>IF(OR(L46="",Results!L8=""),"",IF(L46=Results!L8,1+IF(OR($O46=11,$P46=11,$Q46=11),1,0),0))</f>
        <v/>
      </c>
      <c r="AD46" s="4" t="str">
        <f>IF(OR(M46="",Results!M8=""),"",IF(M46=Results!M8,1+IF(OR($O46=12,$P46=12,$Q46=12),1,0),0))</f>
        <v/>
      </c>
      <c r="AE46" s="4" t="str">
        <f>IF(OR(N46="",Results!N8=""),"",IF(N46=Results!N8,1+IF(OR($O46=13,$P46=13,$Q46=13),1,0),0))</f>
        <v/>
      </c>
      <c r="AF46" s="11">
        <f t="shared" si="2"/>
        <v>0</v>
      </c>
      <c r="AG46" s="4" t="str">
        <f>IF(OR($R46="",Results!O8=""),"",ABS($R46-Results!O8))</f>
        <v/>
      </c>
      <c r="AH46" s="12">
        <v>36</v>
      </c>
      <c r="AI46" s="13" t="str">
        <f>IF(OR(B46="",Results!B8=""),"",IF(AND(B46=Results!B8,Results!B8&lt;&gt;Games!$C$44),1,0))</f>
        <v/>
      </c>
      <c r="AJ46" s="13" t="str">
        <f>IF(OR(C46="",Results!C8=""),"",IF(AND(C46=Results!C8,Results!C8&lt;&gt;Games!$C$45),1,0))</f>
        <v/>
      </c>
      <c r="AK46" s="13" t="str">
        <f>IF(OR(D46="",Results!D8=""),"",IF(AND(D46=Results!D8,Results!D8&lt;&gt;Games!$C$46),1,0))</f>
        <v/>
      </c>
      <c r="AL46" s="13" t="str">
        <f>IF(OR(E46="",Results!E8=""),"",IF(AND(E46=Results!E8,Results!E8&lt;&gt;Games!$C$47),1,0))</f>
        <v/>
      </c>
      <c r="AM46" s="13" t="str">
        <f>IF(OR(F46="",Results!F8=""),"",IF(AND(F46=Results!F8,Results!F8&lt;&gt;Games!$C$48),1,0))</f>
        <v/>
      </c>
      <c r="AN46" s="13" t="str">
        <f>IF(OR(G46="",Results!G8=""),"",IF(AND(G46=Results!G8,Results!G8&lt;&gt;Games!$C$49),1,0))</f>
        <v/>
      </c>
      <c r="AO46" s="13" t="str">
        <f>IF(OR(H46="",Results!H8=""),"",IF(AND(H46=Results!H8,Results!H8&lt;&gt;Games!$C$50),1,0))</f>
        <v/>
      </c>
      <c r="AP46" s="13" t="str">
        <f>IF(OR(I46="",Results!I8=""),"",IF(AND(I46=Results!I8,Results!I8&lt;&gt;Games!$C$51),1,0))</f>
        <v/>
      </c>
      <c r="AQ46" s="13" t="str">
        <f>IF(OR(J46="",Results!J8=""),"",IF(AND(J46=Results!J8,Results!J8&lt;&gt;Games!$C$52),1,0))</f>
        <v/>
      </c>
      <c r="AR46" s="13" t="str">
        <f>IF(OR(K46="",Results!K8=""),"",IF(AND(K46=Results!K8,Results!K8&lt;&gt;Games!$C$53),1,0))</f>
        <v/>
      </c>
      <c r="AS46" s="13" t="str">
        <f>IF(OR(L46="",Results!L8=""),"",IF(AND(L46=Results!L8,Results!L8&lt;&gt;Games!$C$54),1,0))</f>
        <v/>
      </c>
      <c r="AT46" s="13" t="str">
        <f>IF(OR(M46="",Results!M8=""),"",IF(AND(M46=Results!M8,Results!M8&lt;&gt;Games!$C$55),1,0))</f>
        <v/>
      </c>
      <c r="AU46" s="13" t="str">
        <f>IF(OR(N46="",Results!N8=""),"",IF(AND(N46=Results!N8,Results!N8&lt;&gt;Games!$C$56),1,0))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 t="str">
        <f>IF(OR(B47="",Results!B8=""),"",IF(B47=Results!B8,1+IF(OR($O47=1,$P47=1,$Q47=1),1,0),0))</f>
        <v/>
      </c>
      <c r="T47" s="4" t="str">
        <f>IF(OR(C47="",Results!C8=""),"",IF(C47=Results!C8,1+IF(OR($O47=2,$P47=2,$Q47=2),1,0),0))</f>
        <v/>
      </c>
      <c r="U47" s="4" t="str">
        <f>IF(OR(D47="",Results!D8=""),"",IF(D47=Results!D8,1+IF(OR($O47=3,$P47=3,$Q47=3),1,0),0))</f>
        <v/>
      </c>
      <c r="V47" s="4" t="str">
        <f>IF(OR(E47="",Results!E8=""),"",IF(E47=Results!E8,1+IF(OR($O47=4,$P47=4,$Q47=4),1,0),0))</f>
        <v/>
      </c>
      <c r="W47" s="4" t="str">
        <f>IF(OR(F47="",Results!F8=""),"",IF(F47=Results!F8,1+IF(OR($O47=5,$P47=5,$Q47=5),1,0),0))</f>
        <v/>
      </c>
      <c r="X47" s="4" t="str">
        <f>IF(OR(G47="",Results!G8=""),"",IF(G47=Results!G8,1+IF(OR($O47=6,$P47=6,$Q47=6),1,0),0))</f>
        <v/>
      </c>
      <c r="Y47" s="4" t="str">
        <f>IF(OR(H47="",Results!H8=""),"",IF(H47=Results!H8,1+IF(OR($O47=7,$P47=7,$Q47=7),1,0),0))</f>
        <v/>
      </c>
      <c r="Z47" s="4" t="str">
        <f>IF(OR(I47="",Results!I8=""),"",IF(I47=Results!I8,1+IF(OR($O47=8,$P47=8,$Q47=8),1,0),0))</f>
        <v/>
      </c>
      <c r="AA47" s="4" t="str">
        <f>IF(OR(J47="",Results!J8=""),"",IF(J47=Results!J8,1+IF(OR($O47=9,$P47=9,$Q47=9),1,0),0))</f>
        <v/>
      </c>
      <c r="AB47" s="4" t="str">
        <f>IF(OR(K47="",Results!K8=""),"",IF(K47=Results!K8,1+IF(OR($O47=10,$P47=10,$Q47=10),1,0),0))</f>
        <v/>
      </c>
      <c r="AC47" s="4" t="str">
        <f>IF(OR(L47="",Results!L8=""),"",IF(L47=Results!L8,1+IF(OR($O47=11,$P47=11,$Q47=11),1,0),0))</f>
        <v/>
      </c>
      <c r="AD47" s="4" t="str">
        <f>IF(OR(M47="",Results!M8=""),"",IF(M47=Results!M8,1+IF(OR($O47=12,$P47=12,$Q47=12),1,0),0))</f>
        <v/>
      </c>
      <c r="AE47" s="4" t="str">
        <f>IF(OR(N47="",Results!N8=""),"",IF(N47=Results!N8,1+IF(OR($O47=13,$P47=13,$Q47=13),1,0),0))</f>
        <v/>
      </c>
      <c r="AF47" s="11">
        <f t="shared" si="2"/>
        <v>0</v>
      </c>
      <c r="AG47" s="4" t="str">
        <f>IF(OR($R47="",Results!O8=""),"",ABS($R47-Results!O8))</f>
        <v/>
      </c>
      <c r="AH47" s="12">
        <v>25</v>
      </c>
      <c r="AI47" s="13" t="str">
        <f>IF(OR(B47="",Results!B8=""),"",IF(AND(B47=Results!B8,Results!B8&lt;&gt;Games!$C$44),1,0))</f>
        <v/>
      </c>
      <c r="AJ47" s="13" t="str">
        <f>IF(OR(C47="",Results!C8=""),"",IF(AND(C47=Results!C8,Results!C8&lt;&gt;Games!$C$45),1,0))</f>
        <v/>
      </c>
      <c r="AK47" s="13" t="str">
        <f>IF(OR(D47="",Results!D8=""),"",IF(AND(D47=Results!D8,Results!D8&lt;&gt;Games!$C$46),1,0))</f>
        <v/>
      </c>
      <c r="AL47" s="13" t="str">
        <f>IF(OR(E47="",Results!E8=""),"",IF(AND(E47=Results!E8,Results!E8&lt;&gt;Games!$C$47),1,0))</f>
        <v/>
      </c>
      <c r="AM47" s="13" t="str">
        <f>IF(OR(F47="",Results!F8=""),"",IF(AND(F47=Results!F8,Results!F8&lt;&gt;Games!$C$48),1,0))</f>
        <v/>
      </c>
      <c r="AN47" s="13" t="str">
        <f>IF(OR(G47="",Results!G8=""),"",IF(AND(G47=Results!G8,Results!G8&lt;&gt;Games!$C$49),1,0))</f>
        <v/>
      </c>
      <c r="AO47" s="13" t="str">
        <f>IF(OR(H47="",Results!H8=""),"",IF(AND(H47=Results!H8,Results!H8&lt;&gt;Games!$C$50),1,0))</f>
        <v/>
      </c>
      <c r="AP47" s="13" t="str">
        <f>IF(OR(I47="",Results!I8=""),"",IF(AND(I47=Results!I8,Results!I8&lt;&gt;Games!$C$51),1,0))</f>
        <v/>
      </c>
      <c r="AQ47" s="13" t="str">
        <f>IF(OR(J47="",Results!J8=""),"",IF(AND(J47=Results!J8,Results!J8&lt;&gt;Games!$C$52),1,0))</f>
        <v/>
      </c>
      <c r="AR47" s="13" t="str">
        <f>IF(OR(K47="",Results!K8=""),"",IF(AND(K47=Results!K8,Results!K8&lt;&gt;Games!$C$53),1,0))</f>
        <v/>
      </c>
      <c r="AS47" s="13" t="str">
        <f>IF(OR(L47="",Results!L8=""),"",IF(AND(L47=Results!L8,Results!L8&lt;&gt;Games!$C$54),1,0))</f>
        <v/>
      </c>
      <c r="AT47" s="13" t="str">
        <f>IF(OR(M47="",Results!M8=""),"",IF(AND(M47=Results!M8,Results!M8&lt;&gt;Games!$C$55),1,0))</f>
        <v/>
      </c>
      <c r="AU47" s="13" t="str">
        <f>IF(OR(N47="",Results!N8=""),"",IF(AND(N47=Results!N8,Results!N8&lt;&gt;Games!$C$56),1,0))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IF(OR(B48="",Results!B8=""),"",IF(B48=Results!B8,1+IF(OR($O48=1,$P48=1,$Q48=1),1,0),0))</f>
        <v/>
      </c>
      <c r="T48" s="4" t="str">
        <f>IF(OR(C48="",Results!C8=""),"",IF(C48=Results!C8,1+IF(OR($O48=2,$P48=2,$Q48=2),1,0),0))</f>
        <v/>
      </c>
      <c r="U48" s="4" t="str">
        <f>IF(OR(D48="",Results!D8=""),"",IF(D48=Results!D8,1+IF(OR($O48=3,$P48=3,$Q48=3),1,0),0))</f>
        <v/>
      </c>
      <c r="V48" s="4" t="str">
        <f>IF(OR(E48="",Results!E8=""),"",IF(E48=Results!E8,1+IF(OR($O48=4,$P48=4,$Q48=4),1,0),0))</f>
        <v/>
      </c>
      <c r="W48" s="4" t="str">
        <f>IF(OR(F48="",Results!F8=""),"",IF(F48=Results!F8,1+IF(OR($O48=5,$P48=5,$Q48=5),1,0),0))</f>
        <v/>
      </c>
      <c r="X48" s="4" t="str">
        <f>IF(OR(G48="",Results!G8=""),"",IF(G48=Results!G8,1+IF(OR($O48=6,$P48=6,$Q48=6),1,0),0))</f>
        <v/>
      </c>
      <c r="Y48" s="4" t="str">
        <f>IF(OR(H48="",Results!H8=""),"",IF(H48=Results!H8,1+IF(OR($O48=7,$P48=7,$Q48=7),1,0),0))</f>
        <v/>
      </c>
      <c r="Z48" s="4" t="str">
        <f>IF(OR(I48="",Results!I8=""),"",IF(I48=Results!I8,1+IF(OR($O48=8,$P48=8,$Q48=8),1,0),0))</f>
        <v/>
      </c>
      <c r="AA48" s="4" t="str">
        <f>IF(OR(J48="",Results!J8=""),"",IF(J48=Results!J8,1+IF(OR($O48=9,$P48=9,$Q48=9),1,0),0))</f>
        <v/>
      </c>
      <c r="AB48" s="4" t="str">
        <f>IF(OR(K48="",Results!K8=""),"",IF(K48=Results!K8,1+IF(OR($O48=10,$P48=10,$Q48=10),1,0),0))</f>
        <v/>
      </c>
      <c r="AC48" s="4" t="str">
        <f>IF(OR(L48="",Results!L8=""),"",IF(L48=Results!L8,1+IF(OR($O48=11,$P48=11,$Q48=11),1,0),0))</f>
        <v/>
      </c>
      <c r="AD48" s="4" t="str">
        <f>IF(OR(M48="",Results!M8=""),"",IF(M48=Results!M8,1+IF(OR($O48=12,$P48=12,$Q48=12),1,0),0))</f>
        <v/>
      </c>
      <c r="AE48" s="4" t="str">
        <f>IF(OR(N48="",Results!N8=""),"",IF(N48=Results!N8,1+IF(OR($O48=13,$P48=13,$Q48=13),1,0),0))</f>
        <v/>
      </c>
      <c r="AF48" s="11">
        <f t="shared" si="2"/>
        <v>0</v>
      </c>
      <c r="AG48" s="4" t="str">
        <f>IF(OR($R48="",Results!O8=""),"",ABS($R48-Results!O8))</f>
        <v/>
      </c>
      <c r="AH48" s="12">
        <v>56</v>
      </c>
      <c r="AI48" s="13" t="str">
        <f>IF(OR(B48="",Results!B8=""),"",IF(AND(B48=Results!B8,Results!B8&lt;&gt;Games!$C$44),1,0))</f>
        <v/>
      </c>
      <c r="AJ48" s="13" t="str">
        <f>IF(OR(C48="",Results!C8=""),"",IF(AND(C48=Results!C8,Results!C8&lt;&gt;Games!$C$45),1,0))</f>
        <v/>
      </c>
      <c r="AK48" s="13" t="str">
        <f>IF(OR(D48="",Results!D8=""),"",IF(AND(D48=Results!D8,Results!D8&lt;&gt;Games!$C$46),1,0))</f>
        <v/>
      </c>
      <c r="AL48" s="13" t="str">
        <f>IF(OR(E48="",Results!E8=""),"",IF(AND(E48=Results!E8,Results!E8&lt;&gt;Games!$C$47),1,0))</f>
        <v/>
      </c>
      <c r="AM48" s="13" t="str">
        <f>IF(OR(F48="",Results!F8=""),"",IF(AND(F48=Results!F8,Results!F8&lt;&gt;Games!$C$48),1,0))</f>
        <v/>
      </c>
      <c r="AN48" s="13" t="str">
        <f>IF(OR(G48="",Results!G8=""),"",IF(AND(G48=Results!G8,Results!G8&lt;&gt;Games!$C$49),1,0))</f>
        <v/>
      </c>
      <c r="AO48" s="13" t="str">
        <f>IF(OR(H48="",Results!H8=""),"",IF(AND(H48=Results!H8,Results!H8&lt;&gt;Games!$C$50),1,0))</f>
        <v/>
      </c>
      <c r="AP48" s="13" t="str">
        <f>IF(OR(I48="",Results!I8=""),"",IF(AND(I48=Results!I8,Results!I8&lt;&gt;Games!$C$51),1,0))</f>
        <v/>
      </c>
      <c r="AQ48" s="13" t="str">
        <f>IF(OR(J48="",Results!J8=""),"",IF(AND(J48=Results!J8,Results!J8&lt;&gt;Games!$C$52),1,0))</f>
        <v/>
      </c>
      <c r="AR48" s="13" t="str">
        <f>IF(OR(K48="",Results!K8=""),"",IF(AND(K48=Results!K8,Results!K8&lt;&gt;Games!$C$53),1,0))</f>
        <v/>
      </c>
      <c r="AS48" s="13" t="str">
        <f>IF(OR(L48="",Results!L8=""),"",IF(AND(L48=Results!L8,Results!L8&lt;&gt;Games!$C$54),1,0))</f>
        <v/>
      </c>
      <c r="AT48" s="13" t="str">
        <f>IF(OR(M48="",Results!M8=""),"",IF(AND(M48=Results!M8,Results!M8&lt;&gt;Games!$C$55),1,0))</f>
        <v/>
      </c>
      <c r="AU48" s="13" t="str">
        <f>IF(OR(N48="",Results!N8=""),"",IF(AND(N48=Results!N8,Results!N8&lt;&gt;Games!$C$56),1,0))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 t="str">
        <f>IF(OR(B49="",Results!B8=""),"",IF(B49=Results!B8,1+IF(OR($O49=1,$P49=1,$Q49=1),1,0),0))</f>
        <v/>
      </c>
      <c r="T49" s="4" t="str">
        <f>IF(OR(C49="",Results!C8=""),"",IF(C49=Results!C8,1+IF(OR($O49=2,$P49=2,$Q49=2),1,0),0))</f>
        <v/>
      </c>
      <c r="U49" s="4" t="str">
        <f>IF(OR(D49="",Results!D8=""),"",IF(D49=Results!D8,1+IF(OR($O49=3,$P49=3,$Q49=3),1,0),0))</f>
        <v/>
      </c>
      <c r="V49" s="4" t="str">
        <f>IF(OR(E49="",Results!E8=""),"",IF(E49=Results!E8,1+IF(OR($O49=4,$P49=4,$Q49=4),1,0),0))</f>
        <v/>
      </c>
      <c r="W49" s="4" t="str">
        <f>IF(OR(F49="",Results!F8=""),"",IF(F49=Results!F8,1+IF(OR($O49=5,$P49=5,$Q49=5),1,0),0))</f>
        <v/>
      </c>
      <c r="X49" s="4" t="str">
        <f>IF(OR(G49="",Results!G8=""),"",IF(G49=Results!G8,1+IF(OR($O49=6,$P49=6,$Q49=6),1,0),0))</f>
        <v/>
      </c>
      <c r="Y49" s="4" t="str">
        <f>IF(OR(H49="",Results!H8=""),"",IF(H49=Results!H8,1+IF(OR($O49=7,$P49=7,$Q49=7),1,0),0))</f>
        <v/>
      </c>
      <c r="Z49" s="4" t="str">
        <f>IF(OR(I49="",Results!I8=""),"",IF(I49=Results!I8,1+IF(OR($O49=8,$P49=8,$Q49=8),1,0),0))</f>
        <v/>
      </c>
      <c r="AA49" s="4" t="str">
        <f>IF(OR(J49="",Results!J8=""),"",IF(J49=Results!J8,1+IF(OR($O49=9,$P49=9,$Q49=9),1,0),0))</f>
        <v/>
      </c>
      <c r="AB49" s="4" t="str">
        <f>IF(OR(K49="",Results!K8=""),"",IF(K49=Results!K8,1+IF(OR($O49=10,$P49=10,$Q49=10),1,0),0))</f>
        <v/>
      </c>
      <c r="AC49" s="4" t="str">
        <f>IF(OR(L49="",Results!L8=""),"",IF(L49=Results!L8,1+IF(OR($O49=11,$P49=11,$Q49=11),1,0),0))</f>
        <v/>
      </c>
      <c r="AD49" s="4" t="str">
        <f>IF(OR(M49="",Results!M8=""),"",IF(M49=Results!M8,1+IF(OR($O49=12,$P49=12,$Q49=12),1,0),0))</f>
        <v/>
      </c>
      <c r="AE49" s="4" t="str">
        <f>IF(OR(N49="",Results!N8=""),"",IF(N49=Results!N8,1+IF(OR($O49=13,$P49=13,$Q49=13),1,0),0))</f>
        <v/>
      </c>
      <c r="AF49" s="11">
        <f t="shared" si="2"/>
        <v>0</v>
      </c>
      <c r="AG49" s="4" t="str">
        <f>IF(OR($R49="",Results!O8=""),"",ABS($R49-Results!O8))</f>
        <v/>
      </c>
      <c r="AH49" s="12">
        <v>34</v>
      </c>
      <c r="AI49" s="13" t="str">
        <f>IF(OR(B49="",Results!B8=""),"",IF(AND(B49=Results!B8,Results!B8&lt;&gt;Games!$C$44),1,0))</f>
        <v/>
      </c>
      <c r="AJ49" s="13" t="str">
        <f>IF(OR(C49="",Results!C8=""),"",IF(AND(C49=Results!C8,Results!C8&lt;&gt;Games!$C$45),1,0))</f>
        <v/>
      </c>
      <c r="AK49" s="13" t="str">
        <f>IF(OR(D49="",Results!D8=""),"",IF(AND(D49=Results!D8,Results!D8&lt;&gt;Games!$C$46),1,0))</f>
        <v/>
      </c>
      <c r="AL49" s="13" t="str">
        <f>IF(OR(E49="",Results!E8=""),"",IF(AND(E49=Results!E8,Results!E8&lt;&gt;Games!$C$47),1,0))</f>
        <v/>
      </c>
      <c r="AM49" s="13" t="str">
        <f>IF(OR(F49="",Results!F8=""),"",IF(AND(F49=Results!F8,Results!F8&lt;&gt;Games!$C$48),1,0))</f>
        <v/>
      </c>
      <c r="AN49" s="13" t="str">
        <f>IF(OR(G49="",Results!G8=""),"",IF(AND(G49=Results!G8,Results!G8&lt;&gt;Games!$C$49),1,0))</f>
        <v/>
      </c>
      <c r="AO49" s="13" t="str">
        <f>IF(OR(H49="",Results!H8=""),"",IF(AND(H49=Results!H8,Results!H8&lt;&gt;Games!$C$50),1,0))</f>
        <v/>
      </c>
      <c r="AP49" s="13" t="str">
        <f>IF(OR(I49="",Results!I8=""),"",IF(AND(I49=Results!I8,Results!I8&lt;&gt;Games!$C$51),1,0))</f>
        <v/>
      </c>
      <c r="AQ49" s="13" t="str">
        <f>IF(OR(J49="",Results!J8=""),"",IF(AND(J49=Results!J8,Results!J8&lt;&gt;Games!$C$52),1,0))</f>
        <v/>
      </c>
      <c r="AR49" s="13" t="str">
        <f>IF(OR(K49="",Results!K8=""),"",IF(AND(K49=Results!K8,Results!K8&lt;&gt;Games!$C$53),1,0))</f>
        <v/>
      </c>
      <c r="AS49" s="13" t="str">
        <f>IF(OR(L49="",Results!L8=""),"",IF(AND(L49=Results!L8,Results!L8&lt;&gt;Games!$C$54),1,0))</f>
        <v/>
      </c>
      <c r="AT49" s="13" t="str">
        <f>IF(OR(M49="",Results!M8=""),"",IF(AND(M49=Results!M8,Results!M8&lt;&gt;Games!$C$55),1,0))</f>
        <v/>
      </c>
      <c r="AU49" s="13" t="str">
        <f>IF(OR(N49="",Results!N8=""),"",IF(AND(N49=Results!N8,Results!N8&lt;&gt;Games!$C$56),1,0))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IF(OR(B50="",Results!B8=""),"",IF(B50=Results!B8,1+IF(OR($O50=1,$P50=1,$Q50=1),1,0),0))</f>
        <v/>
      </c>
      <c r="T50" s="4" t="str">
        <f>IF(OR(C50="",Results!C8=""),"",IF(C50=Results!C8,1+IF(OR($O50=2,$P50=2,$Q50=2),1,0),0))</f>
        <v/>
      </c>
      <c r="U50" s="4" t="str">
        <f>IF(OR(D50="",Results!D8=""),"",IF(D50=Results!D8,1+IF(OR($O50=3,$P50=3,$Q50=3),1,0),0))</f>
        <v/>
      </c>
      <c r="V50" s="4" t="str">
        <f>IF(OR(E50="",Results!E8=""),"",IF(E50=Results!E8,1+IF(OR($O50=4,$P50=4,$Q50=4),1,0),0))</f>
        <v/>
      </c>
      <c r="W50" s="4" t="str">
        <f>IF(OR(F50="",Results!F8=""),"",IF(F50=Results!F8,1+IF(OR($O50=5,$P50=5,$Q50=5),1,0),0))</f>
        <v/>
      </c>
      <c r="X50" s="4" t="str">
        <f>IF(OR(G50="",Results!G8=""),"",IF(G50=Results!G8,1+IF(OR($O50=6,$P50=6,$Q50=6),1,0),0))</f>
        <v/>
      </c>
      <c r="Y50" s="4" t="str">
        <f>IF(OR(H50="",Results!H8=""),"",IF(H50=Results!H8,1+IF(OR($O50=7,$P50=7,$Q50=7),1,0),0))</f>
        <v/>
      </c>
      <c r="Z50" s="4" t="str">
        <f>IF(OR(I50="",Results!I8=""),"",IF(I50=Results!I8,1+IF(OR($O50=8,$P50=8,$Q50=8),1,0),0))</f>
        <v/>
      </c>
      <c r="AA50" s="4" t="str">
        <f>IF(OR(J50="",Results!J8=""),"",IF(J50=Results!J8,1+IF(OR($O50=9,$P50=9,$Q50=9),1,0),0))</f>
        <v/>
      </c>
      <c r="AB50" s="4" t="str">
        <f>IF(OR(K50="",Results!K8=""),"",IF(K50=Results!K8,1+IF(OR($O50=10,$P50=10,$Q50=10),1,0),0))</f>
        <v/>
      </c>
      <c r="AC50" s="4" t="str">
        <f>IF(OR(L50="",Results!L8=""),"",IF(L50=Results!L8,1+IF(OR($O50=11,$P50=11,$Q50=11),1,0),0))</f>
        <v/>
      </c>
      <c r="AD50" s="4" t="str">
        <f>IF(OR(M50="",Results!M8=""),"",IF(M50=Results!M8,1+IF(OR($O50=12,$P50=12,$Q50=12),1,0),0))</f>
        <v/>
      </c>
      <c r="AE50" s="4" t="str">
        <f>IF(OR(N50="",Results!N8=""),"",IF(N50=Results!N8,1+IF(OR($O50=13,$P50=13,$Q50=13),1,0),0))</f>
        <v/>
      </c>
      <c r="AF50" s="11">
        <f t="shared" si="2"/>
        <v>0</v>
      </c>
      <c r="AG50" s="4" t="str">
        <f>IF(OR($R50="",Results!O8=""),"",ABS($R50-Results!O8))</f>
        <v/>
      </c>
      <c r="AH50" s="12">
        <v>40</v>
      </c>
      <c r="AI50" s="13" t="str">
        <f>IF(OR(B50="",Results!B8=""),"",IF(AND(B50=Results!B8,Results!B8&lt;&gt;Games!$C$44),1,0))</f>
        <v/>
      </c>
      <c r="AJ50" s="13" t="str">
        <f>IF(OR(C50="",Results!C8=""),"",IF(AND(C50=Results!C8,Results!C8&lt;&gt;Games!$C$45),1,0))</f>
        <v/>
      </c>
      <c r="AK50" s="13" t="str">
        <f>IF(OR(D50="",Results!D8=""),"",IF(AND(D50=Results!D8,Results!D8&lt;&gt;Games!$C$46),1,0))</f>
        <v/>
      </c>
      <c r="AL50" s="13" t="str">
        <f>IF(OR(E50="",Results!E8=""),"",IF(AND(E50=Results!E8,Results!E8&lt;&gt;Games!$C$47),1,0))</f>
        <v/>
      </c>
      <c r="AM50" s="13" t="str">
        <f>IF(OR(F50="",Results!F8=""),"",IF(AND(F50=Results!F8,Results!F8&lt;&gt;Games!$C$48),1,0))</f>
        <v/>
      </c>
      <c r="AN50" s="13" t="str">
        <f>IF(OR(G50="",Results!G8=""),"",IF(AND(G50=Results!G8,Results!G8&lt;&gt;Games!$C$49),1,0))</f>
        <v/>
      </c>
      <c r="AO50" s="13" t="str">
        <f>IF(OR(H50="",Results!H8=""),"",IF(AND(H50=Results!H8,Results!H8&lt;&gt;Games!$C$50),1,0))</f>
        <v/>
      </c>
      <c r="AP50" s="13" t="str">
        <f>IF(OR(I50="",Results!I8=""),"",IF(AND(I50=Results!I8,Results!I8&lt;&gt;Games!$C$51),1,0))</f>
        <v/>
      </c>
      <c r="AQ50" s="13" t="str">
        <f>IF(OR(J50="",Results!J8=""),"",IF(AND(J50=Results!J8,Results!J8&lt;&gt;Games!$C$52),1,0))</f>
        <v/>
      </c>
      <c r="AR50" s="13" t="str">
        <f>IF(OR(K50="",Results!K8=""),"",IF(AND(K50=Results!K8,Results!K8&lt;&gt;Games!$C$53),1,0))</f>
        <v/>
      </c>
      <c r="AS50" s="13" t="str">
        <f>IF(OR(L50="",Results!L8=""),"",IF(AND(L50=Results!L8,Results!L8&lt;&gt;Games!$C$54),1,0))</f>
        <v/>
      </c>
      <c r="AT50" s="13" t="str">
        <f>IF(OR(M50="",Results!M8=""),"",IF(AND(M50=Results!M8,Results!M8&lt;&gt;Games!$C$55),1,0))</f>
        <v/>
      </c>
      <c r="AU50" s="13" t="str">
        <f>IF(OR(N50="",Results!N8=""),"",IF(AND(N50=Results!N8,Results!N8&lt;&gt;Games!$C$56),1,0))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IF(OR(B51="",Results!B8=""),"",IF(B51=Results!B8,1+IF(OR($O51=1,$P51=1,$Q51=1),1,0),0))</f>
        <v/>
      </c>
      <c r="T51" s="4" t="str">
        <f>IF(OR(C51="",Results!C8=""),"",IF(C51=Results!C8,1+IF(OR($O51=2,$P51=2,$Q51=2),1,0),0))</f>
        <v/>
      </c>
      <c r="U51" s="4" t="str">
        <f>IF(OR(D51="",Results!D8=""),"",IF(D51=Results!D8,1+IF(OR($O51=3,$P51=3,$Q51=3),1,0),0))</f>
        <v/>
      </c>
      <c r="V51" s="4" t="str">
        <f>IF(OR(E51="",Results!E8=""),"",IF(E51=Results!E8,1+IF(OR($O51=4,$P51=4,$Q51=4),1,0),0))</f>
        <v/>
      </c>
      <c r="W51" s="4" t="str">
        <f>IF(OR(F51="",Results!F8=""),"",IF(F51=Results!F8,1+IF(OR($O51=5,$P51=5,$Q51=5),1,0),0))</f>
        <v/>
      </c>
      <c r="X51" s="4" t="str">
        <f>IF(OR(G51="",Results!G8=""),"",IF(G51=Results!G8,1+IF(OR($O51=6,$P51=6,$Q51=6),1,0),0))</f>
        <v/>
      </c>
      <c r="Y51" s="4" t="str">
        <f>IF(OR(H51="",Results!H8=""),"",IF(H51=Results!H8,1+IF(OR($O51=7,$P51=7,$Q51=7),1,0),0))</f>
        <v/>
      </c>
      <c r="Z51" s="4" t="str">
        <f>IF(OR(I51="",Results!I8=""),"",IF(I51=Results!I8,1+IF(OR($O51=8,$P51=8,$Q51=8),1,0),0))</f>
        <v/>
      </c>
      <c r="AA51" s="4" t="str">
        <f>IF(OR(J51="",Results!J8=""),"",IF(J51=Results!J8,1+IF(OR($O51=9,$P51=9,$Q51=9),1,0),0))</f>
        <v/>
      </c>
      <c r="AB51" s="4" t="str">
        <f>IF(OR(K51="",Results!K8=""),"",IF(K51=Results!K8,1+IF(OR($O51=10,$P51=10,$Q51=10),1,0),0))</f>
        <v/>
      </c>
      <c r="AC51" s="4" t="str">
        <f>IF(OR(L51="",Results!L8=""),"",IF(L51=Results!L8,1+IF(OR($O51=11,$P51=11,$Q51=11),1,0),0))</f>
        <v/>
      </c>
      <c r="AD51" s="4" t="str">
        <f>IF(OR(M51="",Results!M8=""),"",IF(M51=Results!M8,1+IF(OR($O51=12,$P51=12,$Q51=12),1,0),0))</f>
        <v/>
      </c>
      <c r="AE51" s="4" t="str">
        <f>IF(OR(N51="",Results!N8=""),"",IF(N51=Results!N8,1+IF(OR($O51=13,$P51=13,$Q51=13),1,0),0))</f>
        <v/>
      </c>
      <c r="AF51" s="11">
        <f t="shared" si="2"/>
        <v>0</v>
      </c>
      <c r="AG51" s="4" t="str">
        <f>IF(OR($R51="",Results!O8=""),"",ABS($R51-Results!O8))</f>
        <v/>
      </c>
      <c r="AH51" s="12">
        <v>42</v>
      </c>
      <c r="AI51" s="13" t="str">
        <f>IF(OR(B51="",Results!B8=""),"",IF(AND(B51=Results!B8,Results!B8&lt;&gt;Games!$C$44),1,0))</f>
        <v/>
      </c>
      <c r="AJ51" s="13" t="str">
        <f>IF(OR(C51="",Results!C8=""),"",IF(AND(C51=Results!C8,Results!C8&lt;&gt;Games!$C$45),1,0))</f>
        <v/>
      </c>
      <c r="AK51" s="13" t="str">
        <f>IF(OR(D51="",Results!D8=""),"",IF(AND(D51=Results!D8,Results!D8&lt;&gt;Games!$C$46),1,0))</f>
        <v/>
      </c>
      <c r="AL51" s="13" t="str">
        <f>IF(OR(E51="",Results!E8=""),"",IF(AND(E51=Results!E8,Results!E8&lt;&gt;Games!$C$47),1,0))</f>
        <v/>
      </c>
      <c r="AM51" s="13" t="str">
        <f>IF(OR(F51="",Results!F8=""),"",IF(AND(F51=Results!F8,Results!F8&lt;&gt;Games!$C$48),1,0))</f>
        <v/>
      </c>
      <c r="AN51" s="13" t="str">
        <f>IF(OR(G51="",Results!G8=""),"",IF(AND(G51=Results!G8,Results!G8&lt;&gt;Games!$C$49),1,0))</f>
        <v/>
      </c>
      <c r="AO51" s="13" t="str">
        <f>IF(OR(H51="",Results!H8=""),"",IF(AND(H51=Results!H8,Results!H8&lt;&gt;Games!$C$50),1,0))</f>
        <v/>
      </c>
      <c r="AP51" s="13" t="str">
        <f>IF(OR(I51="",Results!I8=""),"",IF(AND(I51=Results!I8,Results!I8&lt;&gt;Games!$C$51),1,0))</f>
        <v/>
      </c>
      <c r="AQ51" s="13" t="str">
        <f>IF(OR(J51="",Results!J8=""),"",IF(AND(J51=Results!J8,Results!J8&lt;&gt;Games!$C$52),1,0))</f>
        <v/>
      </c>
      <c r="AR51" s="13" t="str">
        <f>IF(OR(K51="",Results!K8=""),"",IF(AND(K51=Results!K8,Results!K8&lt;&gt;Games!$C$53),1,0))</f>
        <v/>
      </c>
      <c r="AS51" s="13" t="str">
        <f>IF(OR(L51="",Results!L8=""),"",IF(AND(L51=Results!L8,Results!L8&lt;&gt;Games!$C$54),1,0))</f>
        <v/>
      </c>
      <c r="AT51" s="13" t="str">
        <f>IF(OR(M51="",Results!M8=""),"",IF(AND(M51=Results!M8,Results!M8&lt;&gt;Games!$C$55),1,0))</f>
        <v/>
      </c>
      <c r="AU51" s="13" t="str">
        <f>IF(OR(N51="",Results!N8=""),"",IF(AND(N51=Results!N8,Results!N8&lt;&gt;Games!$C$56),1,0))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 t="str">
        <f>IF(OR(B52="",Results!B8=""),"",IF(B52=Results!B8,1+IF(OR($O52=1,$P52=1,$Q52=1),1,0),0))</f>
        <v/>
      </c>
      <c r="T52" s="4" t="str">
        <f>IF(OR(C52="",Results!C8=""),"",IF(C52=Results!C8,1+IF(OR($O52=2,$P52=2,$Q52=2),1,0),0))</f>
        <v/>
      </c>
      <c r="U52" s="4" t="str">
        <f>IF(OR(D52="",Results!D8=""),"",IF(D52=Results!D8,1+IF(OR($O52=3,$P52=3,$Q52=3),1,0),0))</f>
        <v/>
      </c>
      <c r="V52" s="4" t="str">
        <f>IF(OR(E52="",Results!E8=""),"",IF(E52=Results!E8,1+IF(OR($O52=4,$P52=4,$Q52=4),1,0),0))</f>
        <v/>
      </c>
      <c r="W52" s="4" t="str">
        <f>IF(OR(F52="",Results!F8=""),"",IF(F52=Results!F8,1+IF(OR($O52=5,$P52=5,$Q52=5),1,0),0))</f>
        <v/>
      </c>
      <c r="X52" s="4" t="str">
        <f>IF(OR(G52="",Results!G8=""),"",IF(G52=Results!G8,1+IF(OR($O52=6,$P52=6,$Q52=6),1,0),0))</f>
        <v/>
      </c>
      <c r="Y52" s="4" t="str">
        <f>IF(OR(H52="",Results!H8=""),"",IF(H52=Results!H8,1+IF(OR($O52=7,$P52=7,$Q52=7),1,0),0))</f>
        <v/>
      </c>
      <c r="Z52" s="4" t="str">
        <f>IF(OR(I52="",Results!I8=""),"",IF(I52=Results!I8,1+IF(OR($O52=8,$P52=8,$Q52=8),1,0),0))</f>
        <v/>
      </c>
      <c r="AA52" s="4" t="str">
        <f>IF(OR(J52="",Results!J8=""),"",IF(J52=Results!J8,1+IF(OR($O52=9,$P52=9,$Q52=9),1,0),0))</f>
        <v/>
      </c>
      <c r="AB52" s="4" t="str">
        <f>IF(OR(K52="",Results!K8=""),"",IF(K52=Results!K8,1+IF(OR($O52=10,$P52=10,$Q52=10),1,0),0))</f>
        <v/>
      </c>
      <c r="AC52" s="4" t="str">
        <f>IF(OR(L52="",Results!L8=""),"",IF(L52=Results!L8,1+IF(OR($O52=11,$P52=11,$Q52=11),1,0),0))</f>
        <v/>
      </c>
      <c r="AD52" s="4" t="str">
        <f>IF(OR(M52="",Results!M8=""),"",IF(M52=Results!M8,1+IF(OR($O52=12,$P52=12,$Q52=12),1,0),0))</f>
        <v/>
      </c>
      <c r="AE52" s="4" t="str">
        <f>IF(OR(N52="",Results!N8=""),"",IF(N52=Results!N8,1+IF(OR($O52=13,$P52=13,$Q52=13),1,0),0))</f>
        <v/>
      </c>
      <c r="AF52" s="11">
        <f t="shared" si="2"/>
        <v>0</v>
      </c>
      <c r="AG52" s="4" t="str">
        <f>IF(OR($R52="",Results!O8=""),"",ABS($R52-Results!O8))</f>
        <v/>
      </c>
      <c r="AH52" s="12">
        <v>27</v>
      </c>
      <c r="AI52" s="13" t="str">
        <f>IF(OR(B52="",Results!B8=""),"",IF(AND(B52=Results!B8,Results!B8&lt;&gt;Games!$C$44),1,0))</f>
        <v/>
      </c>
      <c r="AJ52" s="13" t="str">
        <f>IF(OR(C52="",Results!C8=""),"",IF(AND(C52=Results!C8,Results!C8&lt;&gt;Games!$C$45),1,0))</f>
        <v/>
      </c>
      <c r="AK52" s="13" t="str">
        <f>IF(OR(D52="",Results!D8=""),"",IF(AND(D52=Results!D8,Results!D8&lt;&gt;Games!$C$46),1,0))</f>
        <v/>
      </c>
      <c r="AL52" s="13" t="str">
        <f>IF(OR(E52="",Results!E8=""),"",IF(AND(E52=Results!E8,Results!E8&lt;&gt;Games!$C$47),1,0))</f>
        <v/>
      </c>
      <c r="AM52" s="13" t="str">
        <f>IF(OR(F52="",Results!F8=""),"",IF(AND(F52=Results!F8,Results!F8&lt;&gt;Games!$C$48),1,0))</f>
        <v/>
      </c>
      <c r="AN52" s="13" t="str">
        <f>IF(OR(G52="",Results!G8=""),"",IF(AND(G52=Results!G8,Results!G8&lt;&gt;Games!$C$49),1,0))</f>
        <v/>
      </c>
      <c r="AO52" s="13" t="str">
        <f>IF(OR(H52="",Results!H8=""),"",IF(AND(H52=Results!H8,Results!H8&lt;&gt;Games!$C$50),1,0))</f>
        <v/>
      </c>
      <c r="AP52" s="13" t="str">
        <f>IF(OR(I52="",Results!I8=""),"",IF(AND(I52=Results!I8,Results!I8&lt;&gt;Games!$C$51),1,0))</f>
        <v/>
      </c>
      <c r="AQ52" s="13" t="str">
        <f>IF(OR(J52="",Results!J8=""),"",IF(AND(J52=Results!J8,Results!J8&lt;&gt;Games!$C$52),1,0))</f>
        <v/>
      </c>
      <c r="AR52" s="13" t="str">
        <f>IF(OR(K52="",Results!K8=""),"",IF(AND(K52=Results!K8,Results!K8&lt;&gt;Games!$C$53),1,0))</f>
        <v/>
      </c>
      <c r="AS52" s="13" t="str">
        <f>IF(OR(L52="",Results!L8=""),"",IF(AND(L52=Results!L8,Results!L8&lt;&gt;Games!$C$54),1,0))</f>
        <v/>
      </c>
      <c r="AT52" s="13" t="str">
        <f>IF(OR(M52="",Results!M8=""),"",IF(AND(M52=Results!M8,Results!M8&lt;&gt;Games!$C$55),1,0))</f>
        <v/>
      </c>
      <c r="AU52" s="13" t="str">
        <f>IF(OR(N52="",Results!N8=""),"",IF(AND(N52=Results!N8,Results!N8&lt;&gt;Games!$C$56),1,0))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IF(OR(B53="",Results!B8=""),"",IF(B53=Results!B8,1+IF(OR($O53=1,$P53=1,$Q53=1),1,0),0))</f>
        <v/>
      </c>
      <c r="T53" s="4" t="str">
        <f>IF(OR(C53="",Results!C8=""),"",IF(C53=Results!C8,1+IF(OR($O53=2,$P53=2,$Q53=2),1,0),0))</f>
        <v/>
      </c>
      <c r="U53" s="4" t="str">
        <f>IF(OR(D53="",Results!D8=""),"",IF(D53=Results!D8,1+IF(OR($O53=3,$P53=3,$Q53=3),1,0),0))</f>
        <v/>
      </c>
      <c r="V53" s="4" t="str">
        <f>IF(OR(E53="",Results!E8=""),"",IF(E53=Results!E8,1+IF(OR($O53=4,$P53=4,$Q53=4),1,0),0))</f>
        <v/>
      </c>
      <c r="W53" s="4" t="str">
        <f>IF(OR(F53="",Results!F8=""),"",IF(F53=Results!F8,1+IF(OR($O53=5,$P53=5,$Q53=5),1,0),0))</f>
        <v/>
      </c>
      <c r="X53" s="4" t="str">
        <f>IF(OR(G53="",Results!G8=""),"",IF(G53=Results!G8,1+IF(OR($O53=6,$P53=6,$Q53=6),1,0),0))</f>
        <v/>
      </c>
      <c r="Y53" s="4" t="str">
        <f>IF(OR(H53="",Results!H8=""),"",IF(H53=Results!H8,1+IF(OR($O53=7,$P53=7,$Q53=7),1,0),0))</f>
        <v/>
      </c>
      <c r="Z53" s="4" t="str">
        <f>IF(OR(I53="",Results!I8=""),"",IF(I53=Results!I8,1+IF(OR($O53=8,$P53=8,$Q53=8),1,0),0))</f>
        <v/>
      </c>
      <c r="AA53" s="4" t="str">
        <f>IF(OR(J53="",Results!J8=""),"",IF(J53=Results!J8,1+IF(OR($O53=9,$P53=9,$Q53=9),1,0),0))</f>
        <v/>
      </c>
      <c r="AB53" s="4" t="str">
        <f>IF(OR(K53="",Results!K8=""),"",IF(K53=Results!K8,1+IF(OR($O53=10,$P53=10,$Q53=10),1,0),0))</f>
        <v/>
      </c>
      <c r="AC53" s="4" t="str">
        <f>IF(OR(L53="",Results!L8=""),"",IF(L53=Results!L8,1+IF(OR($O53=11,$P53=11,$Q53=11),1,0),0))</f>
        <v/>
      </c>
      <c r="AD53" s="4" t="str">
        <f>IF(OR(M53="",Results!M8=""),"",IF(M53=Results!M8,1+IF(OR($O53=12,$P53=12,$Q53=12),1,0),0))</f>
        <v/>
      </c>
      <c r="AE53" s="4" t="str">
        <f>IF(OR(N53="",Results!N8=""),"",IF(N53=Results!N8,1+IF(OR($O53=13,$P53=13,$Q53=13),1,0),0))</f>
        <v/>
      </c>
      <c r="AF53" s="11">
        <f t="shared" si="2"/>
        <v>0</v>
      </c>
      <c r="AG53" s="4" t="str">
        <f>IF(OR($R53="",Results!O8=""),"",ABS($R53-Results!O8))</f>
        <v/>
      </c>
      <c r="AH53" s="12">
        <v>35</v>
      </c>
      <c r="AI53" s="13" t="str">
        <f>IF(OR(B53="",Results!B8=""),"",IF(AND(B53=Results!B8,Results!B8&lt;&gt;Games!$C$44),1,0))</f>
        <v/>
      </c>
      <c r="AJ53" s="13" t="str">
        <f>IF(OR(C53="",Results!C8=""),"",IF(AND(C53=Results!C8,Results!C8&lt;&gt;Games!$C$45),1,0))</f>
        <v/>
      </c>
      <c r="AK53" s="13" t="str">
        <f>IF(OR(D53="",Results!D8=""),"",IF(AND(D53=Results!D8,Results!D8&lt;&gt;Games!$C$46),1,0))</f>
        <v/>
      </c>
      <c r="AL53" s="13" t="str">
        <f>IF(OR(E53="",Results!E8=""),"",IF(AND(E53=Results!E8,Results!E8&lt;&gt;Games!$C$47),1,0))</f>
        <v/>
      </c>
      <c r="AM53" s="13" t="str">
        <f>IF(OR(F53="",Results!F8=""),"",IF(AND(F53=Results!F8,Results!F8&lt;&gt;Games!$C$48),1,0))</f>
        <v/>
      </c>
      <c r="AN53" s="13" t="str">
        <f>IF(OR(G53="",Results!G8=""),"",IF(AND(G53=Results!G8,Results!G8&lt;&gt;Games!$C$49),1,0))</f>
        <v/>
      </c>
      <c r="AO53" s="13" t="str">
        <f>IF(OR(H53="",Results!H8=""),"",IF(AND(H53=Results!H8,Results!H8&lt;&gt;Games!$C$50),1,0))</f>
        <v/>
      </c>
      <c r="AP53" s="13" t="str">
        <f>IF(OR(I53="",Results!I8=""),"",IF(AND(I53=Results!I8,Results!I8&lt;&gt;Games!$C$51),1,0))</f>
        <v/>
      </c>
      <c r="AQ53" s="13" t="str">
        <f>IF(OR(J53="",Results!J8=""),"",IF(AND(J53=Results!J8,Results!J8&lt;&gt;Games!$C$52),1,0))</f>
        <v/>
      </c>
      <c r="AR53" s="13" t="str">
        <f>IF(OR(K53="",Results!K8=""),"",IF(AND(K53=Results!K8,Results!K8&lt;&gt;Games!$C$53),1,0))</f>
        <v/>
      </c>
      <c r="AS53" s="13" t="str">
        <f>IF(OR(L53="",Results!L8=""),"",IF(AND(L53=Results!L8,Results!L8&lt;&gt;Games!$C$54),1,0))</f>
        <v/>
      </c>
      <c r="AT53" s="13" t="str">
        <f>IF(OR(M53="",Results!M8=""),"",IF(AND(M53=Results!M8,Results!M8&lt;&gt;Games!$C$55),1,0))</f>
        <v/>
      </c>
      <c r="AU53" s="13" t="str">
        <f>IF(OR(N53="",Results!N8=""),"",IF(AND(N53=Results!N8,Results!N8&lt;&gt;Games!$C$56),1,0))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 t="str">
        <f>IF(OR(B54="",Results!B8=""),"",IF(B54=Results!B8,1+IF(OR($O54=1,$P54=1,$Q54=1),1,0),0))</f>
        <v/>
      </c>
      <c r="T54" s="4" t="str">
        <f>IF(OR(C54="",Results!C8=""),"",IF(C54=Results!C8,1+IF(OR($O54=2,$P54=2,$Q54=2),1,0),0))</f>
        <v/>
      </c>
      <c r="U54" s="4" t="str">
        <f>IF(OR(D54="",Results!D8=""),"",IF(D54=Results!D8,1+IF(OR($O54=3,$P54=3,$Q54=3),1,0),0))</f>
        <v/>
      </c>
      <c r="V54" s="4" t="str">
        <f>IF(OR(E54="",Results!E8=""),"",IF(E54=Results!E8,1+IF(OR($O54=4,$P54=4,$Q54=4),1,0),0))</f>
        <v/>
      </c>
      <c r="W54" s="4" t="str">
        <f>IF(OR(F54="",Results!F8=""),"",IF(F54=Results!F8,1+IF(OR($O54=5,$P54=5,$Q54=5),1,0),0))</f>
        <v/>
      </c>
      <c r="X54" s="4" t="str">
        <f>IF(OR(G54="",Results!G8=""),"",IF(G54=Results!G8,1+IF(OR($O54=6,$P54=6,$Q54=6),1,0),0))</f>
        <v/>
      </c>
      <c r="Y54" s="4" t="str">
        <f>IF(OR(H54="",Results!H8=""),"",IF(H54=Results!H8,1+IF(OR($O54=7,$P54=7,$Q54=7),1,0),0))</f>
        <v/>
      </c>
      <c r="Z54" s="4" t="str">
        <f>IF(OR(I54="",Results!I8=""),"",IF(I54=Results!I8,1+IF(OR($O54=8,$P54=8,$Q54=8),1,0),0))</f>
        <v/>
      </c>
      <c r="AA54" s="4" t="str">
        <f>IF(OR(J54="",Results!J8=""),"",IF(J54=Results!J8,1+IF(OR($O54=9,$P54=9,$Q54=9),1,0),0))</f>
        <v/>
      </c>
      <c r="AB54" s="4" t="str">
        <f>IF(OR(K54="",Results!K8=""),"",IF(K54=Results!K8,1+IF(OR($O54=10,$P54=10,$Q54=10),1,0),0))</f>
        <v/>
      </c>
      <c r="AC54" s="4" t="str">
        <f>IF(OR(L54="",Results!L8=""),"",IF(L54=Results!L8,1+IF(OR($O54=11,$P54=11,$Q54=11),1,0),0))</f>
        <v/>
      </c>
      <c r="AD54" s="4" t="str">
        <f>IF(OR(M54="",Results!M8=""),"",IF(M54=Results!M8,1+IF(OR($O54=12,$P54=12,$Q54=12),1,0),0))</f>
        <v/>
      </c>
      <c r="AE54" s="4" t="str">
        <f>IF(OR(N54="",Results!N8=""),"",IF(N54=Results!N8,1+IF(OR($O54=13,$P54=13,$Q54=13),1,0),0))</f>
        <v/>
      </c>
      <c r="AF54" s="11">
        <f t="shared" si="2"/>
        <v>0</v>
      </c>
      <c r="AG54" s="4" t="str">
        <f>IF(OR($R54="",Results!O8=""),"",ABS($R54-Results!O8))</f>
        <v/>
      </c>
      <c r="AH54" s="12">
        <v>43</v>
      </c>
      <c r="AI54" s="13" t="str">
        <f>IF(OR(B54="",Results!B8=""),"",IF(AND(B54=Results!B8,Results!B8&lt;&gt;Games!$C$44),1,0))</f>
        <v/>
      </c>
      <c r="AJ54" s="13" t="str">
        <f>IF(OR(C54="",Results!C8=""),"",IF(AND(C54=Results!C8,Results!C8&lt;&gt;Games!$C$45),1,0))</f>
        <v/>
      </c>
      <c r="AK54" s="13" t="str">
        <f>IF(OR(D54="",Results!D8=""),"",IF(AND(D54=Results!D8,Results!D8&lt;&gt;Games!$C$46),1,0))</f>
        <v/>
      </c>
      <c r="AL54" s="13" t="str">
        <f>IF(OR(E54="",Results!E8=""),"",IF(AND(E54=Results!E8,Results!E8&lt;&gt;Games!$C$47),1,0))</f>
        <v/>
      </c>
      <c r="AM54" s="13" t="str">
        <f>IF(OR(F54="",Results!F8=""),"",IF(AND(F54=Results!F8,Results!F8&lt;&gt;Games!$C$48),1,0))</f>
        <v/>
      </c>
      <c r="AN54" s="13" t="str">
        <f>IF(OR(G54="",Results!G8=""),"",IF(AND(G54=Results!G8,Results!G8&lt;&gt;Games!$C$49),1,0))</f>
        <v/>
      </c>
      <c r="AO54" s="13" t="str">
        <f>IF(OR(H54="",Results!H8=""),"",IF(AND(H54=Results!H8,Results!H8&lt;&gt;Games!$C$50),1,0))</f>
        <v/>
      </c>
      <c r="AP54" s="13" t="str">
        <f>IF(OR(I54="",Results!I8=""),"",IF(AND(I54=Results!I8,Results!I8&lt;&gt;Games!$C$51),1,0))</f>
        <v/>
      </c>
      <c r="AQ54" s="13" t="str">
        <f>IF(OR(J54="",Results!J8=""),"",IF(AND(J54=Results!J8,Results!J8&lt;&gt;Games!$C$52),1,0))</f>
        <v/>
      </c>
      <c r="AR54" s="13" t="str">
        <f>IF(OR(K54="",Results!K8=""),"",IF(AND(K54=Results!K8,Results!K8&lt;&gt;Games!$C$53),1,0))</f>
        <v/>
      </c>
      <c r="AS54" s="13" t="str">
        <f>IF(OR(L54="",Results!L8=""),"",IF(AND(L54=Results!L8,Results!L8&lt;&gt;Games!$C$54),1,0))</f>
        <v/>
      </c>
      <c r="AT54" s="13" t="str">
        <f>IF(OR(M54="",Results!M8=""),"",IF(AND(M54=Results!M8,Results!M8&lt;&gt;Games!$C$55),1,0))</f>
        <v/>
      </c>
      <c r="AU54" s="13" t="str">
        <f>IF(OR(N54="",Results!N8=""),"",IF(AND(N54=Results!N8,Results!N8&lt;&gt;Games!$C$56),1,0))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IF(OR(B55="",Results!B8=""),"",IF(B55=Results!B8,1+IF(OR($O55=1,$P55=1,$Q55=1),1,0),0))</f>
        <v/>
      </c>
      <c r="T55" s="4" t="str">
        <f>IF(OR(C55="",Results!C8=""),"",IF(C55=Results!C8,1+IF(OR($O55=2,$P55=2,$Q55=2),1,0),0))</f>
        <v/>
      </c>
      <c r="U55" s="4" t="str">
        <f>IF(OR(D55="",Results!D8=""),"",IF(D55=Results!D8,1+IF(OR($O55=3,$P55=3,$Q55=3),1,0),0))</f>
        <v/>
      </c>
      <c r="V55" s="4" t="str">
        <f>IF(OR(E55="",Results!E8=""),"",IF(E55=Results!E8,1+IF(OR($O55=4,$P55=4,$Q55=4),1,0),0))</f>
        <v/>
      </c>
      <c r="W55" s="4" t="str">
        <f>IF(OR(F55="",Results!F8=""),"",IF(F55=Results!F8,1+IF(OR($O55=5,$P55=5,$Q55=5),1,0),0))</f>
        <v/>
      </c>
      <c r="X55" s="4" t="str">
        <f>IF(OR(G55="",Results!G8=""),"",IF(G55=Results!G8,1+IF(OR($O55=6,$P55=6,$Q55=6),1,0),0))</f>
        <v/>
      </c>
      <c r="Y55" s="4" t="str">
        <f>IF(OR(H55="",Results!H8=""),"",IF(H55=Results!H8,1+IF(OR($O55=7,$P55=7,$Q55=7),1,0),0))</f>
        <v/>
      </c>
      <c r="Z55" s="4" t="str">
        <f>IF(OR(I55="",Results!I8=""),"",IF(I55=Results!I8,1+IF(OR($O55=8,$P55=8,$Q55=8),1,0),0))</f>
        <v/>
      </c>
      <c r="AA55" s="4" t="str">
        <f>IF(OR(J55="",Results!J8=""),"",IF(J55=Results!J8,1+IF(OR($O55=9,$P55=9,$Q55=9),1,0),0))</f>
        <v/>
      </c>
      <c r="AB55" s="4" t="str">
        <f>IF(OR(K55="",Results!K8=""),"",IF(K55=Results!K8,1+IF(OR($O55=10,$P55=10,$Q55=10),1,0),0))</f>
        <v/>
      </c>
      <c r="AC55" s="4" t="str">
        <f>IF(OR(L55="",Results!L8=""),"",IF(L55=Results!L8,1+IF(OR($O55=11,$P55=11,$Q55=11),1,0),0))</f>
        <v/>
      </c>
      <c r="AD55" s="4" t="str">
        <f>IF(OR(M55="",Results!M8=""),"",IF(M55=Results!M8,1+IF(OR($O55=12,$P55=12,$Q55=12),1,0),0))</f>
        <v/>
      </c>
      <c r="AE55" s="4" t="str">
        <f>IF(OR(N55="",Results!N8=""),"",IF(N55=Results!N8,1+IF(OR($O55=13,$P55=13,$Q55=13),1,0),0))</f>
        <v/>
      </c>
      <c r="AF55" s="11">
        <f t="shared" si="2"/>
        <v>0</v>
      </c>
      <c r="AG55" s="4" t="str">
        <f>IF(OR($R55="",Results!O8=""),"",ABS($R55-Results!O8))</f>
        <v/>
      </c>
      <c r="AH55" s="12">
        <v>44</v>
      </c>
      <c r="AI55" s="13" t="str">
        <f>IF(OR(B55="",Results!B8=""),"",IF(AND(B55=Results!B8,Results!B8&lt;&gt;Games!$C$44),1,0))</f>
        <v/>
      </c>
      <c r="AJ55" s="13" t="str">
        <f>IF(OR(C55="",Results!C8=""),"",IF(AND(C55=Results!C8,Results!C8&lt;&gt;Games!$C$45),1,0))</f>
        <v/>
      </c>
      <c r="AK55" s="13" t="str">
        <f>IF(OR(D55="",Results!D8=""),"",IF(AND(D55=Results!D8,Results!D8&lt;&gt;Games!$C$46),1,0))</f>
        <v/>
      </c>
      <c r="AL55" s="13" t="str">
        <f>IF(OR(E55="",Results!E8=""),"",IF(AND(E55=Results!E8,Results!E8&lt;&gt;Games!$C$47),1,0))</f>
        <v/>
      </c>
      <c r="AM55" s="13" t="str">
        <f>IF(OR(F55="",Results!F8=""),"",IF(AND(F55=Results!F8,Results!F8&lt;&gt;Games!$C$48),1,0))</f>
        <v/>
      </c>
      <c r="AN55" s="13" t="str">
        <f>IF(OR(G55="",Results!G8=""),"",IF(AND(G55=Results!G8,Results!G8&lt;&gt;Games!$C$49),1,0))</f>
        <v/>
      </c>
      <c r="AO55" s="13" t="str">
        <f>IF(OR(H55="",Results!H8=""),"",IF(AND(H55=Results!H8,Results!H8&lt;&gt;Games!$C$50),1,0))</f>
        <v/>
      </c>
      <c r="AP55" s="13" t="str">
        <f>IF(OR(I55="",Results!I8=""),"",IF(AND(I55=Results!I8,Results!I8&lt;&gt;Games!$C$51),1,0))</f>
        <v/>
      </c>
      <c r="AQ55" s="13" t="str">
        <f>IF(OR(J55="",Results!J8=""),"",IF(AND(J55=Results!J8,Results!J8&lt;&gt;Games!$C$52),1,0))</f>
        <v/>
      </c>
      <c r="AR55" s="13" t="str">
        <f>IF(OR(K55="",Results!K8=""),"",IF(AND(K55=Results!K8,Results!K8&lt;&gt;Games!$C$53),1,0))</f>
        <v/>
      </c>
      <c r="AS55" s="13" t="str">
        <f>IF(OR(L55="",Results!L8=""),"",IF(AND(L55=Results!L8,Results!L8&lt;&gt;Games!$C$54),1,0))</f>
        <v/>
      </c>
      <c r="AT55" s="13" t="str">
        <f>IF(OR(M55="",Results!M8=""),"",IF(AND(M55=Results!M8,Results!M8&lt;&gt;Games!$C$55),1,0))</f>
        <v/>
      </c>
      <c r="AU55" s="13" t="str">
        <f>IF(OR(N55="",Results!N8=""),"",IF(AND(N55=Results!N8,Results!N8&lt;&gt;Games!$C$56),1,0))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IF(OR(B56="",Results!B8=""),"",IF(B56=Results!B8,1+IF(OR($O56=1,$P56=1,$Q56=1),1,0),0))</f>
        <v/>
      </c>
      <c r="T56" s="4" t="str">
        <f>IF(OR(C56="",Results!C8=""),"",IF(C56=Results!C8,1+IF(OR($O56=2,$P56=2,$Q56=2),1,0),0))</f>
        <v/>
      </c>
      <c r="U56" s="4" t="str">
        <f>IF(OR(D56="",Results!D8=""),"",IF(D56=Results!D8,1+IF(OR($O56=3,$P56=3,$Q56=3),1,0),0))</f>
        <v/>
      </c>
      <c r="V56" s="4" t="str">
        <f>IF(OR(E56="",Results!E8=""),"",IF(E56=Results!E8,1+IF(OR($O56=4,$P56=4,$Q56=4),1,0),0))</f>
        <v/>
      </c>
      <c r="W56" s="4" t="str">
        <f>IF(OR(F56="",Results!F8=""),"",IF(F56=Results!F8,1+IF(OR($O56=5,$P56=5,$Q56=5),1,0),0))</f>
        <v/>
      </c>
      <c r="X56" s="4" t="str">
        <f>IF(OR(G56="",Results!G8=""),"",IF(G56=Results!G8,1+IF(OR($O56=6,$P56=6,$Q56=6),1,0),0))</f>
        <v/>
      </c>
      <c r="Y56" s="4" t="str">
        <f>IF(OR(H56="",Results!H8=""),"",IF(H56=Results!H8,1+IF(OR($O56=7,$P56=7,$Q56=7),1,0),0))</f>
        <v/>
      </c>
      <c r="Z56" s="4" t="str">
        <f>IF(OR(I56="",Results!I8=""),"",IF(I56=Results!I8,1+IF(OR($O56=8,$P56=8,$Q56=8),1,0),0))</f>
        <v/>
      </c>
      <c r="AA56" s="4" t="str">
        <f>IF(OR(J56="",Results!J8=""),"",IF(J56=Results!J8,1+IF(OR($O56=9,$P56=9,$Q56=9),1,0),0))</f>
        <v/>
      </c>
      <c r="AB56" s="4" t="str">
        <f>IF(OR(K56="",Results!K8=""),"",IF(K56=Results!K8,1+IF(OR($O56=10,$P56=10,$Q56=10),1,0),0))</f>
        <v/>
      </c>
      <c r="AC56" s="4" t="str">
        <f>IF(OR(L56="",Results!L8=""),"",IF(L56=Results!L8,1+IF(OR($O56=11,$P56=11,$Q56=11),1,0),0))</f>
        <v/>
      </c>
      <c r="AD56" s="4" t="str">
        <f>IF(OR(M56="",Results!M8=""),"",IF(M56=Results!M8,1+IF(OR($O56=12,$P56=12,$Q56=12),1,0),0))</f>
        <v/>
      </c>
      <c r="AE56" s="4" t="str">
        <f>IF(OR(N56="",Results!N8=""),"",IF(N56=Results!N8,1+IF(OR($O56=13,$P56=13,$Q56=13),1,0),0))</f>
        <v/>
      </c>
      <c r="AF56" s="11">
        <f t="shared" si="2"/>
        <v>0</v>
      </c>
      <c r="AG56" s="4" t="str">
        <f>IF(OR($R56="",Results!O8=""),"",ABS($R56-Results!O8))</f>
        <v/>
      </c>
      <c r="AH56" s="12">
        <v>59</v>
      </c>
      <c r="AI56" s="13" t="str">
        <f>IF(OR(B56="",Results!B8=""),"",IF(AND(B56=Results!B8,Results!B8&lt;&gt;Games!$C$44),1,0))</f>
        <v/>
      </c>
      <c r="AJ56" s="13" t="str">
        <f>IF(OR(C56="",Results!C8=""),"",IF(AND(C56=Results!C8,Results!C8&lt;&gt;Games!$C$45),1,0))</f>
        <v/>
      </c>
      <c r="AK56" s="13" t="str">
        <f>IF(OR(D56="",Results!D8=""),"",IF(AND(D56=Results!D8,Results!D8&lt;&gt;Games!$C$46),1,0))</f>
        <v/>
      </c>
      <c r="AL56" s="13" t="str">
        <f>IF(OR(E56="",Results!E8=""),"",IF(AND(E56=Results!E8,Results!E8&lt;&gt;Games!$C$47),1,0))</f>
        <v/>
      </c>
      <c r="AM56" s="13" t="str">
        <f>IF(OR(F56="",Results!F8=""),"",IF(AND(F56=Results!F8,Results!F8&lt;&gt;Games!$C$48),1,0))</f>
        <v/>
      </c>
      <c r="AN56" s="13" t="str">
        <f>IF(OR(G56="",Results!G8=""),"",IF(AND(G56=Results!G8,Results!G8&lt;&gt;Games!$C$49),1,0))</f>
        <v/>
      </c>
      <c r="AO56" s="13" t="str">
        <f>IF(OR(H56="",Results!H8=""),"",IF(AND(H56=Results!H8,Results!H8&lt;&gt;Games!$C$50),1,0))</f>
        <v/>
      </c>
      <c r="AP56" s="13" t="str">
        <f>IF(OR(I56="",Results!I8=""),"",IF(AND(I56=Results!I8,Results!I8&lt;&gt;Games!$C$51),1,0))</f>
        <v/>
      </c>
      <c r="AQ56" s="13" t="str">
        <f>IF(OR(J56="",Results!J8=""),"",IF(AND(J56=Results!J8,Results!J8&lt;&gt;Games!$C$52),1,0))</f>
        <v/>
      </c>
      <c r="AR56" s="13" t="str">
        <f>IF(OR(K56="",Results!K8=""),"",IF(AND(K56=Results!K8,Results!K8&lt;&gt;Games!$C$53),1,0))</f>
        <v/>
      </c>
      <c r="AS56" s="13" t="str">
        <f>IF(OR(L56="",Results!L8=""),"",IF(AND(L56=Results!L8,Results!L8&lt;&gt;Games!$C$54),1,0))</f>
        <v/>
      </c>
      <c r="AT56" s="13" t="str">
        <f>IF(OR(M56="",Results!M8=""),"",IF(AND(M56=Results!M8,Results!M8&lt;&gt;Games!$C$55),1,0))</f>
        <v/>
      </c>
      <c r="AU56" s="13" t="str">
        <f>IF(OR(N56="",Results!N8=""),"",IF(AND(N56=Results!N8,Results!N8&lt;&gt;Games!$C$56),1,0))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tr">
        <f>IF(OR(B57="",Results!B8=""),"",IF(B57=Results!B8,1+IF(OR($O57=1,$P57=1,$Q57=1),1,0),0))</f>
        <v/>
      </c>
      <c r="T57" s="4" t="str">
        <f>IF(OR(C57="",Results!C8=""),"",IF(C57=Results!C8,1+IF(OR($O57=2,$P57=2,$Q57=2),1,0),0))</f>
        <v/>
      </c>
      <c r="U57" s="4" t="str">
        <f>IF(OR(D57="",Results!D8=""),"",IF(D57=Results!D8,1+IF(OR($O57=3,$P57=3,$Q57=3),1,0),0))</f>
        <v/>
      </c>
      <c r="V57" s="4" t="str">
        <f>IF(OR(E57="",Results!E8=""),"",IF(E57=Results!E8,1+IF(OR($O57=4,$P57=4,$Q57=4),1,0),0))</f>
        <v/>
      </c>
      <c r="W57" s="4" t="str">
        <f>IF(OR(F57="",Results!F8=""),"",IF(F57=Results!F8,1+IF(OR($O57=5,$P57=5,$Q57=5),1,0),0))</f>
        <v/>
      </c>
      <c r="X57" s="4" t="str">
        <f>IF(OR(G57="",Results!G8=""),"",IF(G57=Results!G8,1+IF(OR($O57=6,$P57=6,$Q57=6),1,0),0))</f>
        <v/>
      </c>
      <c r="Y57" s="4" t="str">
        <f>IF(OR(H57="",Results!H8=""),"",IF(H57=Results!H8,1+IF(OR($O57=7,$P57=7,$Q57=7),1,0),0))</f>
        <v/>
      </c>
      <c r="Z57" s="4" t="str">
        <f>IF(OR(I57="",Results!I8=""),"",IF(I57=Results!I8,1+IF(OR($O57=8,$P57=8,$Q57=8),1,0),0))</f>
        <v/>
      </c>
      <c r="AA57" s="4" t="str">
        <f>IF(OR(J57="",Results!J8=""),"",IF(J57=Results!J8,1+IF(OR($O57=9,$P57=9,$Q57=9),1,0),0))</f>
        <v/>
      </c>
      <c r="AB57" s="4" t="str">
        <f>IF(OR(K57="",Results!K8=""),"",IF(K57=Results!K8,1+IF(OR($O57=10,$P57=10,$Q57=10),1,0),0))</f>
        <v/>
      </c>
      <c r="AC57" s="4" t="str">
        <f>IF(OR(L57="",Results!L8=""),"",IF(L57=Results!L8,1+IF(OR($O57=11,$P57=11,$Q57=11),1,0),0))</f>
        <v/>
      </c>
      <c r="AD57" s="4" t="str">
        <f>IF(OR(M57="",Results!M8=""),"",IF(M57=Results!M8,1+IF(OR($O57=12,$P57=12,$Q57=12),1,0),0))</f>
        <v/>
      </c>
      <c r="AE57" s="4" t="str">
        <f>IF(OR(N57="",Results!N8=""),"",IF(N57=Results!N8,1+IF(OR($O57=13,$P57=13,$Q57=13),1,0),0))</f>
        <v/>
      </c>
      <c r="AF57" s="11">
        <f t="shared" si="2"/>
        <v>0</v>
      </c>
      <c r="AG57" s="4" t="str">
        <f>IF(OR($R57="",Results!O8=""),"",ABS($R57-Results!O8))</f>
        <v/>
      </c>
      <c r="AH57" s="12">
        <v>28</v>
      </c>
      <c r="AI57" s="13" t="str">
        <f>IF(OR(B57="",Results!B8=""),"",IF(AND(B57=Results!B8,Results!B8&lt;&gt;Games!$C$44),1,0))</f>
        <v/>
      </c>
      <c r="AJ57" s="13" t="str">
        <f>IF(OR(C57="",Results!C8=""),"",IF(AND(C57=Results!C8,Results!C8&lt;&gt;Games!$C$45),1,0))</f>
        <v/>
      </c>
      <c r="AK57" s="13" t="str">
        <f>IF(OR(D57="",Results!D8=""),"",IF(AND(D57=Results!D8,Results!D8&lt;&gt;Games!$C$46),1,0))</f>
        <v/>
      </c>
      <c r="AL57" s="13" t="str">
        <f>IF(OR(E57="",Results!E8=""),"",IF(AND(E57=Results!E8,Results!E8&lt;&gt;Games!$C$47),1,0))</f>
        <v/>
      </c>
      <c r="AM57" s="13" t="str">
        <f>IF(OR(F57="",Results!F8=""),"",IF(AND(F57=Results!F8,Results!F8&lt;&gt;Games!$C$48),1,0))</f>
        <v/>
      </c>
      <c r="AN57" s="13" t="str">
        <f>IF(OR(G57="",Results!G8=""),"",IF(AND(G57=Results!G8,Results!G8&lt;&gt;Games!$C$49),1,0))</f>
        <v/>
      </c>
      <c r="AO57" s="13" t="str">
        <f>IF(OR(H57="",Results!H8=""),"",IF(AND(H57=Results!H8,Results!H8&lt;&gt;Games!$C$50),1,0))</f>
        <v/>
      </c>
      <c r="AP57" s="13" t="str">
        <f>IF(OR(I57="",Results!I8=""),"",IF(AND(I57=Results!I8,Results!I8&lt;&gt;Games!$C$51),1,0))</f>
        <v/>
      </c>
      <c r="AQ57" s="13" t="str">
        <f>IF(OR(J57="",Results!J8=""),"",IF(AND(J57=Results!J8,Results!J8&lt;&gt;Games!$C$52),1,0))</f>
        <v/>
      </c>
      <c r="AR57" s="13" t="str">
        <f>IF(OR(K57="",Results!K8=""),"",IF(AND(K57=Results!K8,Results!K8&lt;&gt;Games!$C$53),1,0))</f>
        <v/>
      </c>
      <c r="AS57" s="13" t="str">
        <f>IF(OR(L57="",Results!L8=""),"",IF(AND(L57=Results!L8,Results!L8&lt;&gt;Games!$C$54),1,0))</f>
        <v/>
      </c>
      <c r="AT57" s="13" t="str">
        <f>IF(OR(M57="",Results!M8=""),"",IF(AND(M57=Results!M8,Results!M8&lt;&gt;Games!$C$55),1,0))</f>
        <v/>
      </c>
      <c r="AU57" s="13" t="str">
        <f>IF(OR(N57="",Results!N8=""),"",IF(AND(N57=Results!N8,Results!N8&lt;&gt;Games!$C$56),1,0))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 t="str">
        <f>IF(OR(B58="",Results!B8=""),"",IF(B58=Results!B8,1+IF(OR($O58=1,$P58=1,$Q58=1),1,0),0))</f>
        <v/>
      </c>
      <c r="T58" s="4" t="str">
        <f>IF(OR(C58="",Results!C8=""),"",IF(C58=Results!C8,1+IF(OR($O58=2,$P58=2,$Q58=2),1,0),0))</f>
        <v/>
      </c>
      <c r="U58" s="4" t="str">
        <f>IF(OR(D58="",Results!D8=""),"",IF(D58=Results!D8,1+IF(OR($O58=3,$P58=3,$Q58=3),1,0),0))</f>
        <v/>
      </c>
      <c r="V58" s="4" t="str">
        <f>IF(OR(E58="",Results!E8=""),"",IF(E58=Results!E8,1+IF(OR($O58=4,$P58=4,$Q58=4),1,0),0))</f>
        <v/>
      </c>
      <c r="W58" s="4" t="str">
        <f>IF(OR(F58="",Results!F8=""),"",IF(F58=Results!F8,1+IF(OR($O58=5,$P58=5,$Q58=5),1,0),0))</f>
        <v/>
      </c>
      <c r="X58" s="4" t="str">
        <f>IF(OR(G58="",Results!G8=""),"",IF(G58=Results!G8,1+IF(OR($O58=6,$P58=6,$Q58=6),1,0),0))</f>
        <v/>
      </c>
      <c r="Y58" s="4" t="str">
        <f>IF(OR(H58="",Results!H8=""),"",IF(H58=Results!H8,1+IF(OR($O58=7,$P58=7,$Q58=7),1,0),0))</f>
        <v/>
      </c>
      <c r="Z58" s="4" t="str">
        <f>IF(OR(I58="",Results!I8=""),"",IF(I58=Results!I8,1+IF(OR($O58=8,$P58=8,$Q58=8),1,0),0))</f>
        <v/>
      </c>
      <c r="AA58" s="4" t="str">
        <f>IF(OR(J58="",Results!J8=""),"",IF(J58=Results!J8,1+IF(OR($O58=9,$P58=9,$Q58=9),1,0),0))</f>
        <v/>
      </c>
      <c r="AB58" s="4" t="str">
        <f>IF(OR(K58="",Results!K8=""),"",IF(K58=Results!K8,1+IF(OR($O58=10,$P58=10,$Q58=10),1,0),0))</f>
        <v/>
      </c>
      <c r="AC58" s="4" t="str">
        <f>IF(OR(L58="",Results!L8=""),"",IF(L58=Results!L8,1+IF(OR($O58=11,$P58=11,$Q58=11),1,0),0))</f>
        <v/>
      </c>
      <c r="AD58" s="4" t="str">
        <f>IF(OR(M58="",Results!M8=""),"",IF(M58=Results!M8,1+IF(OR($O58=12,$P58=12,$Q58=12),1,0),0))</f>
        <v/>
      </c>
      <c r="AE58" s="4" t="str">
        <f>IF(OR(N58="",Results!N8=""),"",IF(N58=Results!N8,1+IF(OR($O58=13,$P58=13,$Q58=13),1,0),0))</f>
        <v/>
      </c>
      <c r="AF58" s="11">
        <f t="shared" si="2"/>
        <v>0</v>
      </c>
      <c r="AG58" s="4" t="str">
        <f>IF(OR($R58="",Results!O8=""),"",ABS($R58-Results!O8))</f>
        <v/>
      </c>
      <c r="AH58" s="12">
        <v>29</v>
      </c>
      <c r="AI58" s="13" t="str">
        <f>IF(OR(B58="",Results!B8=""),"",IF(AND(B58=Results!B8,Results!B8&lt;&gt;Games!$C$44),1,0))</f>
        <v/>
      </c>
      <c r="AJ58" s="13" t="str">
        <f>IF(OR(C58="",Results!C8=""),"",IF(AND(C58=Results!C8,Results!C8&lt;&gt;Games!$C$45),1,0))</f>
        <v/>
      </c>
      <c r="AK58" s="13" t="str">
        <f>IF(OR(D58="",Results!D8=""),"",IF(AND(D58=Results!D8,Results!D8&lt;&gt;Games!$C$46),1,0))</f>
        <v/>
      </c>
      <c r="AL58" s="13" t="str">
        <f>IF(OR(E58="",Results!E8=""),"",IF(AND(E58=Results!E8,Results!E8&lt;&gt;Games!$C$47),1,0))</f>
        <v/>
      </c>
      <c r="AM58" s="13" t="str">
        <f>IF(OR(F58="",Results!F8=""),"",IF(AND(F58=Results!F8,Results!F8&lt;&gt;Games!$C$48),1,0))</f>
        <v/>
      </c>
      <c r="AN58" s="13" t="str">
        <f>IF(OR(G58="",Results!G8=""),"",IF(AND(G58=Results!G8,Results!G8&lt;&gt;Games!$C$49),1,0))</f>
        <v/>
      </c>
      <c r="AO58" s="13" t="str">
        <f>IF(OR(H58="",Results!H8=""),"",IF(AND(H58=Results!H8,Results!H8&lt;&gt;Games!$C$50),1,0))</f>
        <v/>
      </c>
      <c r="AP58" s="13" t="str">
        <f>IF(OR(I58="",Results!I8=""),"",IF(AND(I58=Results!I8,Results!I8&lt;&gt;Games!$C$51),1,0))</f>
        <v/>
      </c>
      <c r="AQ58" s="13" t="str">
        <f>IF(OR(J58="",Results!J8=""),"",IF(AND(J58=Results!J8,Results!J8&lt;&gt;Games!$C$52),1,0))</f>
        <v/>
      </c>
      <c r="AR58" s="13" t="str">
        <f>IF(OR(K58="",Results!K8=""),"",IF(AND(K58=Results!K8,Results!K8&lt;&gt;Games!$C$53),1,0))</f>
        <v/>
      </c>
      <c r="AS58" s="13" t="str">
        <f>IF(OR(L58="",Results!L8=""),"",IF(AND(L58=Results!L8,Results!L8&lt;&gt;Games!$C$54),1,0))</f>
        <v/>
      </c>
      <c r="AT58" s="13" t="str">
        <f>IF(OR(M58="",Results!M8=""),"",IF(AND(M58=Results!M8,Results!M8&lt;&gt;Games!$C$55),1,0))</f>
        <v/>
      </c>
      <c r="AU58" s="13" t="str">
        <f>IF(OR(N58="",Results!N8=""),"",IF(AND(N58=Results!N8,Results!N8&lt;&gt;Games!$C$56),1,0))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IF(OR(B59="",Results!B8=""),"",IF(B59=Results!B8,1+IF(OR($O59=1,$P59=1,$Q59=1),1,0),0))</f>
        <v/>
      </c>
      <c r="T59" s="4" t="str">
        <f>IF(OR(C59="",Results!C8=""),"",IF(C59=Results!C8,1+IF(OR($O59=2,$P59=2,$Q59=2),1,0),0))</f>
        <v/>
      </c>
      <c r="U59" s="4" t="str">
        <f>IF(OR(D59="",Results!D8=""),"",IF(D59=Results!D8,1+IF(OR($O59=3,$P59=3,$Q59=3),1,0),0))</f>
        <v/>
      </c>
      <c r="V59" s="4" t="str">
        <f>IF(OR(E59="",Results!E8=""),"",IF(E59=Results!E8,1+IF(OR($O59=4,$P59=4,$Q59=4),1,0),0))</f>
        <v/>
      </c>
      <c r="W59" s="4" t="str">
        <f>IF(OR(F59="",Results!F8=""),"",IF(F59=Results!F8,1+IF(OR($O59=5,$P59=5,$Q59=5),1,0),0))</f>
        <v/>
      </c>
      <c r="X59" s="4" t="str">
        <f>IF(OR(G59="",Results!G8=""),"",IF(G59=Results!G8,1+IF(OR($O59=6,$P59=6,$Q59=6),1,0),0))</f>
        <v/>
      </c>
      <c r="Y59" s="4" t="str">
        <f>IF(OR(H59="",Results!H8=""),"",IF(H59=Results!H8,1+IF(OR($O59=7,$P59=7,$Q59=7),1,0),0))</f>
        <v/>
      </c>
      <c r="Z59" s="4" t="str">
        <f>IF(OR(I59="",Results!I8=""),"",IF(I59=Results!I8,1+IF(OR($O59=8,$P59=8,$Q59=8),1,0),0))</f>
        <v/>
      </c>
      <c r="AA59" s="4" t="str">
        <f>IF(OR(J59="",Results!J8=""),"",IF(J59=Results!J8,1+IF(OR($O59=9,$P59=9,$Q59=9),1,0),0))</f>
        <v/>
      </c>
      <c r="AB59" s="4" t="str">
        <f>IF(OR(K59="",Results!K8=""),"",IF(K59=Results!K8,1+IF(OR($O59=10,$P59=10,$Q59=10),1,0),0))</f>
        <v/>
      </c>
      <c r="AC59" s="4" t="str">
        <f>IF(OR(L59="",Results!L8=""),"",IF(L59=Results!L8,1+IF(OR($O59=11,$P59=11,$Q59=11),1,0),0))</f>
        <v/>
      </c>
      <c r="AD59" s="4" t="str">
        <f>IF(OR(M59="",Results!M8=""),"",IF(M59=Results!M8,1+IF(OR($O59=12,$P59=12,$Q59=12),1,0),0))</f>
        <v/>
      </c>
      <c r="AE59" s="4" t="str">
        <f>IF(OR(N59="",Results!N8=""),"",IF(N59=Results!N8,1+IF(OR($O59=13,$P59=13,$Q59=13),1,0),0))</f>
        <v/>
      </c>
      <c r="AF59" s="11">
        <f t="shared" si="2"/>
        <v>0</v>
      </c>
      <c r="AG59" s="4" t="str">
        <f>IF(OR($R59="",Results!O8=""),"",ABS($R59-Results!O8))</f>
        <v/>
      </c>
      <c r="AH59" s="12">
        <v>51</v>
      </c>
      <c r="AI59" s="13" t="str">
        <f>IF(OR(B59="",Results!B8=""),"",IF(AND(B59=Results!B8,Results!B8&lt;&gt;Games!$C$44),1,0))</f>
        <v/>
      </c>
      <c r="AJ59" s="13" t="str">
        <f>IF(OR(C59="",Results!C8=""),"",IF(AND(C59=Results!C8,Results!C8&lt;&gt;Games!$C$45),1,0))</f>
        <v/>
      </c>
      <c r="AK59" s="13" t="str">
        <f>IF(OR(D59="",Results!D8=""),"",IF(AND(D59=Results!D8,Results!D8&lt;&gt;Games!$C$46),1,0))</f>
        <v/>
      </c>
      <c r="AL59" s="13" t="str">
        <f>IF(OR(E59="",Results!E8=""),"",IF(AND(E59=Results!E8,Results!E8&lt;&gt;Games!$C$47),1,0))</f>
        <v/>
      </c>
      <c r="AM59" s="13" t="str">
        <f>IF(OR(F59="",Results!F8=""),"",IF(AND(F59=Results!F8,Results!F8&lt;&gt;Games!$C$48),1,0))</f>
        <v/>
      </c>
      <c r="AN59" s="13" t="str">
        <f>IF(OR(G59="",Results!G8=""),"",IF(AND(G59=Results!G8,Results!G8&lt;&gt;Games!$C$49),1,0))</f>
        <v/>
      </c>
      <c r="AO59" s="13" t="str">
        <f>IF(OR(H59="",Results!H8=""),"",IF(AND(H59=Results!H8,Results!H8&lt;&gt;Games!$C$50),1,0))</f>
        <v/>
      </c>
      <c r="AP59" s="13" t="str">
        <f>IF(OR(I59="",Results!I8=""),"",IF(AND(I59=Results!I8,Results!I8&lt;&gt;Games!$C$51),1,0))</f>
        <v/>
      </c>
      <c r="AQ59" s="13" t="str">
        <f>IF(OR(J59="",Results!J8=""),"",IF(AND(J59=Results!J8,Results!J8&lt;&gt;Games!$C$52),1,0))</f>
        <v/>
      </c>
      <c r="AR59" s="13" t="str">
        <f>IF(OR(K59="",Results!K8=""),"",IF(AND(K59=Results!K8,Results!K8&lt;&gt;Games!$C$53),1,0))</f>
        <v/>
      </c>
      <c r="AS59" s="13" t="str">
        <f>IF(OR(L59="",Results!L8=""),"",IF(AND(L59=Results!L8,Results!L8&lt;&gt;Games!$C$54),1,0))</f>
        <v/>
      </c>
      <c r="AT59" s="13" t="str">
        <f>IF(OR(M59="",Results!M8=""),"",IF(AND(M59=Results!M8,Results!M8&lt;&gt;Games!$C$55),1,0))</f>
        <v/>
      </c>
      <c r="AU59" s="13" t="str">
        <f>IF(OR(N59="",Results!N8=""),"",IF(AND(N59=Results!N8,Results!N8&lt;&gt;Games!$C$56),1,0))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IF(OR(B60="",Results!B8=""),"",IF(B60=Results!B8,1+IF(OR($O60=1,$P60=1,$Q60=1),1,0),0))</f>
        <v/>
      </c>
      <c r="T60" s="4" t="str">
        <f>IF(OR(C60="",Results!C8=""),"",IF(C60=Results!C8,1+IF(OR($O60=2,$P60=2,$Q60=2),1,0),0))</f>
        <v/>
      </c>
      <c r="U60" s="4" t="str">
        <f>IF(OR(D60="",Results!D8=""),"",IF(D60=Results!D8,1+IF(OR($O60=3,$P60=3,$Q60=3),1,0),0))</f>
        <v/>
      </c>
      <c r="V60" s="4" t="str">
        <f>IF(OR(E60="",Results!E8=""),"",IF(E60=Results!E8,1+IF(OR($O60=4,$P60=4,$Q60=4),1,0),0))</f>
        <v/>
      </c>
      <c r="W60" s="4" t="str">
        <f>IF(OR(F60="",Results!F8=""),"",IF(F60=Results!F8,1+IF(OR($O60=5,$P60=5,$Q60=5),1,0),0))</f>
        <v/>
      </c>
      <c r="X60" s="4" t="str">
        <f>IF(OR(G60="",Results!G8=""),"",IF(G60=Results!G8,1+IF(OR($O60=6,$P60=6,$Q60=6),1,0),0))</f>
        <v/>
      </c>
      <c r="Y60" s="4" t="str">
        <f>IF(OR(H60="",Results!H8=""),"",IF(H60=Results!H8,1+IF(OR($O60=7,$P60=7,$Q60=7),1,0),0))</f>
        <v/>
      </c>
      <c r="Z60" s="4" t="str">
        <f>IF(OR(I60="",Results!I8=""),"",IF(I60=Results!I8,1+IF(OR($O60=8,$P60=8,$Q60=8),1,0),0))</f>
        <v/>
      </c>
      <c r="AA60" s="4" t="str">
        <f>IF(OR(J60="",Results!J8=""),"",IF(J60=Results!J8,1+IF(OR($O60=9,$P60=9,$Q60=9),1,0),0))</f>
        <v/>
      </c>
      <c r="AB60" s="4" t="str">
        <f>IF(OR(K60="",Results!K8=""),"",IF(K60=Results!K8,1+IF(OR($O60=10,$P60=10,$Q60=10),1,0),0))</f>
        <v/>
      </c>
      <c r="AC60" s="4" t="str">
        <f>IF(OR(L60="",Results!L8=""),"",IF(L60=Results!L8,1+IF(OR($O60=11,$P60=11,$Q60=11),1,0),0))</f>
        <v/>
      </c>
      <c r="AD60" s="4" t="str">
        <f>IF(OR(M60="",Results!M8=""),"",IF(M60=Results!M8,1+IF(OR($O60=12,$P60=12,$Q60=12),1,0),0))</f>
        <v/>
      </c>
      <c r="AE60" s="4" t="str">
        <f>IF(OR(N60="",Results!N8=""),"",IF(N60=Results!N8,1+IF(OR($O60=13,$P60=13,$Q60=13),1,0),0))</f>
        <v/>
      </c>
      <c r="AF60" s="11">
        <f t="shared" si="2"/>
        <v>0</v>
      </c>
      <c r="AG60" s="4" t="str">
        <f>IF(OR($R60="",Results!O8=""),"",ABS($R60-Results!O8))</f>
        <v/>
      </c>
      <c r="AH60" s="12">
        <v>45</v>
      </c>
      <c r="AI60" s="13" t="str">
        <f>IF(OR(B60="",Results!B8=""),"",IF(AND(B60=Results!B8,Results!B8&lt;&gt;Games!$C$44),1,0))</f>
        <v/>
      </c>
      <c r="AJ60" s="13" t="str">
        <f>IF(OR(C60="",Results!C8=""),"",IF(AND(C60=Results!C8,Results!C8&lt;&gt;Games!$C$45),1,0))</f>
        <v/>
      </c>
      <c r="AK60" s="13" t="str">
        <f>IF(OR(D60="",Results!D8=""),"",IF(AND(D60=Results!D8,Results!D8&lt;&gt;Games!$C$46),1,0))</f>
        <v/>
      </c>
      <c r="AL60" s="13" t="str">
        <f>IF(OR(E60="",Results!E8=""),"",IF(AND(E60=Results!E8,Results!E8&lt;&gt;Games!$C$47),1,0))</f>
        <v/>
      </c>
      <c r="AM60" s="13" t="str">
        <f>IF(OR(F60="",Results!F8=""),"",IF(AND(F60=Results!F8,Results!F8&lt;&gt;Games!$C$48),1,0))</f>
        <v/>
      </c>
      <c r="AN60" s="13" t="str">
        <f>IF(OR(G60="",Results!G8=""),"",IF(AND(G60=Results!G8,Results!G8&lt;&gt;Games!$C$49),1,0))</f>
        <v/>
      </c>
      <c r="AO60" s="13" t="str">
        <f>IF(OR(H60="",Results!H8=""),"",IF(AND(H60=Results!H8,Results!H8&lt;&gt;Games!$C$50),1,0))</f>
        <v/>
      </c>
      <c r="AP60" s="13" t="str">
        <f>IF(OR(I60="",Results!I8=""),"",IF(AND(I60=Results!I8,Results!I8&lt;&gt;Games!$C$51),1,0))</f>
        <v/>
      </c>
      <c r="AQ60" s="13" t="str">
        <f>IF(OR(J60="",Results!J8=""),"",IF(AND(J60=Results!J8,Results!J8&lt;&gt;Games!$C$52),1,0))</f>
        <v/>
      </c>
      <c r="AR60" s="13" t="str">
        <f>IF(OR(K60="",Results!K8=""),"",IF(AND(K60=Results!K8,Results!K8&lt;&gt;Games!$C$53),1,0))</f>
        <v/>
      </c>
      <c r="AS60" s="13" t="str">
        <f>IF(OR(L60="",Results!L8=""),"",IF(AND(L60=Results!L8,Results!L8&lt;&gt;Games!$C$54),1,0))</f>
        <v/>
      </c>
      <c r="AT60" s="13" t="str">
        <f>IF(OR(M60="",Results!M8=""),"",IF(AND(M60=Results!M8,Results!M8&lt;&gt;Games!$C$55),1,0))</f>
        <v/>
      </c>
      <c r="AU60" s="13" t="str">
        <f>IF(OR(N60="",Results!N8=""),"",IF(AND(N60=Results!N8,Results!N8&lt;&gt;Games!$C$56),1,0))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 t="str">
        <f>IF(OR(B61="",Results!B8=""),"",IF(B61=Results!B8,1+IF(OR($O61=1,$P61=1,$Q61=1),1,0),0))</f>
        <v/>
      </c>
      <c r="T61" s="4" t="str">
        <f>IF(OR(C61="",Results!C8=""),"",IF(C61=Results!C8,1+IF(OR($O61=2,$P61=2,$Q61=2),1,0),0))</f>
        <v/>
      </c>
      <c r="U61" s="4" t="str">
        <f>IF(OR(D61="",Results!D8=""),"",IF(D61=Results!D8,1+IF(OR($O61=3,$P61=3,$Q61=3),1,0),0))</f>
        <v/>
      </c>
      <c r="V61" s="4" t="str">
        <f>IF(OR(E61="",Results!E8=""),"",IF(E61=Results!E8,1+IF(OR($O61=4,$P61=4,$Q61=4),1,0),0))</f>
        <v/>
      </c>
      <c r="W61" s="4" t="str">
        <f>IF(OR(F61="",Results!F8=""),"",IF(F61=Results!F8,1+IF(OR($O61=5,$P61=5,$Q61=5),1,0),0))</f>
        <v/>
      </c>
      <c r="X61" s="4" t="str">
        <f>IF(OR(G61="",Results!G8=""),"",IF(G61=Results!G8,1+IF(OR($O61=6,$P61=6,$Q61=6),1,0),0))</f>
        <v/>
      </c>
      <c r="Y61" s="4" t="str">
        <f>IF(OR(H61="",Results!H8=""),"",IF(H61=Results!H8,1+IF(OR($O61=7,$P61=7,$Q61=7),1,0),0))</f>
        <v/>
      </c>
      <c r="Z61" s="4" t="str">
        <f>IF(OR(I61="",Results!I8=""),"",IF(I61=Results!I8,1+IF(OR($O61=8,$P61=8,$Q61=8),1,0),0))</f>
        <v/>
      </c>
      <c r="AA61" s="4" t="str">
        <f>IF(OR(J61="",Results!J8=""),"",IF(J61=Results!J8,1+IF(OR($O61=9,$P61=9,$Q61=9),1,0),0))</f>
        <v/>
      </c>
      <c r="AB61" s="4" t="str">
        <f>IF(OR(K61="",Results!K8=""),"",IF(K61=Results!K8,1+IF(OR($O61=10,$P61=10,$Q61=10),1,0),0))</f>
        <v/>
      </c>
      <c r="AC61" s="4" t="str">
        <f>IF(OR(L61="",Results!L8=""),"",IF(L61=Results!L8,1+IF(OR($O61=11,$P61=11,$Q61=11),1,0),0))</f>
        <v/>
      </c>
      <c r="AD61" s="4" t="str">
        <f>IF(OR(M61="",Results!M8=""),"",IF(M61=Results!M8,1+IF(OR($O61=12,$P61=12,$Q61=12),1,0),0))</f>
        <v/>
      </c>
      <c r="AE61" s="4" t="str">
        <f>IF(OR(N61="",Results!N8=""),"",IF(N61=Results!N8,1+IF(OR($O61=13,$P61=13,$Q61=13),1,0),0))</f>
        <v/>
      </c>
      <c r="AF61" s="11">
        <f t="shared" si="2"/>
        <v>0</v>
      </c>
      <c r="AG61" s="4" t="str">
        <f>IF(OR($R61="",Results!O8=""),"",ABS($R61-Results!O8))</f>
        <v/>
      </c>
      <c r="AH61" s="12">
        <v>30</v>
      </c>
      <c r="AI61" s="13" t="str">
        <f>IF(OR(B61="",Results!B8=""),"",IF(AND(B61=Results!B8,Results!B8&lt;&gt;Games!$C$44),1,0))</f>
        <v/>
      </c>
      <c r="AJ61" s="13" t="str">
        <f>IF(OR(C61="",Results!C8=""),"",IF(AND(C61=Results!C8,Results!C8&lt;&gt;Games!$C$45),1,0))</f>
        <v/>
      </c>
      <c r="AK61" s="13" t="str">
        <f>IF(OR(D61="",Results!D8=""),"",IF(AND(D61=Results!D8,Results!D8&lt;&gt;Games!$C$46),1,0))</f>
        <v/>
      </c>
      <c r="AL61" s="13" t="str">
        <f>IF(OR(E61="",Results!E8=""),"",IF(AND(E61=Results!E8,Results!E8&lt;&gt;Games!$C$47),1,0))</f>
        <v/>
      </c>
      <c r="AM61" s="13" t="str">
        <f>IF(OR(F61="",Results!F8=""),"",IF(AND(F61=Results!F8,Results!F8&lt;&gt;Games!$C$48),1,0))</f>
        <v/>
      </c>
      <c r="AN61" s="13" t="str">
        <f>IF(OR(G61="",Results!G8=""),"",IF(AND(G61=Results!G8,Results!G8&lt;&gt;Games!$C$49),1,0))</f>
        <v/>
      </c>
      <c r="AO61" s="13" t="str">
        <f>IF(OR(H61="",Results!H8=""),"",IF(AND(H61=Results!H8,Results!H8&lt;&gt;Games!$C$50),1,0))</f>
        <v/>
      </c>
      <c r="AP61" s="13" t="str">
        <f>IF(OR(I61="",Results!I8=""),"",IF(AND(I61=Results!I8,Results!I8&lt;&gt;Games!$C$51),1,0))</f>
        <v/>
      </c>
      <c r="AQ61" s="13" t="str">
        <f>IF(OR(J61="",Results!J8=""),"",IF(AND(J61=Results!J8,Results!J8&lt;&gt;Games!$C$52),1,0))</f>
        <v/>
      </c>
      <c r="AR61" s="13" t="str">
        <f>IF(OR(K61="",Results!K8=""),"",IF(AND(K61=Results!K8,Results!K8&lt;&gt;Games!$C$53),1,0))</f>
        <v/>
      </c>
      <c r="AS61" s="13" t="str">
        <f>IF(OR(L61="",Results!L8=""),"",IF(AND(L61=Results!L8,Results!L8&lt;&gt;Games!$C$54),1,0))</f>
        <v/>
      </c>
      <c r="AT61" s="13" t="str">
        <f>IF(OR(M61="",Results!M8=""),"",IF(AND(M61=Results!M8,Results!M8&lt;&gt;Games!$C$55),1,0))</f>
        <v/>
      </c>
      <c r="AU61" s="13" t="str">
        <f>IF(OR(N61="",Results!N8=""),"",IF(AND(N61=Results!N8,Results!N8&lt;&gt;Games!$C$56),1,0))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IF(OR(B62="",Results!B8=""),"",IF(B62=Results!B8,1+IF(OR($O62=1,$P62=1,$Q62=1),1,0),0))</f>
        <v/>
      </c>
      <c r="T62" s="4" t="str">
        <f>IF(OR(C62="",Results!C8=""),"",IF(C62=Results!C8,1+IF(OR($O62=2,$P62=2,$Q62=2),1,0),0))</f>
        <v/>
      </c>
      <c r="U62" s="4" t="str">
        <f>IF(OR(D62="",Results!D8=""),"",IF(D62=Results!D8,1+IF(OR($O62=3,$P62=3,$Q62=3),1,0),0))</f>
        <v/>
      </c>
      <c r="V62" s="4" t="str">
        <f>IF(OR(E62="",Results!E8=""),"",IF(E62=Results!E8,1+IF(OR($O62=4,$P62=4,$Q62=4),1,0),0))</f>
        <v/>
      </c>
      <c r="W62" s="4" t="str">
        <f>IF(OR(F62="",Results!F8=""),"",IF(F62=Results!F8,1+IF(OR($O62=5,$P62=5,$Q62=5),1,0),0))</f>
        <v/>
      </c>
      <c r="X62" s="4" t="str">
        <f>IF(OR(G62="",Results!G8=""),"",IF(G62=Results!G8,1+IF(OR($O62=6,$P62=6,$Q62=6),1,0),0))</f>
        <v/>
      </c>
      <c r="Y62" s="4" t="str">
        <f>IF(OR(H62="",Results!H8=""),"",IF(H62=Results!H8,1+IF(OR($O62=7,$P62=7,$Q62=7),1,0),0))</f>
        <v/>
      </c>
      <c r="Z62" s="4" t="str">
        <f>IF(OR(I62="",Results!I8=""),"",IF(I62=Results!I8,1+IF(OR($O62=8,$P62=8,$Q62=8),1,0),0))</f>
        <v/>
      </c>
      <c r="AA62" s="4" t="str">
        <f>IF(OR(J62="",Results!J8=""),"",IF(J62=Results!J8,1+IF(OR($O62=9,$P62=9,$Q62=9),1,0),0))</f>
        <v/>
      </c>
      <c r="AB62" s="4" t="str">
        <f>IF(OR(K62="",Results!K8=""),"",IF(K62=Results!K8,1+IF(OR($O62=10,$P62=10,$Q62=10),1,0),0))</f>
        <v/>
      </c>
      <c r="AC62" s="4" t="str">
        <f>IF(OR(L62="",Results!L8=""),"",IF(L62=Results!L8,1+IF(OR($O62=11,$P62=11,$Q62=11),1,0),0))</f>
        <v/>
      </c>
      <c r="AD62" s="4" t="str">
        <f>IF(OR(M62="",Results!M8=""),"",IF(M62=Results!M8,1+IF(OR($O62=12,$P62=12,$Q62=12),1,0),0))</f>
        <v/>
      </c>
      <c r="AE62" s="4" t="str">
        <f>IF(OR(N62="",Results!N8=""),"",IF(N62=Results!N8,1+IF(OR($O62=13,$P62=13,$Q62=13),1,0),0))</f>
        <v/>
      </c>
      <c r="AF62" s="11">
        <f t="shared" si="2"/>
        <v>0</v>
      </c>
      <c r="AG62" s="4" t="str">
        <f>IF(OR($R62="",Results!O8=""),"",ABS($R62-Results!O8))</f>
        <v/>
      </c>
      <c r="AH62" s="12">
        <v>31</v>
      </c>
      <c r="AI62" s="13" t="str">
        <f>IF(OR(B62="",Results!B8=""),"",IF(AND(B62=Results!B8,Results!B8&lt;&gt;Games!$C$44),1,0))</f>
        <v/>
      </c>
      <c r="AJ62" s="13" t="str">
        <f>IF(OR(C62="",Results!C8=""),"",IF(AND(C62=Results!C8,Results!C8&lt;&gt;Games!$C$45),1,0))</f>
        <v/>
      </c>
      <c r="AK62" s="13" t="str">
        <f>IF(OR(D62="",Results!D8=""),"",IF(AND(D62=Results!D8,Results!D8&lt;&gt;Games!$C$46),1,0))</f>
        <v/>
      </c>
      <c r="AL62" s="13" t="str">
        <f>IF(OR(E62="",Results!E8=""),"",IF(AND(E62=Results!E8,Results!E8&lt;&gt;Games!$C$47),1,0))</f>
        <v/>
      </c>
      <c r="AM62" s="13" t="str">
        <f>IF(OR(F62="",Results!F8=""),"",IF(AND(F62=Results!F8,Results!F8&lt;&gt;Games!$C$48),1,0))</f>
        <v/>
      </c>
      <c r="AN62" s="13" t="str">
        <f>IF(OR(G62="",Results!G8=""),"",IF(AND(G62=Results!G8,Results!G8&lt;&gt;Games!$C$49),1,0))</f>
        <v/>
      </c>
      <c r="AO62" s="13" t="str">
        <f>IF(OR(H62="",Results!H8=""),"",IF(AND(H62=Results!H8,Results!H8&lt;&gt;Games!$C$50),1,0))</f>
        <v/>
      </c>
      <c r="AP62" s="13" t="str">
        <f>IF(OR(I62="",Results!I8=""),"",IF(AND(I62=Results!I8,Results!I8&lt;&gt;Games!$C$51),1,0))</f>
        <v/>
      </c>
      <c r="AQ62" s="13" t="str">
        <f>IF(OR(J62="",Results!J8=""),"",IF(AND(J62=Results!J8,Results!J8&lt;&gt;Games!$C$52),1,0))</f>
        <v/>
      </c>
      <c r="AR62" s="13" t="str">
        <f>IF(OR(K62="",Results!K8=""),"",IF(AND(K62=Results!K8,Results!K8&lt;&gt;Games!$C$53),1,0))</f>
        <v/>
      </c>
      <c r="AS62" s="13" t="str">
        <f>IF(OR(L62="",Results!L8=""),"",IF(AND(L62=Results!L8,Results!L8&lt;&gt;Games!$C$54),1,0))</f>
        <v/>
      </c>
      <c r="AT62" s="13" t="str">
        <f>IF(OR(M62="",Results!M8=""),"",IF(AND(M62=Results!M8,Results!M8&lt;&gt;Games!$C$55),1,0))</f>
        <v/>
      </c>
      <c r="AU62" s="13" t="str">
        <f>IF(OR(N62="",Results!N8=""),"",IF(AND(N62=Results!N8,Results!N8&lt;&gt;Games!$C$56),1,0))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 t="str">
        <f>IF(OR(B63="",Results!B8=""),"",IF(B63=Results!B8,1+IF(OR($O63=1,$P63=1,$Q63=1),1,0),0))</f>
        <v/>
      </c>
      <c r="T63" s="4" t="str">
        <f>IF(OR(C63="",Results!C8=""),"",IF(C63=Results!C8,1+IF(OR($O63=2,$P63=2,$Q63=2),1,0),0))</f>
        <v/>
      </c>
      <c r="U63" s="4" t="str">
        <f>IF(OR(D63="",Results!D8=""),"",IF(D63=Results!D8,1+IF(OR($O63=3,$P63=3,$Q63=3),1,0),0))</f>
        <v/>
      </c>
      <c r="V63" s="4" t="str">
        <f>IF(OR(E63="",Results!E8=""),"",IF(E63=Results!E8,1+IF(OR($O63=4,$P63=4,$Q63=4),1,0),0))</f>
        <v/>
      </c>
      <c r="W63" s="4" t="str">
        <f>IF(OR(F63="",Results!F8=""),"",IF(F63=Results!F8,1+IF(OR($O63=5,$P63=5,$Q63=5),1,0),0))</f>
        <v/>
      </c>
      <c r="X63" s="4" t="str">
        <f>IF(OR(G63="",Results!G8=""),"",IF(G63=Results!G8,1+IF(OR($O63=6,$P63=6,$Q63=6),1,0),0))</f>
        <v/>
      </c>
      <c r="Y63" s="4" t="str">
        <f>IF(OR(H63="",Results!H8=""),"",IF(H63=Results!H8,1+IF(OR($O63=7,$P63=7,$Q63=7),1,0),0))</f>
        <v/>
      </c>
      <c r="Z63" s="4" t="str">
        <f>IF(OR(I63="",Results!I8=""),"",IF(I63=Results!I8,1+IF(OR($O63=8,$P63=8,$Q63=8),1,0),0))</f>
        <v/>
      </c>
      <c r="AA63" s="4" t="str">
        <f>IF(OR(J63="",Results!J8=""),"",IF(J63=Results!J8,1+IF(OR($O63=9,$P63=9,$Q63=9),1,0),0))</f>
        <v/>
      </c>
      <c r="AB63" s="4" t="str">
        <f>IF(OR(K63="",Results!K8=""),"",IF(K63=Results!K8,1+IF(OR($O63=10,$P63=10,$Q63=10),1,0),0))</f>
        <v/>
      </c>
      <c r="AC63" s="4" t="str">
        <f>IF(OR(L63="",Results!L8=""),"",IF(L63=Results!L8,1+IF(OR($O63=11,$P63=11,$Q63=11),1,0),0))</f>
        <v/>
      </c>
      <c r="AD63" s="4" t="str">
        <f>IF(OR(M63="",Results!M8=""),"",IF(M63=Results!M8,1+IF(OR($O63=12,$P63=12,$Q63=12),1,0),0))</f>
        <v/>
      </c>
      <c r="AE63" s="4" t="str">
        <f>IF(OR(N63="",Results!N8=""),"",IF(N63=Results!N8,1+IF(OR($O63=13,$P63=13,$Q63=13),1,0),0))</f>
        <v/>
      </c>
      <c r="AF63" s="11">
        <f t="shared" si="2"/>
        <v>0</v>
      </c>
      <c r="AG63" s="4" t="str">
        <f>IF(OR($R63="",Results!O8=""),"",ABS($R63-Results!O8))</f>
        <v/>
      </c>
      <c r="AH63" s="12">
        <v>32</v>
      </c>
      <c r="AI63" s="13" t="str">
        <f>IF(OR(B63="",Results!B8=""),"",IF(AND(B63=Results!B8,Results!B8&lt;&gt;Games!$C$44),1,0))</f>
        <v/>
      </c>
      <c r="AJ63" s="13" t="str">
        <f>IF(OR(C63="",Results!C8=""),"",IF(AND(C63=Results!C8,Results!C8&lt;&gt;Games!$C$45),1,0))</f>
        <v/>
      </c>
      <c r="AK63" s="13" t="str">
        <f>IF(OR(D63="",Results!D8=""),"",IF(AND(D63=Results!D8,Results!D8&lt;&gt;Games!$C$46),1,0))</f>
        <v/>
      </c>
      <c r="AL63" s="13" t="str">
        <f>IF(OR(E63="",Results!E8=""),"",IF(AND(E63=Results!E8,Results!E8&lt;&gt;Games!$C$47),1,0))</f>
        <v/>
      </c>
      <c r="AM63" s="13" t="str">
        <f>IF(OR(F63="",Results!F8=""),"",IF(AND(F63=Results!F8,Results!F8&lt;&gt;Games!$C$48),1,0))</f>
        <v/>
      </c>
      <c r="AN63" s="13" t="str">
        <f>IF(OR(G63="",Results!G8=""),"",IF(AND(G63=Results!G8,Results!G8&lt;&gt;Games!$C$49),1,0))</f>
        <v/>
      </c>
      <c r="AO63" s="13" t="str">
        <f>IF(OR(H63="",Results!H8=""),"",IF(AND(H63=Results!H8,Results!H8&lt;&gt;Games!$C$50),1,0))</f>
        <v/>
      </c>
      <c r="AP63" s="13" t="str">
        <f>IF(OR(I63="",Results!I8=""),"",IF(AND(I63=Results!I8,Results!I8&lt;&gt;Games!$C$51),1,0))</f>
        <v/>
      </c>
      <c r="AQ63" s="13" t="str">
        <f>IF(OR(J63="",Results!J8=""),"",IF(AND(J63=Results!J8,Results!J8&lt;&gt;Games!$C$52),1,0))</f>
        <v/>
      </c>
      <c r="AR63" s="13" t="str">
        <f>IF(OR(K63="",Results!K8=""),"",IF(AND(K63=Results!K8,Results!K8&lt;&gt;Games!$C$53),1,0))</f>
        <v/>
      </c>
      <c r="AS63" s="13" t="str">
        <f>IF(OR(L63="",Results!L8=""),"",IF(AND(L63=Results!L8,Results!L8&lt;&gt;Games!$C$54),1,0))</f>
        <v/>
      </c>
      <c r="AT63" s="13" t="str">
        <f>IF(OR(M63="",Results!M8=""),"",IF(AND(M63=Results!M8,Results!M8&lt;&gt;Games!$C$55),1,0))</f>
        <v/>
      </c>
      <c r="AU63" s="13" t="str">
        <f>IF(OR(N63="",Results!N8=""),"",IF(AND(N63=Results!N8,Results!N8&lt;&gt;Games!$C$56),1,0))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 t="str">
        <f>IF(OR(B64="",Results!B8=""),"",IF(B64=Results!B8,1+IF(OR($O64=1,$P64=1,$Q64=1),1,0),0))</f>
        <v/>
      </c>
      <c r="T64" s="4" t="str">
        <f>IF(OR(C64="",Results!C8=""),"",IF(C64=Results!C8,1+IF(OR($O64=2,$P64=2,$Q64=2),1,0),0))</f>
        <v/>
      </c>
      <c r="U64" s="4" t="str">
        <f>IF(OR(D64="",Results!D8=""),"",IF(D64=Results!D8,1+IF(OR($O64=3,$P64=3,$Q64=3),1,0),0))</f>
        <v/>
      </c>
      <c r="V64" s="4" t="str">
        <f>IF(OR(E64="",Results!E8=""),"",IF(E64=Results!E8,1+IF(OR($O64=4,$P64=4,$Q64=4),1,0),0))</f>
        <v/>
      </c>
      <c r="W64" s="4" t="str">
        <f>IF(OR(F64="",Results!F8=""),"",IF(F64=Results!F8,1+IF(OR($O64=5,$P64=5,$Q64=5),1,0),0))</f>
        <v/>
      </c>
      <c r="X64" s="4" t="str">
        <f>IF(OR(G64="",Results!G8=""),"",IF(G64=Results!G8,1+IF(OR($O64=6,$P64=6,$Q64=6),1,0),0))</f>
        <v/>
      </c>
      <c r="Y64" s="4" t="str">
        <f>IF(OR(H64="",Results!H8=""),"",IF(H64=Results!H8,1+IF(OR($O64=7,$P64=7,$Q64=7),1,0),0))</f>
        <v/>
      </c>
      <c r="Z64" s="4" t="str">
        <f>IF(OR(I64="",Results!I8=""),"",IF(I64=Results!I8,1+IF(OR($O64=8,$P64=8,$Q64=8),1,0),0))</f>
        <v/>
      </c>
      <c r="AA64" s="4" t="str">
        <f>IF(OR(J64="",Results!J8=""),"",IF(J64=Results!J8,1+IF(OR($O64=9,$P64=9,$Q64=9),1,0),0))</f>
        <v/>
      </c>
      <c r="AB64" s="4" t="str">
        <f>IF(OR(K64="",Results!K8=""),"",IF(K64=Results!K8,1+IF(OR($O64=10,$P64=10,$Q64=10),1,0),0))</f>
        <v/>
      </c>
      <c r="AC64" s="4" t="str">
        <f>IF(OR(L64="",Results!L8=""),"",IF(L64=Results!L8,1+IF(OR($O64=11,$P64=11,$Q64=11),1,0),0))</f>
        <v/>
      </c>
      <c r="AD64" s="4" t="str">
        <f>IF(OR(M64="",Results!M8=""),"",IF(M64=Results!M8,1+IF(OR($O64=12,$P64=12,$Q64=12),1,0),0))</f>
        <v/>
      </c>
      <c r="AE64" s="4" t="str">
        <f>IF(OR(N64="",Results!N8=""),"",IF(N64=Results!N8,1+IF(OR($O64=13,$P64=13,$Q64=13),1,0),0))</f>
        <v/>
      </c>
      <c r="AF64" s="11">
        <f t="shared" si="2"/>
        <v>0</v>
      </c>
      <c r="AG64" s="4" t="str">
        <f>IF(OR($R64="",Results!O8=""),"",ABS($R64-Results!O8))</f>
        <v/>
      </c>
      <c r="AH64" s="12">
        <v>46</v>
      </c>
      <c r="AI64" s="13" t="str">
        <f>IF(OR(B64="",Results!B8=""),"",IF(AND(B64=Results!B8,Results!B8&lt;&gt;Games!$C$44),1,0))</f>
        <v/>
      </c>
      <c r="AJ64" s="13" t="str">
        <f>IF(OR(C64="",Results!C8=""),"",IF(AND(C64=Results!C8,Results!C8&lt;&gt;Games!$C$45),1,0))</f>
        <v/>
      </c>
      <c r="AK64" s="13" t="str">
        <f>IF(OR(D64="",Results!D8=""),"",IF(AND(D64=Results!D8,Results!D8&lt;&gt;Games!$C$46),1,0))</f>
        <v/>
      </c>
      <c r="AL64" s="13" t="str">
        <f>IF(OR(E64="",Results!E8=""),"",IF(AND(E64=Results!E8,Results!E8&lt;&gt;Games!$C$47),1,0))</f>
        <v/>
      </c>
      <c r="AM64" s="13" t="str">
        <f>IF(OR(F64="",Results!F8=""),"",IF(AND(F64=Results!F8,Results!F8&lt;&gt;Games!$C$48),1,0))</f>
        <v/>
      </c>
      <c r="AN64" s="13" t="str">
        <f>IF(OR(G64="",Results!G8=""),"",IF(AND(G64=Results!G8,Results!G8&lt;&gt;Games!$C$49),1,0))</f>
        <v/>
      </c>
      <c r="AO64" s="13" t="str">
        <f>IF(OR(H64="",Results!H8=""),"",IF(AND(H64=Results!H8,Results!H8&lt;&gt;Games!$C$50),1,0))</f>
        <v/>
      </c>
      <c r="AP64" s="13" t="str">
        <f>IF(OR(I64="",Results!I8=""),"",IF(AND(I64=Results!I8,Results!I8&lt;&gt;Games!$C$51),1,0))</f>
        <v/>
      </c>
      <c r="AQ64" s="13" t="str">
        <f>IF(OR(J64="",Results!J8=""),"",IF(AND(J64=Results!J8,Results!J8&lt;&gt;Games!$C$52),1,0))</f>
        <v/>
      </c>
      <c r="AR64" s="13" t="str">
        <f>IF(OR(K64="",Results!K8=""),"",IF(AND(K64=Results!K8,Results!K8&lt;&gt;Games!$C$53),1,0))</f>
        <v/>
      </c>
      <c r="AS64" s="13" t="str">
        <f>IF(OR(L64="",Results!L8=""),"",IF(AND(L64=Results!L8,Results!L8&lt;&gt;Games!$C$54),1,0))</f>
        <v/>
      </c>
      <c r="AT64" s="13" t="str">
        <f>IF(OR(M64="",Results!M8=""),"",IF(AND(M64=Results!M8,Results!M8&lt;&gt;Games!$C$55),1,0))</f>
        <v/>
      </c>
      <c r="AU64" s="13" t="str">
        <f>IF(OR(N64="",Results!N8=""),"",IF(AND(N64=Results!N8,Results!N8&lt;&gt;Games!$C$56),1,0))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IF(OR(B65="",Results!B8=""),"",IF(B65=Results!B8,1+IF(OR($O65=1,$P65=1,$Q65=1),1,0),0))</f>
        <v/>
      </c>
      <c r="T65" s="4" t="str">
        <f>IF(OR(C65="",Results!C8=""),"",IF(C65=Results!C8,1+IF(OR($O65=2,$P65=2,$Q65=2),1,0),0))</f>
        <v/>
      </c>
      <c r="U65" s="4" t="str">
        <f>IF(OR(D65="",Results!D8=""),"",IF(D65=Results!D8,1+IF(OR($O65=3,$P65=3,$Q65=3),1,0),0))</f>
        <v/>
      </c>
      <c r="V65" s="4" t="str">
        <f>IF(OR(E65="",Results!E8=""),"",IF(E65=Results!E8,1+IF(OR($O65=4,$P65=4,$Q65=4),1,0),0))</f>
        <v/>
      </c>
      <c r="W65" s="4" t="str">
        <f>IF(OR(F65="",Results!F8=""),"",IF(F65=Results!F8,1+IF(OR($O65=5,$P65=5,$Q65=5),1,0),0))</f>
        <v/>
      </c>
      <c r="X65" s="4" t="str">
        <f>IF(OR(G65="",Results!G8=""),"",IF(G65=Results!G8,1+IF(OR($O65=6,$P65=6,$Q65=6),1,0),0))</f>
        <v/>
      </c>
      <c r="Y65" s="4" t="str">
        <f>IF(OR(H65="",Results!H8=""),"",IF(H65=Results!H8,1+IF(OR($O65=7,$P65=7,$Q65=7),1,0),0))</f>
        <v/>
      </c>
      <c r="Z65" s="4" t="str">
        <f>IF(OR(I65="",Results!I8=""),"",IF(I65=Results!I8,1+IF(OR($O65=8,$P65=8,$Q65=8),1,0),0))</f>
        <v/>
      </c>
      <c r="AA65" s="4" t="str">
        <f>IF(OR(J65="",Results!J8=""),"",IF(J65=Results!J8,1+IF(OR($O65=9,$P65=9,$Q65=9),1,0),0))</f>
        <v/>
      </c>
      <c r="AB65" s="4" t="str">
        <f>IF(OR(K65="",Results!K8=""),"",IF(K65=Results!K8,1+IF(OR($O65=10,$P65=10,$Q65=10),1,0),0))</f>
        <v/>
      </c>
      <c r="AC65" s="4" t="str">
        <f>IF(OR(L65="",Results!L8=""),"",IF(L65=Results!L8,1+IF(OR($O65=11,$P65=11,$Q65=11),1,0),0))</f>
        <v/>
      </c>
      <c r="AD65" s="4" t="str">
        <f>IF(OR(M65="",Results!M8=""),"",IF(M65=Results!M8,1+IF(OR($O65=12,$P65=12,$Q65=12),1,0),0))</f>
        <v/>
      </c>
      <c r="AE65" s="4" t="str">
        <f>IF(OR(N65="",Results!N8=""),"",IF(N65=Results!N8,1+IF(OR($O65=13,$P65=13,$Q65=13),1,0),0))</f>
        <v/>
      </c>
      <c r="AF65" s="11">
        <f t="shared" si="2"/>
        <v>0</v>
      </c>
      <c r="AG65" s="4" t="str">
        <f>IF(OR($R65="",Results!O8=""),"",ABS($R65-Results!O8))</f>
        <v/>
      </c>
      <c r="AH65" s="12">
        <v>33</v>
      </c>
      <c r="AI65" s="13" t="str">
        <f>IF(OR(B65="",Results!B8=""),"",IF(AND(B65=Results!B8,Results!B8&lt;&gt;Games!$C$44),1,0))</f>
        <v/>
      </c>
      <c r="AJ65" s="13" t="str">
        <f>IF(OR(C65="",Results!C8=""),"",IF(AND(C65=Results!C8,Results!C8&lt;&gt;Games!$C$45),1,0))</f>
        <v/>
      </c>
      <c r="AK65" s="13" t="str">
        <f>IF(OR(D65="",Results!D8=""),"",IF(AND(D65=Results!D8,Results!D8&lt;&gt;Games!$C$46),1,0))</f>
        <v/>
      </c>
      <c r="AL65" s="13" t="str">
        <f>IF(OR(E65="",Results!E8=""),"",IF(AND(E65=Results!E8,Results!E8&lt;&gt;Games!$C$47),1,0))</f>
        <v/>
      </c>
      <c r="AM65" s="13" t="str">
        <f>IF(OR(F65="",Results!F8=""),"",IF(AND(F65=Results!F8,Results!F8&lt;&gt;Games!$C$48),1,0))</f>
        <v/>
      </c>
      <c r="AN65" s="13" t="str">
        <f>IF(OR(G65="",Results!G8=""),"",IF(AND(G65=Results!G8,Results!G8&lt;&gt;Games!$C$49),1,0))</f>
        <v/>
      </c>
      <c r="AO65" s="13" t="str">
        <f>IF(OR(H65="",Results!H8=""),"",IF(AND(H65=Results!H8,Results!H8&lt;&gt;Games!$C$50),1,0))</f>
        <v/>
      </c>
      <c r="AP65" s="13" t="str">
        <f>IF(OR(I65="",Results!I8=""),"",IF(AND(I65=Results!I8,Results!I8&lt;&gt;Games!$C$51),1,0))</f>
        <v/>
      </c>
      <c r="AQ65" s="13" t="str">
        <f>IF(OR(J65="",Results!J8=""),"",IF(AND(J65=Results!J8,Results!J8&lt;&gt;Games!$C$52),1,0))</f>
        <v/>
      </c>
      <c r="AR65" s="13" t="str">
        <f>IF(OR(K65="",Results!K8=""),"",IF(AND(K65=Results!K8,Results!K8&lt;&gt;Games!$C$53),1,0))</f>
        <v/>
      </c>
      <c r="AS65" s="13" t="str">
        <f>IF(OR(L65="",Results!L8=""),"",IF(AND(L65=Results!L8,Results!L8&lt;&gt;Games!$C$54),1,0))</f>
        <v/>
      </c>
      <c r="AT65" s="13" t="str">
        <f>IF(OR(M65="",Results!M8=""),"",IF(AND(M65=Results!M8,Results!M8&lt;&gt;Games!$C$55),1,0))</f>
        <v/>
      </c>
      <c r="AU65" s="13" t="str">
        <f>IF(OR(N65="",Results!N8=""),"",IF(AND(N65=Results!N8,Results!N8&lt;&gt;Games!$C$56),1,0))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5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500-000001000000}">
          <x14:formula1>
            <xm:f>Games!$C$44:$D$44</xm:f>
          </x14:formula1>
          <x14:formula2>
            <xm:f>0</xm:f>
          </x14:formula2>
          <xm:sqref>B6:B65</xm:sqref>
        </x14:dataValidation>
        <x14:dataValidation type="list" allowBlank="1" xr:uid="{00000000-0002-0000-0500-000002000000}">
          <x14:formula1>
            <xm:f>Games!$C$45:$D$45</xm:f>
          </x14:formula1>
          <x14:formula2>
            <xm:f>0</xm:f>
          </x14:formula2>
          <xm:sqref>C6:C65</xm:sqref>
        </x14:dataValidation>
        <x14:dataValidation type="list" allowBlank="1" xr:uid="{00000000-0002-0000-0500-000003000000}">
          <x14:formula1>
            <xm:f>Games!$C$46:$D$46</xm:f>
          </x14:formula1>
          <x14:formula2>
            <xm:f>0</xm:f>
          </x14:formula2>
          <xm:sqref>D6:D65</xm:sqref>
        </x14:dataValidation>
        <x14:dataValidation type="list" allowBlank="1" xr:uid="{00000000-0002-0000-0500-000004000000}">
          <x14:formula1>
            <xm:f>Games!$C$47:$D$47</xm:f>
          </x14:formula1>
          <x14:formula2>
            <xm:f>0</xm:f>
          </x14:formula2>
          <xm:sqref>E6:E65</xm:sqref>
        </x14:dataValidation>
        <x14:dataValidation type="list" allowBlank="1" xr:uid="{00000000-0002-0000-0500-000005000000}">
          <x14:formula1>
            <xm:f>Games!$C$48:$D$48</xm:f>
          </x14:formula1>
          <x14:formula2>
            <xm:f>0</xm:f>
          </x14:formula2>
          <xm:sqref>F6:F65</xm:sqref>
        </x14:dataValidation>
        <x14:dataValidation type="list" allowBlank="1" xr:uid="{00000000-0002-0000-0500-000006000000}">
          <x14:formula1>
            <xm:f>Games!$C$49:$D$49</xm:f>
          </x14:formula1>
          <x14:formula2>
            <xm:f>0</xm:f>
          </x14:formula2>
          <xm:sqref>G6:G65</xm:sqref>
        </x14:dataValidation>
        <x14:dataValidation type="list" allowBlank="1" xr:uid="{00000000-0002-0000-0500-000007000000}">
          <x14:formula1>
            <xm:f>Games!$C$50:$D$50</xm:f>
          </x14:formula1>
          <x14:formula2>
            <xm:f>0</xm:f>
          </x14:formula2>
          <xm:sqref>H6:H65</xm:sqref>
        </x14:dataValidation>
        <x14:dataValidation type="list" allowBlank="1" xr:uid="{00000000-0002-0000-0500-000008000000}">
          <x14:formula1>
            <xm:f>Games!$C$51:$D$51</xm:f>
          </x14:formula1>
          <x14:formula2>
            <xm:f>0</xm:f>
          </x14:formula2>
          <xm:sqref>I6:I65</xm:sqref>
        </x14:dataValidation>
        <x14:dataValidation type="list" allowBlank="1" xr:uid="{00000000-0002-0000-0500-000009000000}">
          <x14:formula1>
            <xm:f>Games!$C$52:$D$52</xm:f>
          </x14:formula1>
          <x14:formula2>
            <xm:f>0</xm:f>
          </x14:formula2>
          <xm:sqref>J6:J65</xm:sqref>
        </x14:dataValidation>
        <x14:dataValidation type="list" allowBlank="1" xr:uid="{00000000-0002-0000-0500-00000A000000}">
          <x14:formula1>
            <xm:f>Games!$C$53:$D$53</xm:f>
          </x14:formula1>
          <x14:formula2>
            <xm:f>0</xm:f>
          </x14:formula2>
          <xm:sqref>K6:K65</xm:sqref>
        </x14:dataValidation>
        <x14:dataValidation type="list" allowBlank="1" xr:uid="{00000000-0002-0000-0500-00000B000000}">
          <x14:formula1>
            <xm:f>Games!$C$54:$D$54</xm:f>
          </x14:formula1>
          <x14:formula2>
            <xm:f>0</xm:f>
          </x14:formula2>
          <xm:sqref>L6:L65</xm:sqref>
        </x14:dataValidation>
        <x14:dataValidation type="list" allowBlank="1" xr:uid="{00000000-0002-0000-0500-00000C000000}">
          <x14:formula1>
            <xm:f>Games!$C$55:$D$55</xm:f>
          </x14:formula1>
          <x14:formula2>
            <xm:f>0</xm:f>
          </x14:formula2>
          <xm:sqref>M6:M65</xm:sqref>
        </x14:dataValidation>
        <x14:dataValidation type="list" allowBlank="1" xr:uid="{00000000-0002-0000-0500-00000D000000}">
          <x14:formula1>
            <xm:f>Games!$C$56:$D$56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318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1&amp;CHAR(10)&amp;Games!C57&amp;" vs "&amp;Games!D57</f>
        <v xml:space="preserve">1
 vs </v>
      </c>
      <c r="C4" s="10" t="str">
        <f>2&amp;CHAR(10)&amp;Games!C58&amp;" vs "&amp;Games!D58</f>
        <v xml:space="preserve">2
 vs </v>
      </c>
      <c r="D4" s="10" t="str">
        <f>3&amp;CHAR(10)&amp;Games!C59&amp;" vs "&amp;Games!D59</f>
        <v xml:space="preserve">3
 vs </v>
      </c>
      <c r="E4" s="10" t="str">
        <f>4&amp;CHAR(10)&amp;Games!C60&amp;" vs "&amp;Games!D60</f>
        <v xml:space="preserve">4
 vs </v>
      </c>
      <c r="F4" s="10" t="str">
        <f>5&amp;CHAR(10)&amp;Games!C61&amp;" vs "&amp;Games!D61</f>
        <v xml:space="preserve">5
 vs </v>
      </c>
      <c r="G4" s="10" t="str">
        <f>6&amp;CHAR(10)&amp;Games!C62&amp;" vs "&amp;Games!D62</f>
        <v xml:space="preserve">6
 vs </v>
      </c>
      <c r="H4" s="10" t="str">
        <f>7&amp;CHAR(10)&amp;Games!C63&amp;" vs "&amp;Games!D63</f>
        <v xml:space="preserve">7
 vs </v>
      </c>
      <c r="I4" s="10" t="str">
        <f>8&amp;CHAR(10)&amp;Games!C64&amp;" vs "&amp;Games!D64</f>
        <v xml:space="preserve">8
 vs </v>
      </c>
      <c r="J4" s="10" t="str">
        <f>9&amp;CHAR(10)&amp;Games!C65&amp;" vs "&amp;Games!D65</f>
        <v xml:space="preserve">9
 vs </v>
      </c>
      <c r="K4" s="10" t="str">
        <f>10&amp;CHAR(10)&amp;Games!C66&amp;" vs "&amp;Games!D66</f>
        <v xml:space="preserve">10
 vs </v>
      </c>
      <c r="L4" s="10" t="str">
        <f>11&amp;CHAR(10)&amp;Games!C67&amp;" vs "&amp;Games!D67</f>
        <v xml:space="preserve">11
 vs </v>
      </c>
      <c r="M4" s="10" t="str">
        <f>12&amp;CHAR(10)&amp;Games!C68&amp;" vs "&amp;Games!D68</f>
        <v xml:space="preserve">12
 vs </v>
      </c>
      <c r="N4" s="10" t="str">
        <f>13&amp;CHAR(10)&amp;Games!C69&amp;" vs "&amp;Games!D69</f>
        <v xml:space="preserve">13
 vs 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 t="str">
        <f>IF(OR(B6="",Results!B9=""),"",IF(B6=Results!B9,1+IF(OR($O6=1,$P6=1,$Q6=1),1,0),0))</f>
        <v/>
      </c>
      <c r="T6" s="4" t="str">
        <f>IF(OR(C6="",Results!C9=""),"",IF(C6=Results!C9,1+IF(OR($O6=2,$P6=2,$Q6=2),1,0),0))</f>
        <v/>
      </c>
      <c r="U6" s="4" t="str">
        <f>IF(OR(D6="",Results!D9=""),"",IF(D6=Results!D9,1+IF(OR($O6=3,$P6=3,$Q6=3),1,0),0))</f>
        <v/>
      </c>
      <c r="V6" s="4" t="str">
        <f>IF(OR(E6="",Results!E9=""),"",IF(E6=Results!E9,1+IF(OR($O6=4,$P6=4,$Q6=4),1,0),0))</f>
        <v/>
      </c>
      <c r="W6" s="4" t="str">
        <f>IF(OR(F6="",Results!F9=""),"",IF(F6=Results!F9,1+IF(OR($O6=5,$P6=5,$Q6=5),1,0),0))</f>
        <v/>
      </c>
      <c r="X6" s="4" t="str">
        <f>IF(OR(G6="",Results!G9=""),"",IF(G6=Results!G9,1+IF(OR($O6=6,$P6=6,$Q6=6),1,0),0))</f>
        <v/>
      </c>
      <c r="Y6" s="4" t="str">
        <f>IF(OR(H6="",Results!H9=""),"",IF(H6=Results!H9,1+IF(OR($O6=7,$P6=7,$Q6=7),1,0),0))</f>
        <v/>
      </c>
      <c r="Z6" s="4" t="str">
        <f>IF(OR(I6="",Results!I9=""),"",IF(I6=Results!I9,1+IF(OR($O6=8,$P6=8,$Q6=8),1,0),0))</f>
        <v/>
      </c>
      <c r="AA6" s="4" t="str">
        <f>IF(OR(J6="",Results!J9=""),"",IF(J6=Results!J9,1+IF(OR($O6=9,$P6=9,$Q6=9),1,0),0))</f>
        <v/>
      </c>
      <c r="AB6" s="4" t="str">
        <f>IF(OR(K6="",Results!K9=""),"",IF(K6=Results!K9,1+IF(OR($O6=10,$P6=10,$Q6=10),1,0),0))</f>
        <v/>
      </c>
      <c r="AC6" s="4" t="str">
        <f>IF(OR(L6="",Results!L9=""),"",IF(L6=Results!L9,1+IF(OR($O6=11,$P6=11,$Q6=11),1,0),0))</f>
        <v/>
      </c>
      <c r="AD6" s="4" t="str">
        <f>IF(OR(M6="",Results!M9=""),"",IF(M6=Results!M9,1+IF(OR($O6=12,$P6=12,$Q6=12),1,0),0))</f>
        <v/>
      </c>
      <c r="AE6" s="4" t="str">
        <f>IF(OR(N6="",Results!N9=""),"",IF(N6=Results!N9,1+IF(OR($O6=13,$P6=13,$Q6=13),1,0),0))</f>
        <v/>
      </c>
      <c r="AF6" s="11">
        <f t="shared" ref="AF6:AF37" si="0">SUM(S6:AE6)</f>
        <v>0</v>
      </c>
      <c r="AG6" s="4" t="str">
        <f>IF(OR($R6="",Results!O9=""),"",ABS($R6-Results!O9))</f>
        <v/>
      </c>
      <c r="AH6" s="12">
        <v>2</v>
      </c>
      <c r="AI6" s="13" t="str">
        <f>IF(OR(B6="",Results!B9=""),"",IF(AND(B6=Results!B9,Results!B9&lt;&gt;Games!$C$57),1,0))</f>
        <v/>
      </c>
      <c r="AJ6" s="13" t="str">
        <f>IF(OR(C6="",Results!C9=""),"",IF(AND(C6=Results!C9,Results!C9&lt;&gt;Games!$C$58),1,0))</f>
        <v/>
      </c>
      <c r="AK6" s="13" t="str">
        <f>IF(OR(D6="",Results!D9=""),"",IF(AND(D6=Results!D9,Results!D9&lt;&gt;Games!$C$59),1,0))</f>
        <v/>
      </c>
      <c r="AL6" s="13" t="str">
        <f>IF(OR(E6="",Results!E9=""),"",IF(AND(E6=Results!E9,Results!E9&lt;&gt;Games!$C$60),1,0))</f>
        <v/>
      </c>
      <c r="AM6" s="13" t="str">
        <f>IF(OR(F6="",Results!F9=""),"",IF(AND(F6=Results!F9,Results!F9&lt;&gt;Games!$C$61),1,0))</f>
        <v/>
      </c>
      <c r="AN6" s="13" t="str">
        <f>IF(OR(G6="",Results!G9=""),"",IF(AND(G6=Results!G9,Results!G9&lt;&gt;Games!$C$62),1,0))</f>
        <v/>
      </c>
      <c r="AO6" s="13" t="str">
        <f>IF(OR(H6="",Results!H9=""),"",IF(AND(H6=Results!H9,Results!H9&lt;&gt;Games!$C$63),1,0))</f>
        <v/>
      </c>
      <c r="AP6" s="13" t="str">
        <f>IF(OR(I6="",Results!I9=""),"",IF(AND(I6=Results!I9,Results!I9&lt;&gt;Games!$C$64),1,0))</f>
        <v/>
      </c>
      <c r="AQ6" s="13" t="str">
        <f>IF(OR(J6="",Results!J9=""),"",IF(AND(J6=Results!J9,Results!J9&lt;&gt;Games!$C$65),1,0))</f>
        <v/>
      </c>
      <c r="AR6" s="13" t="str">
        <f>IF(OR(K6="",Results!K9=""),"",IF(AND(K6=Results!K9,Results!K9&lt;&gt;Games!$C$66),1,0))</f>
        <v/>
      </c>
      <c r="AS6" s="13" t="str">
        <f>IF(OR(L6="",Results!L9=""),"",IF(AND(L6=Results!L9,Results!L9&lt;&gt;Games!$C$67),1,0))</f>
        <v/>
      </c>
      <c r="AT6" s="13" t="str">
        <f>IF(OR(M6="",Results!M9=""),"",IF(AND(M6=Results!M9,Results!M9&lt;&gt;Games!$C$68),1,0))</f>
        <v/>
      </c>
      <c r="AU6" s="13" t="str">
        <f>IF(OR(N6="",Results!N9=""),"",IF(AND(N6=Results!N9,Results!N9&lt;&gt;Games!$C$69),1,0))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IF(OR(B7="",Results!B9=""),"",IF(B7=Results!B9,1+IF(OR($O7=1,$P7=1,$Q7=1),1,0),0))</f>
        <v/>
      </c>
      <c r="T7" s="4" t="str">
        <f>IF(OR(C7="",Results!C9=""),"",IF(C7=Results!C9,1+IF(OR($O7=2,$P7=2,$Q7=2),1,0),0))</f>
        <v/>
      </c>
      <c r="U7" s="4" t="str">
        <f>IF(OR(D7="",Results!D9=""),"",IF(D7=Results!D9,1+IF(OR($O7=3,$P7=3,$Q7=3),1,0),0))</f>
        <v/>
      </c>
      <c r="V7" s="4" t="str">
        <f>IF(OR(E7="",Results!E9=""),"",IF(E7=Results!E9,1+IF(OR($O7=4,$P7=4,$Q7=4),1,0),0))</f>
        <v/>
      </c>
      <c r="W7" s="4" t="str">
        <f>IF(OR(F7="",Results!F9=""),"",IF(F7=Results!F9,1+IF(OR($O7=5,$P7=5,$Q7=5),1,0),0))</f>
        <v/>
      </c>
      <c r="X7" s="4" t="str">
        <f>IF(OR(G7="",Results!G9=""),"",IF(G7=Results!G9,1+IF(OR($O7=6,$P7=6,$Q7=6),1,0),0))</f>
        <v/>
      </c>
      <c r="Y7" s="4" t="str">
        <f>IF(OR(H7="",Results!H9=""),"",IF(H7=Results!H9,1+IF(OR($O7=7,$P7=7,$Q7=7),1,0),0))</f>
        <v/>
      </c>
      <c r="Z7" s="4" t="str">
        <f>IF(OR(I7="",Results!I9=""),"",IF(I7=Results!I9,1+IF(OR($O7=8,$P7=8,$Q7=8),1,0),0))</f>
        <v/>
      </c>
      <c r="AA7" s="4" t="str">
        <f>IF(OR(J7="",Results!J9=""),"",IF(J7=Results!J9,1+IF(OR($O7=9,$P7=9,$Q7=9),1,0),0))</f>
        <v/>
      </c>
      <c r="AB7" s="4" t="str">
        <f>IF(OR(K7="",Results!K9=""),"",IF(K7=Results!K9,1+IF(OR($O7=10,$P7=10,$Q7=10),1,0),0))</f>
        <v/>
      </c>
      <c r="AC7" s="4" t="str">
        <f>IF(OR(L7="",Results!L9=""),"",IF(L7=Results!L9,1+IF(OR($O7=11,$P7=11,$Q7=11),1,0),0))</f>
        <v/>
      </c>
      <c r="AD7" s="4" t="str">
        <f>IF(OR(M7="",Results!M9=""),"",IF(M7=Results!M9,1+IF(OR($O7=12,$P7=12,$Q7=12),1,0),0))</f>
        <v/>
      </c>
      <c r="AE7" s="4" t="str">
        <f>IF(OR(N7="",Results!N9=""),"",IF(N7=Results!N9,1+IF(OR($O7=13,$P7=13,$Q7=13),1,0),0))</f>
        <v/>
      </c>
      <c r="AF7" s="11">
        <f t="shared" si="0"/>
        <v>0</v>
      </c>
      <c r="AG7" s="4" t="str">
        <f>IF(OR($R7="",Results!O9=""),"",ABS($R7-Results!O9))</f>
        <v/>
      </c>
      <c r="AH7" s="12">
        <v>53</v>
      </c>
      <c r="AI7" s="13" t="str">
        <f>IF(OR(B7="",Results!B9=""),"",IF(AND(B7=Results!B9,Results!B9&lt;&gt;Games!$C$57),1,0))</f>
        <v/>
      </c>
      <c r="AJ7" s="13" t="str">
        <f>IF(OR(C7="",Results!C9=""),"",IF(AND(C7=Results!C9,Results!C9&lt;&gt;Games!$C$58),1,0))</f>
        <v/>
      </c>
      <c r="AK7" s="13" t="str">
        <f>IF(OR(D7="",Results!D9=""),"",IF(AND(D7=Results!D9,Results!D9&lt;&gt;Games!$C$59),1,0))</f>
        <v/>
      </c>
      <c r="AL7" s="13" t="str">
        <f>IF(OR(E7="",Results!E9=""),"",IF(AND(E7=Results!E9,Results!E9&lt;&gt;Games!$C$60),1,0))</f>
        <v/>
      </c>
      <c r="AM7" s="13" t="str">
        <f>IF(OR(F7="",Results!F9=""),"",IF(AND(F7=Results!F9,Results!F9&lt;&gt;Games!$C$61),1,0))</f>
        <v/>
      </c>
      <c r="AN7" s="13" t="str">
        <f>IF(OR(G7="",Results!G9=""),"",IF(AND(G7=Results!G9,Results!G9&lt;&gt;Games!$C$62),1,0))</f>
        <v/>
      </c>
      <c r="AO7" s="13" t="str">
        <f>IF(OR(H7="",Results!H9=""),"",IF(AND(H7=Results!H9,Results!H9&lt;&gt;Games!$C$63),1,0))</f>
        <v/>
      </c>
      <c r="AP7" s="13" t="str">
        <f>IF(OR(I7="",Results!I9=""),"",IF(AND(I7=Results!I9,Results!I9&lt;&gt;Games!$C$64),1,0))</f>
        <v/>
      </c>
      <c r="AQ7" s="13" t="str">
        <f>IF(OR(J7="",Results!J9=""),"",IF(AND(J7=Results!J9,Results!J9&lt;&gt;Games!$C$65),1,0))</f>
        <v/>
      </c>
      <c r="AR7" s="13" t="str">
        <f>IF(OR(K7="",Results!K9=""),"",IF(AND(K7=Results!K9,Results!K9&lt;&gt;Games!$C$66),1,0))</f>
        <v/>
      </c>
      <c r="AS7" s="13" t="str">
        <f>IF(OR(L7="",Results!L9=""),"",IF(AND(L7=Results!L9,Results!L9&lt;&gt;Games!$C$67),1,0))</f>
        <v/>
      </c>
      <c r="AT7" s="13" t="str">
        <f>IF(OR(M7="",Results!M9=""),"",IF(AND(M7=Results!M9,Results!M9&lt;&gt;Games!$C$68),1,0))</f>
        <v/>
      </c>
      <c r="AU7" s="13" t="str">
        <f>IF(OR(N7="",Results!N9=""),"",IF(AND(N7=Results!N9,Results!N9&lt;&gt;Games!$C$69),1,0))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" t="str">
        <f>IF(OR(B8="",Results!B9=""),"",IF(B8=Results!B9,1+IF(OR($O8=1,$P8=1,$Q8=1),1,0),0))</f>
        <v/>
      </c>
      <c r="T8" s="4" t="str">
        <f>IF(OR(C8="",Results!C9=""),"",IF(C8=Results!C9,1+IF(OR($O8=2,$P8=2,$Q8=2),1,0),0))</f>
        <v/>
      </c>
      <c r="U8" s="4" t="str">
        <f>IF(OR(D8="",Results!D9=""),"",IF(D8=Results!D9,1+IF(OR($O8=3,$P8=3,$Q8=3),1,0),0))</f>
        <v/>
      </c>
      <c r="V8" s="4" t="str">
        <f>IF(OR(E8="",Results!E9=""),"",IF(E8=Results!E9,1+IF(OR($O8=4,$P8=4,$Q8=4),1,0),0))</f>
        <v/>
      </c>
      <c r="W8" s="4" t="str">
        <f>IF(OR(F8="",Results!F9=""),"",IF(F8=Results!F9,1+IF(OR($O8=5,$P8=5,$Q8=5),1,0),0))</f>
        <v/>
      </c>
      <c r="X8" s="4" t="str">
        <f>IF(OR(G8="",Results!G9=""),"",IF(G8=Results!G9,1+IF(OR($O8=6,$P8=6,$Q8=6),1,0),0))</f>
        <v/>
      </c>
      <c r="Y8" s="4" t="str">
        <f>IF(OR(H8="",Results!H9=""),"",IF(H8=Results!H9,1+IF(OR($O8=7,$P8=7,$Q8=7),1,0),0))</f>
        <v/>
      </c>
      <c r="Z8" s="4" t="str">
        <f>IF(OR(I8="",Results!I9=""),"",IF(I8=Results!I9,1+IF(OR($O8=8,$P8=8,$Q8=8),1,0),0))</f>
        <v/>
      </c>
      <c r="AA8" s="4" t="str">
        <f>IF(OR(J8="",Results!J9=""),"",IF(J8=Results!J9,1+IF(OR($O8=9,$P8=9,$Q8=9),1,0),0))</f>
        <v/>
      </c>
      <c r="AB8" s="4" t="str">
        <f>IF(OR(K8="",Results!K9=""),"",IF(K8=Results!K9,1+IF(OR($O8=10,$P8=10,$Q8=10),1,0),0))</f>
        <v/>
      </c>
      <c r="AC8" s="4" t="str">
        <f>IF(OR(L8="",Results!L9=""),"",IF(L8=Results!L9,1+IF(OR($O8=11,$P8=11,$Q8=11),1,0),0))</f>
        <v/>
      </c>
      <c r="AD8" s="4" t="str">
        <f>IF(OR(M8="",Results!M9=""),"",IF(M8=Results!M9,1+IF(OR($O8=12,$P8=12,$Q8=12),1,0),0))</f>
        <v/>
      </c>
      <c r="AE8" s="4" t="str">
        <f>IF(OR(N8="",Results!N9=""),"",IF(N8=Results!N9,1+IF(OR($O8=13,$P8=13,$Q8=13),1,0),0))</f>
        <v/>
      </c>
      <c r="AF8" s="11">
        <f t="shared" si="0"/>
        <v>0</v>
      </c>
      <c r="AG8" s="4" t="str">
        <f>IF(OR($R8="",Results!O9=""),"",ABS($R8-Results!O9))</f>
        <v/>
      </c>
      <c r="AH8" s="12">
        <v>61</v>
      </c>
      <c r="AI8" s="13" t="str">
        <f>IF(OR(B8="",Results!B9=""),"",IF(AND(B8=Results!B9,Results!B9&lt;&gt;Games!$C$57),1,0))</f>
        <v/>
      </c>
      <c r="AJ8" s="13" t="str">
        <f>IF(OR(C8="",Results!C9=""),"",IF(AND(C8=Results!C9,Results!C9&lt;&gt;Games!$C$58),1,0))</f>
        <v/>
      </c>
      <c r="AK8" s="13" t="str">
        <f>IF(OR(D8="",Results!D9=""),"",IF(AND(D8=Results!D9,Results!D9&lt;&gt;Games!$C$59),1,0))</f>
        <v/>
      </c>
      <c r="AL8" s="13" t="str">
        <f>IF(OR(E8="",Results!E9=""),"",IF(AND(E8=Results!E9,Results!E9&lt;&gt;Games!$C$60),1,0))</f>
        <v/>
      </c>
      <c r="AM8" s="13" t="str">
        <f>IF(OR(F8="",Results!F9=""),"",IF(AND(F8=Results!F9,Results!F9&lt;&gt;Games!$C$61),1,0))</f>
        <v/>
      </c>
      <c r="AN8" s="13" t="str">
        <f>IF(OR(G8="",Results!G9=""),"",IF(AND(G8=Results!G9,Results!G9&lt;&gt;Games!$C$62),1,0))</f>
        <v/>
      </c>
      <c r="AO8" s="13" t="str">
        <f>IF(OR(H8="",Results!H9=""),"",IF(AND(H8=Results!H9,Results!H9&lt;&gt;Games!$C$63),1,0))</f>
        <v/>
      </c>
      <c r="AP8" s="13" t="str">
        <f>IF(OR(I8="",Results!I9=""),"",IF(AND(I8=Results!I9,Results!I9&lt;&gt;Games!$C$64),1,0))</f>
        <v/>
      </c>
      <c r="AQ8" s="13" t="str">
        <f>IF(OR(J8="",Results!J9=""),"",IF(AND(J8=Results!J9,Results!J9&lt;&gt;Games!$C$65),1,0))</f>
        <v/>
      </c>
      <c r="AR8" s="13" t="str">
        <f>IF(OR(K8="",Results!K9=""),"",IF(AND(K8=Results!K9,Results!K9&lt;&gt;Games!$C$66),1,0))</f>
        <v/>
      </c>
      <c r="AS8" s="13" t="str">
        <f>IF(OR(L8="",Results!L9=""),"",IF(AND(L8=Results!L9,Results!L9&lt;&gt;Games!$C$67),1,0))</f>
        <v/>
      </c>
      <c r="AT8" s="13" t="str">
        <f>IF(OR(M8="",Results!M9=""),"",IF(AND(M8=Results!M9,Results!M9&lt;&gt;Games!$C$68),1,0))</f>
        <v/>
      </c>
      <c r="AU8" s="13" t="str">
        <f>IF(OR(N8="",Results!N9=""),"",IF(AND(N8=Results!N9,Results!N9&lt;&gt;Games!$C$69),1,0))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IF(OR(B9="",Results!B9=""),"",IF(B9=Results!B9,1+IF(OR($O9=1,$P9=1,$Q9=1),1,0),0))</f>
        <v/>
      </c>
      <c r="T9" s="4" t="str">
        <f>IF(OR(C9="",Results!C9=""),"",IF(C9=Results!C9,1+IF(OR($O9=2,$P9=2,$Q9=2),1,0),0))</f>
        <v/>
      </c>
      <c r="U9" s="4" t="str">
        <f>IF(OR(D9="",Results!D9=""),"",IF(D9=Results!D9,1+IF(OR($O9=3,$P9=3,$Q9=3),1,0),0))</f>
        <v/>
      </c>
      <c r="V9" s="4" t="str">
        <f>IF(OR(E9="",Results!E9=""),"",IF(E9=Results!E9,1+IF(OR($O9=4,$P9=4,$Q9=4),1,0),0))</f>
        <v/>
      </c>
      <c r="W9" s="4" t="str">
        <f>IF(OR(F9="",Results!F9=""),"",IF(F9=Results!F9,1+IF(OR($O9=5,$P9=5,$Q9=5),1,0),0))</f>
        <v/>
      </c>
      <c r="X9" s="4" t="str">
        <f>IF(OR(G9="",Results!G9=""),"",IF(G9=Results!G9,1+IF(OR($O9=6,$P9=6,$Q9=6),1,0),0))</f>
        <v/>
      </c>
      <c r="Y9" s="4" t="str">
        <f>IF(OR(H9="",Results!H9=""),"",IF(H9=Results!H9,1+IF(OR($O9=7,$P9=7,$Q9=7),1,0),0))</f>
        <v/>
      </c>
      <c r="Z9" s="4" t="str">
        <f>IF(OR(I9="",Results!I9=""),"",IF(I9=Results!I9,1+IF(OR($O9=8,$P9=8,$Q9=8),1,0),0))</f>
        <v/>
      </c>
      <c r="AA9" s="4" t="str">
        <f>IF(OR(J9="",Results!J9=""),"",IF(J9=Results!J9,1+IF(OR($O9=9,$P9=9,$Q9=9),1,0),0))</f>
        <v/>
      </c>
      <c r="AB9" s="4" t="str">
        <f>IF(OR(K9="",Results!K9=""),"",IF(K9=Results!K9,1+IF(OR($O9=10,$P9=10,$Q9=10),1,0),0))</f>
        <v/>
      </c>
      <c r="AC9" s="4" t="str">
        <f>IF(OR(L9="",Results!L9=""),"",IF(L9=Results!L9,1+IF(OR($O9=11,$P9=11,$Q9=11),1,0),0))</f>
        <v/>
      </c>
      <c r="AD9" s="4" t="str">
        <f>IF(OR(M9="",Results!M9=""),"",IF(M9=Results!M9,1+IF(OR($O9=12,$P9=12,$Q9=12),1,0),0))</f>
        <v/>
      </c>
      <c r="AE9" s="4" t="str">
        <f>IF(OR(N9="",Results!N9=""),"",IF(N9=Results!N9,1+IF(OR($O9=13,$P9=13,$Q9=13),1,0),0))</f>
        <v/>
      </c>
      <c r="AF9" s="11">
        <f t="shared" si="0"/>
        <v>0</v>
      </c>
      <c r="AG9" s="4" t="str">
        <f>IF(OR($R9="",Results!O9=""),"",ABS($R9-Results!O9))</f>
        <v/>
      </c>
      <c r="AH9" s="12">
        <v>41</v>
      </c>
      <c r="AI9" s="13" t="str">
        <f>IF(OR(B9="",Results!B9=""),"",IF(AND(B9=Results!B9,Results!B9&lt;&gt;Games!$C$57),1,0))</f>
        <v/>
      </c>
      <c r="AJ9" s="13" t="str">
        <f>IF(OR(C9="",Results!C9=""),"",IF(AND(C9=Results!C9,Results!C9&lt;&gt;Games!$C$58),1,0))</f>
        <v/>
      </c>
      <c r="AK9" s="13" t="str">
        <f>IF(OR(D9="",Results!D9=""),"",IF(AND(D9=Results!D9,Results!D9&lt;&gt;Games!$C$59),1,0))</f>
        <v/>
      </c>
      <c r="AL9" s="13" t="str">
        <f>IF(OR(E9="",Results!E9=""),"",IF(AND(E9=Results!E9,Results!E9&lt;&gt;Games!$C$60),1,0))</f>
        <v/>
      </c>
      <c r="AM9" s="13" t="str">
        <f>IF(OR(F9="",Results!F9=""),"",IF(AND(F9=Results!F9,Results!F9&lt;&gt;Games!$C$61),1,0))</f>
        <v/>
      </c>
      <c r="AN9" s="13" t="str">
        <f>IF(OR(G9="",Results!G9=""),"",IF(AND(G9=Results!G9,Results!G9&lt;&gt;Games!$C$62),1,0))</f>
        <v/>
      </c>
      <c r="AO9" s="13" t="str">
        <f>IF(OR(H9="",Results!H9=""),"",IF(AND(H9=Results!H9,Results!H9&lt;&gt;Games!$C$63),1,0))</f>
        <v/>
      </c>
      <c r="AP9" s="13" t="str">
        <f>IF(OR(I9="",Results!I9=""),"",IF(AND(I9=Results!I9,Results!I9&lt;&gt;Games!$C$64),1,0))</f>
        <v/>
      </c>
      <c r="AQ9" s="13" t="str">
        <f>IF(OR(J9="",Results!J9=""),"",IF(AND(J9=Results!J9,Results!J9&lt;&gt;Games!$C$65),1,0))</f>
        <v/>
      </c>
      <c r="AR9" s="13" t="str">
        <f>IF(OR(K9="",Results!K9=""),"",IF(AND(K9=Results!K9,Results!K9&lt;&gt;Games!$C$66),1,0))</f>
        <v/>
      </c>
      <c r="AS9" s="13" t="str">
        <f>IF(OR(L9="",Results!L9=""),"",IF(AND(L9=Results!L9,Results!L9&lt;&gt;Games!$C$67),1,0))</f>
        <v/>
      </c>
      <c r="AT9" s="13" t="str">
        <f>IF(OR(M9="",Results!M9=""),"",IF(AND(M9=Results!M9,Results!M9&lt;&gt;Games!$C$68),1,0))</f>
        <v/>
      </c>
      <c r="AU9" s="13" t="str">
        <f>IF(OR(N9="",Results!N9=""),"",IF(AND(N9=Results!N9,Results!N9&lt;&gt;Games!$C$69),1,0))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tr">
        <f>IF(OR(B10="",Results!B9=""),"",IF(B10=Results!B9,1+IF(OR($O10=1,$P10=1,$Q10=1),1,0),0))</f>
        <v/>
      </c>
      <c r="T10" s="4" t="str">
        <f>IF(OR(C10="",Results!C9=""),"",IF(C10=Results!C9,1+IF(OR($O10=2,$P10=2,$Q10=2),1,0),0))</f>
        <v/>
      </c>
      <c r="U10" s="4" t="str">
        <f>IF(OR(D10="",Results!D9=""),"",IF(D10=Results!D9,1+IF(OR($O10=3,$P10=3,$Q10=3),1,0),0))</f>
        <v/>
      </c>
      <c r="V10" s="4" t="str">
        <f>IF(OR(E10="",Results!E9=""),"",IF(E10=Results!E9,1+IF(OR($O10=4,$P10=4,$Q10=4),1,0),0))</f>
        <v/>
      </c>
      <c r="W10" s="4" t="str">
        <f>IF(OR(F10="",Results!F9=""),"",IF(F10=Results!F9,1+IF(OR($O10=5,$P10=5,$Q10=5),1,0),0))</f>
        <v/>
      </c>
      <c r="X10" s="4" t="str">
        <f>IF(OR(G10="",Results!G9=""),"",IF(G10=Results!G9,1+IF(OR($O10=6,$P10=6,$Q10=6),1,0),0))</f>
        <v/>
      </c>
      <c r="Y10" s="4" t="str">
        <f>IF(OR(H10="",Results!H9=""),"",IF(H10=Results!H9,1+IF(OR($O10=7,$P10=7,$Q10=7),1,0),0))</f>
        <v/>
      </c>
      <c r="Z10" s="4" t="str">
        <f>IF(OR(I10="",Results!I9=""),"",IF(I10=Results!I9,1+IF(OR($O10=8,$P10=8,$Q10=8),1,0),0))</f>
        <v/>
      </c>
      <c r="AA10" s="4" t="str">
        <f>IF(OR(J10="",Results!J9=""),"",IF(J10=Results!J9,1+IF(OR($O10=9,$P10=9,$Q10=9),1,0),0))</f>
        <v/>
      </c>
      <c r="AB10" s="4" t="str">
        <f>IF(OR(K10="",Results!K9=""),"",IF(K10=Results!K9,1+IF(OR($O10=10,$P10=10,$Q10=10),1,0),0))</f>
        <v/>
      </c>
      <c r="AC10" s="4" t="str">
        <f>IF(OR(L10="",Results!L9=""),"",IF(L10=Results!L9,1+IF(OR($O10=11,$P10=11,$Q10=11),1,0),0))</f>
        <v/>
      </c>
      <c r="AD10" s="4" t="str">
        <f>IF(OR(M10="",Results!M9=""),"",IF(M10=Results!M9,1+IF(OR($O10=12,$P10=12,$Q10=12),1,0),0))</f>
        <v/>
      </c>
      <c r="AE10" s="4" t="str">
        <f>IF(OR(N10="",Results!N9=""),"",IF(N10=Results!N9,1+IF(OR($O10=13,$P10=13,$Q10=13),1,0),0))</f>
        <v/>
      </c>
      <c r="AF10" s="11">
        <f t="shared" si="0"/>
        <v>0</v>
      </c>
      <c r="AG10" s="4" t="str">
        <f>IF(OR($R10="",Results!O9=""),"",ABS($R10-Results!O9))</f>
        <v/>
      </c>
      <c r="AH10" s="12">
        <v>3</v>
      </c>
      <c r="AI10" s="13" t="str">
        <f>IF(OR(B10="",Results!B9=""),"",IF(AND(B10=Results!B9,Results!B9&lt;&gt;Games!$C$57),1,0))</f>
        <v/>
      </c>
      <c r="AJ10" s="13" t="str">
        <f>IF(OR(C10="",Results!C9=""),"",IF(AND(C10=Results!C9,Results!C9&lt;&gt;Games!$C$58),1,0))</f>
        <v/>
      </c>
      <c r="AK10" s="13" t="str">
        <f>IF(OR(D10="",Results!D9=""),"",IF(AND(D10=Results!D9,Results!D9&lt;&gt;Games!$C$59),1,0))</f>
        <v/>
      </c>
      <c r="AL10" s="13" t="str">
        <f>IF(OR(E10="",Results!E9=""),"",IF(AND(E10=Results!E9,Results!E9&lt;&gt;Games!$C$60),1,0))</f>
        <v/>
      </c>
      <c r="AM10" s="13" t="str">
        <f>IF(OR(F10="",Results!F9=""),"",IF(AND(F10=Results!F9,Results!F9&lt;&gt;Games!$C$61),1,0))</f>
        <v/>
      </c>
      <c r="AN10" s="13" t="str">
        <f>IF(OR(G10="",Results!G9=""),"",IF(AND(G10=Results!G9,Results!G9&lt;&gt;Games!$C$62),1,0))</f>
        <v/>
      </c>
      <c r="AO10" s="13" t="str">
        <f>IF(OR(H10="",Results!H9=""),"",IF(AND(H10=Results!H9,Results!H9&lt;&gt;Games!$C$63),1,0))</f>
        <v/>
      </c>
      <c r="AP10" s="13" t="str">
        <f>IF(OR(I10="",Results!I9=""),"",IF(AND(I10=Results!I9,Results!I9&lt;&gt;Games!$C$64),1,0))</f>
        <v/>
      </c>
      <c r="AQ10" s="13" t="str">
        <f>IF(OR(J10="",Results!J9=""),"",IF(AND(J10=Results!J9,Results!J9&lt;&gt;Games!$C$65),1,0))</f>
        <v/>
      </c>
      <c r="AR10" s="13" t="str">
        <f>IF(OR(K10="",Results!K9=""),"",IF(AND(K10=Results!K9,Results!K9&lt;&gt;Games!$C$66),1,0))</f>
        <v/>
      </c>
      <c r="AS10" s="13" t="str">
        <f>IF(OR(L10="",Results!L9=""),"",IF(AND(L10=Results!L9,Results!L9&lt;&gt;Games!$C$67),1,0))</f>
        <v/>
      </c>
      <c r="AT10" s="13" t="str">
        <f>IF(OR(M10="",Results!M9=""),"",IF(AND(M10=Results!M9,Results!M9&lt;&gt;Games!$C$68),1,0))</f>
        <v/>
      </c>
      <c r="AU10" s="13" t="str">
        <f>IF(OR(N10="",Results!N9=""),"",IF(AND(N10=Results!N9,Results!N9&lt;&gt;Games!$C$69),1,0))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IF(OR(B11="",Results!B9=""),"",IF(B11=Results!B9,1+IF(OR($O11=1,$P11=1,$Q11=1),1,0),0))</f>
        <v/>
      </c>
      <c r="T11" s="4" t="str">
        <f>IF(OR(C11="",Results!C9=""),"",IF(C11=Results!C9,1+IF(OR($O11=2,$P11=2,$Q11=2),1,0),0))</f>
        <v/>
      </c>
      <c r="U11" s="4" t="str">
        <f>IF(OR(D11="",Results!D9=""),"",IF(D11=Results!D9,1+IF(OR($O11=3,$P11=3,$Q11=3),1,0),0))</f>
        <v/>
      </c>
      <c r="V11" s="4" t="str">
        <f>IF(OR(E11="",Results!E9=""),"",IF(E11=Results!E9,1+IF(OR($O11=4,$P11=4,$Q11=4),1,0),0))</f>
        <v/>
      </c>
      <c r="W11" s="4" t="str">
        <f>IF(OR(F11="",Results!F9=""),"",IF(F11=Results!F9,1+IF(OR($O11=5,$P11=5,$Q11=5),1,0),0))</f>
        <v/>
      </c>
      <c r="X11" s="4" t="str">
        <f>IF(OR(G11="",Results!G9=""),"",IF(G11=Results!G9,1+IF(OR($O11=6,$P11=6,$Q11=6),1,0),0))</f>
        <v/>
      </c>
      <c r="Y11" s="4" t="str">
        <f>IF(OR(H11="",Results!H9=""),"",IF(H11=Results!H9,1+IF(OR($O11=7,$P11=7,$Q11=7),1,0),0))</f>
        <v/>
      </c>
      <c r="Z11" s="4" t="str">
        <f>IF(OR(I11="",Results!I9=""),"",IF(I11=Results!I9,1+IF(OR($O11=8,$P11=8,$Q11=8),1,0),0))</f>
        <v/>
      </c>
      <c r="AA11" s="4" t="str">
        <f>IF(OR(J11="",Results!J9=""),"",IF(J11=Results!J9,1+IF(OR($O11=9,$P11=9,$Q11=9),1,0),0))</f>
        <v/>
      </c>
      <c r="AB11" s="4" t="str">
        <f>IF(OR(K11="",Results!K9=""),"",IF(K11=Results!K9,1+IF(OR($O11=10,$P11=10,$Q11=10),1,0),0))</f>
        <v/>
      </c>
      <c r="AC11" s="4" t="str">
        <f>IF(OR(L11="",Results!L9=""),"",IF(L11=Results!L9,1+IF(OR($O11=11,$P11=11,$Q11=11),1,0),0))</f>
        <v/>
      </c>
      <c r="AD11" s="4" t="str">
        <f>IF(OR(M11="",Results!M9=""),"",IF(M11=Results!M9,1+IF(OR($O11=12,$P11=12,$Q11=12),1,0),0))</f>
        <v/>
      </c>
      <c r="AE11" s="4" t="str">
        <f>IF(OR(N11="",Results!N9=""),"",IF(N11=Results!N9,1+IF(OR($O11=13,$P11=13,$Q11=13),1,0),0))</f>
        <v/>
      </c>
      <c r="AF11" s="11">
        <f t="shared" si="0"/>
        <v>0</v>
      </c>
      <c r="AG11" s="4" t="str">
        <f>IF(OR($R11="",Results!O9=""),"",ABS($R11-Results!O9))</f>
        <v/>
      </c>
      <c r="AH11" s="12">
        <v>58</v>
      </c>
      <c r="AI11" s="13" t="str">
        <f>IF(OR(B11="",Results!B9=""),"",IF(AND(B11=Results!B9,Results!B9&lt;&gt;Games!$C$57),1,0))</f>
        <v/>
      </c>
      <c r="AJ11" s="13" t="str">
        <f>IF(OR(C11="",Results!C9=""),"",IF(AND(C11=Results!C9,Results!C9&lt;&gt;Games!$C$58),1,0))</f>
        <v/>
      </c>
      <c r="AK11" s="13" t="str">
        <f>IF(OR(D11="",Results!D9=""),"",IF(AND(D11=Results!D9,Results!D9&lt;&gt;Games!$C$59),1,0))</f>
        <v/>
      </c>
      <c r="AL11" s="13" t="str">
        <f>IF(OR(E11="",Results!E9=""),"",IF(AND(E11=Results!E9,Results!E9&lt;&gt;Games!$C$60),1,0))</f>
        <v/>
      </c>
      <c r="AM11" s="13" t="str">
        <f>IF(OR(F11="",Results!F9=""),"",IF(AND(F11=Results!F9,Results!F9&lt;&gt;Games!$C$61),1,0))</f>
        <v/>
      </c>
      <c r="AN11" s="13" t="str">
        <f>IF(OR(G11="",Results!G9=""),"",IF(AND(G11=Results!G9,Results!G9&lt;&gt;Games!$C$62),1,0))</f>
        <v/>
      </c>
      <c r="AO11" s="13" t="str">
        <f>IF(OR(H11="",Results!H9=""),"",IF(AND(H11=Results!H9,Results!H9&lt;&gt;Games!$C$63),1,0))</f>
        <v/>
      </c>
      <c r="AP11" s="13" t="str">
        <f>IF(OR(I11="",Results!I9=""),"",IF(AND(I11=Results!I9,Results!I9&lt;&gt;Games!$C$64),1,0))</f>
        <v/>
      </c>
      <c r="AQ11" s="13" t="str">
        <f>IF(OR(J11="",Results!J9=""),"",IF(AND(J11=Results!J9,Results!J9&lt;&gt;Games!$C$65),1,0))</f>
        <v/>
      </c>
      <c r="AR11" s="13" t="str">
        <f>IF(OR(K11="",Results!K9=""),"",IF(AND(K11=Results!K9,Results!K9&lt;&gt;Games!$C$66),1,0))</f>
        <v/>
      </c>
      <c r="AS11" s="13" t="str">
        <f>IF(OR(L11="",Results!L9=""),"",IF(AND(L11=Results!L9,Results!L9&lt;&gt;Games!$C$67),1,0))</f>
        <v/>
      </c>
      <c r="AT11" s="13" t="str">
        <f>IF(OR(M11="",Results!M9=""),"",IF(AND(M11=Results!M9,Results!M9&lt;&gt;Games!$C$68),1,0))</f>
        <v/>
      </c>
      <c r="AU11" s="13" t="str">
        <f>IF(OR(N11="",Results!N9=""),"",IF(AND(N11=Results!N9,Results!N9&lt;&gt;Games!$C$69),1,0))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 t="str">
        <f>IF(OR(B12="",Results!B9=""),"",IF(B12=Results!B9,1+IF(OR($O12=1,$P12=1,$Q12=1),1,0),0))</f>
        <v/>
      </c>
      <c r="T12" s="4" t="str">
        <f>IF(OR(C12="",Results!C9=""),"",IF(C12=Results!C9,1+IF(OR($O12=2,$P12=2,$Q12=2),1,0),0))</f>
        <v/>
      </c>
      <c r="U12" s="4" t="str">
        <f>IF(OR(D12="",Results!D9=""),"",IF(D12=Results!D9,1+IF(OR($O12=3,$P12=3,$Q12=3),1,0),0))</f>
        <v/>
      </c>
      <c r="V12" s="4" t="str">
        <f>IF(OR(E12="",Results!E9=""),"",IF(E12=Results!E9,1+IF(OR($O12=4,$P12=4,$Q12=4),1,0),0))</f>
        <v/>
      </c>
      <c r="W12" s="4" t="str">
        <f>IF(OR(F12="",Results!F9=""),"",IF(F12=Results!F9,1+IF(OR($O12=5,$P12=5,$Q12=5),1,0),0))</f>
        <v/>
      </c>
      <c r="X12" s="4" t="str">
        <f>IF(OR(G12="",Results!G9=""),"",IF(G12=Results!G9,1+IF(OR($O12=6,$P12=6,$Q12=6),1,0),0))</f>
        <v/>
      </c>
      <c r="Y12" s="4" t="str">
        <f>IF(OR(H12="",Results!H9=""),"",IF(H12=Results!H9,1+IF(OR($O12=7,$P12=7,$Q12=7),1,0),0))</f>
        <v/>
      </c>
      <c r="Z12" s="4" t="str">
        <f>IF(OR(I12="",Results!I9=""),"",IF(I12=Results!I9,1+IF(OR($O12=8,$P12=8,$Q12=8),1,0),0))</f>
        <v/>
      </c>
      <c r="AA12" s="4" t="str">
        <f>IF(OR(J12="",Results!J9=""),"",IF(J12=Results!J9,1+IF(OR($O12=9,$P12=9,$Q12=9),1,0),0))</f>
        <v/>
      </c>
      <c r="AB12" s="4" t="str">
        <f>IF(OR(K12="",Results!K9=""),"",IF(K12=Results!K9,1+IF(OR($O12=10,$P12=10,$Q12=10),1,0),0))</f>
        <v/>
      </c>
      <c r="AC12" s="4" t="str">
        <f>IF(OR(L12="",Results!L9=""),"",IF(L12=Results!L9,1+IF(OR($O12=11,$P12=11,$Q12=11),1,0),0))</f>
        <v/>
      </c>
      <c r="AD12" s="4" t="str">
        <f>IF(OR(M12="",Results!M9=""),"",IF(M12=Results!M9,1+IF(OR($O12=12,$P12=12,$Q12=12),1,0),0))</f>
        <v/>
      </c>
      <c r="AE12" s="4" t="str">
        <f>IF(OR(N12="",Results!N9=""),"",IF(N12=Results!N9,1+IF(OR($O12=13,$P12=13,$Q12=13),1,0),0))</f>
        <v/>
      </c>
      <c r="AF12" s="11">
        <f t="shared" si="0"/>
        <v>0</v>
      </c>
      <c r="AG12" s="4" t="str">
        <f>IF(OR($R12="",Results!O9=""),"",ABS($R12-Results!O9))</f>
        <v/>
      </c>
      <c r="AH12" s="12">
        <v>4</v>
      </c>
      <c r="AI12" s="13" t="str">
        <f>IF(OR(B12="",Results!B9=""),"",IF(AND(B12=Results!B9,Results!B9&lt;&gt;Games!$C$57),1,0))</f>
        <v/>
      </c>
      <c r="AJ12" s="13" t="str">
        <f>IF(OR(C12="",Results!C9=""),"",IF(AND(C12=Results!C9,Results!C9&lt;&gt;Games!$C$58),1,0))</f>
        <v/>
      </c>
      <c r="AK12" s="13" t="str">
        <f>IF(OR(D12="",Results!D9=""),"",IF(AND(D12=Results!D9,Results!D9&lt;&gt;Games!$C$59),1,0))</f>
        <v/>
      </c>
      <c r="AL12" s="13" t="str">
        <f>IF(OR(E12="",Results!E9=""),"",IF(AND(E12=Results!E9,Results!E9&lt;&gt;Games!$C$60),1,0))</f>
        <v/>
      </c>
      <c r="AM12" s="13" t="str">
        <f>IF(OR(F12="",Results!F9=""),"",IF(AND(F12=Results!F9,Results!F9&lt;&gt;Games!$C$61),1,0))</f>
        <v/>
      </c>
      <c r="AN12" s="13" t="str">
        <f>IF(OR(G12="",Results!G9=""),"",IF(AND(G12=Results!G9,Results!G9&lt;&gt;Games!$C$62),1,0))</f>
        <v/>
      </c>
      <c r="AO12" s="13" t="str">
        <f>IF(OR(H12="",Results!H9=""),"",IF(AND(H12=Results!H9,Results!H9&lt;&gt;Games!$C$63),1,0))</f>
        <v/>
      </c>
      <c r="AP12" s="13" t="str">
        <f>IF(OR(I12="",Results!I9=""),"",IF(AND(I12=Results!I9,Results!I9&lt;&gt;Games!$C$64),1,0))</f>
        <v/>
      </c>
      <c r="AQ12" s="13" t="str">
        <f>IF(OR(J12="",Results!J9=""),"",IF(AND(J12=Results!J9,Results!J9&lt;&gt;Games!$C$65),1,0))</f>
        <v/>
      </c>
      <c r="AR12" s="13" t="str">
        <f>IF(OR(K12="",Results!K9=""),"",IF(AND(K12=Results!K9,Results!K9&lt;&gt;Games!$C$66),1,0))</f>
        <v/>
      </c>
      <c r="AS12" s="13" t="str">
        <f>IF(OR(L12="",Results!L9=""),"",IF(AND(L12=Results!L9,Results!L9&lt;&gt;Games!$C$67),1,0))</f>
        <v/>
      </c>
      <c r="AT12" s="13" t="str">
        <f>IF(OR(M12="",Results!M9=""),"",IF(AND(M12=Results!M9,Results!M9&lt;&gt;Games!$C$68),1,0))</f>
        <v/>
      </c>
      <c r="AU12" s="13" t="str">
        <f>IF(OR(N12="",Results!N9=""),"",IF(AND(N12=Results!N9,Results!N9&lt;&gt;Games!$C$69),1,0))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IF(OR(B13="",Results!B9=""),"",IF(B13=Results!B9,1+IF(OR($O13=1,$P13=1,$Q13=1),1,0),0))</f>
        <v/>
      </c>
      <c r="T13" s="4" t="str">
        <f>IF(OR(C13="",Results!C9=""),"",IF(C13=Results!C9,1+IF(OR($O13=2,$P13=2,$Q13=2),1,0),0))</f>
        <v/>
      </c>
      <c r="U13" s="4" t="str">
        <f>IF(OR(D13="",Results!D9=""),"",IF(D13=Results!D9,1+IF(OR($O13=3,$P13=3,$Q13=3),1,0),0))</f>
        <v/>
      </c>
      <c r="V13" s="4" t="str">
        <f>IF(OR(E13="",Results!E9=""),"",IF(E13=Results!E9,1+IF(OR($O13=4,$P13=4,$Q13=4),1,0),0))</f>
        <v/>
      </c>
      <c r="W13" s="4" t="str">
        <f>IF(OR(F13="",Results!F9=""),"",IF(F13=Results!F9,1+IF(OR($O13=5,$P13=5,$Q13=5),1,0),0))</f>
        <v/>
      </c>
      <c r="X13" s="4" t="str">
        <f>IF(OR(G13="",Results!G9=""),"",IF(G13=Results!G9,1+IF(OR($O13=6,$P13=6,$Q13=6),1,0),0))</f>
        <v/>
      </c>
      <c r="Y13" s="4" t="str">
        <f>IF(OR(H13="",Results!H9=""),"",IF(H13=Results!H9,1+IF(OR($O13=7,$P13=7,$Q13=7),1,0),0))</f>
        <v/>
      </c>
      <c r="Z13" s="4" t="str">
        <f>IF(OR(I13="",Results!I9=""),"",IF(I13=Results!I9,1+IF(OR($O13=8,$P13=8,$Q13=8),1,0),0))</f>
        <v/>
      </c>
      <c r="AA13" s="4" t="str">
        <f>IF(OR(J13="",Results!J9=""),"",IF(J13=Results!J9,1+IF(OR($O13=9,$P13=9,$Q13=9),1,0),0))</f>
        <v/>
      </c>
      <c r="AB13" s="4" t="str">
        <f>IF(OR(K13="",Results!K9=""),"",IF(K13=Results!K9,1+IF(OR($O13=10,$P13=10,$Q13=10),1,0),0))</f>
        <v/>
      </c>
      <c r="AC13" s="4" t="str">
        <f>IF(OR(L13="",Results!L9=""),"",IF(L13=Results!L9,1+IF(OR($O13=11,$P13=11,$Q13=11),1,0),0))</f>
        <v/>
      </c>
      <c r="AD13" s="4" t="str">
        <f>IF(OR(M13="",Results!M9=""),"",IF(M13=Results!M9,1+IF(OR($O13=12,$P13=12,$Q13=12),1,0),0))</f>
        <v/>
      </c>
      <c r="AE13" s="4" t="str">
        <f>IF(OR(N13="",Results!N9=""),"",IF(N13=Results!N9,1+IF(OR($O13=13,$P13=13,$Q13=13),1,0),0))</f>
        <v/>
      </c>
      <c r="AF13" s="11">
        <f t="shared" si="0"/>
        <v>0</v>
      </c>
      <c r="AG13" s="4" t="str">
        <f>IF(OR($R13="",Results!O9=""),"",ABS($R13-Results!O9))</f>
        <v/>
      </c>
      <c r="AH13" s="12">
        <v>57</v>
      </c>
      <c r="AI13" s="13" t="str">
        <f>IF(OR(B13="",Results!B9=""),"",IF(AND(B13=Results!B9,Results!B9&lt;&gt;Games!$C$57),1,0))</f>
        <v/>
      </c>
      <c r="AJ13" s="13" t="str">
        <f>IF(OR(C13="",Results!C9=""),"",IF(AND(C13=Results!C9,Results!C9&lt;&gt;Games!$C$58),1,0))</f>
        <v/>
      </c>
      <c r="AK13" s="13" t="str">
        <f>IF(OR(D13="",Results!D9=""),"",IF(AND(D13=Results!D9,Results!D9&lt;&gt;Games!$C$59),1,0))</f>
        <v/>
      </c>
      <c r="AL13" s="13" t="str">
        <f>IF(OR(E13="",Results!E9=""),"",IF(AND(E13=Results!E9,Results!E9&lt;&gt;Games!$C$60),1,0))</f>
        <v/>
      </c>
      <c r="AM13" s="13" t="str">
        <f>IF(OR(F13="",Results!F9=""),"",IF(AND(F13=Results!F9,Results!F9&lt;&gt;Games!$C$61),1,0))</f>
        <v/>
      </c>
      <c r="AN13" s="13" t="str">
        <f>IF(OR(G13="",Results!G9=""),"",IF(AND(G13=Results!G9,Results!G9&lt;&gt;Games!$C$62),1,0))</f>
        <v/>
      </c>
      <c r="AO13" s="13" t="str">
        <f>IF(OR(H13="",Results!H9=""),"",IF(AND(H13=Results!H9,Results!H9&lt;&gt;Games!$C$63),1,0))</f>
        <v/>
      </c>
      <c r="AP13" s="13" t="str">
        <f>IF(OR(I13="",Results!I9=""),"",IF(AND(I13=Results!I9,Results!I9&lt;&gt;Games!$C$64),1,0))</f>
        <v/>
      </c>
      <c r="AQ13" s="13" t="str">
        <f>IF(OR(J13="",Results!J9=""),"",IF(AND(J13=Results!J9,Results!J9&lt;&gt;Games!$C$65),1,0))</f>
        <v/>
      </c>
      <c r="AR13" s="13" t="str">
        <f>IF(OR(K13="",Results!K9=""),"",IF(AND(K13=Results!K9,Results!K9&lt;&gt;Games!$C$66),1,0))</f>
        <v/>
      </c>
      <c r="AS13" s="13" t="str">
        <f>IF(OR(L13="",Results!L9=""),"",IF(AND(L13=Results!L9,Results!L9&lt;&gt;Games!$C$67),1,0))</f>
        <v/>
      </c>
      <c r="AT13" s="13" t="str">
        <f>IF(OR(M13="",Results!M9=""),"",IF(AND(M13=Results!M9,Results!M9&lt;&gt;Games!$C$68),1,0))</f>
        <v/>
      </c>
      <c r="AU13" s="13" t="str">
        <f>IF(OR(N13="",Results!N9=""),"",IF(AND(N13=Results!N9,Results!N9&lt;&gt;Games!$C$69),1,0))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 t="str">
        <f>IF(OR(B14="",Results!B9=""),"",IF(B14=Results!B9,1+IF(OR($O14=1,$P14=1,$Q14=1),1,0),0))</f>
        <v/>
      </c>
      <c r="T14" s="4" t="str">
        <f>IF(OR(C14="",Results!C9=""),"",IF(C14=Results!C9,1+IF(OR($O14=2,$P14=2,$Q14=2),1,0),0))</f>
        <v/>
      </c>
      <c r="U14" s="4" t="str">
        <f>IF(OR(D14="",Results!D9=""),"",IF(D14=Results!D9,1+IF(OR($O14=3,$P14=3,$Q14=3),1,0),0))</f>
        <v/>
      </c>
      <c r="V14" s="4" t="str">
        <f>IF(OR(E14="",Results!E9=""),"",IF(E14=Results!E9,1+IF(OR($O14=4,$P14=4,$Q14=4),1,0),0))</f>
        <v/>
      </c>
      <c r="W14" s="4" t="str">
        <f>IF(OR(F14="",Results!F9=""),"",IF(F14=Results!F9,1+IF(OR($O14=5,$P14=5,$Q14=5),1,0),0))</f>
        <v/>
      </c>
      <c r="X14" s="4" t="str">
        <f>IF(OR(G14="",Results!G9=""),"",IF(G14=Results!G9,1+IF(OR($O14=6,$P14=6,$Q14=6),1,0),0))</f>
        <v/>
      </c>
      <c r="Y14" s="4" t="str">
        <f>IF(OR(H14="",Results!H9=""),"",IF(H14=Results!H9,1+IF(OR($O14=7,$P14=7,$Q14=7),1,0),0))</f>
        <v/>
      </c>
      <c r="Z14" s="4" t="str">
        <f>IF(OR(I14="",Results!I9=""),"",IF(I14=Results!I9,1+IF(OR($O14=8,$P14=8,$Q14=8),1,0),0))</f>
        <v/>
      </c>
      <c r="AA14" s="4" t="str">
        <f>IF(OR(J14="",Results!J9=""),"",IF(J14=Results!J9,1+IF(OR($O14=9,$P14=9,$Q14=9),1,0),0))</f>
        <v/>
      </c>
      <c r="AB14" s="4" t="str">
        <f>IF(OR(K14="",Results!K9=""),"",IF(K14=Results!K9,1+IF(OR($O14=10,$P14=10,$Q14=10),1,0),0))</f>
        <v/>
      </c>
      <c r="AC14" s="4" t="str">
        <f>IF(OR(L14="",Results!L9=""),"",IF(L14=Results!L9,1+IF(OR($O14=11,$P14=11,$Q14=11),1,0),0))</f>
        <v/>
      </c>
      <c r="AD14" s="4" t="str">
        <f>IF(OR(M14="",Results!M9=""),"",IF(M14=Results!M9,1+IF(OR($O14=12,$P14=12,$Q14=12),1,0),0))</f>
        <v/>
      </c>
      <c r="AE14" s="4" t="str">
        <f>IF(OR(N14="",Results!N9=""),"",IF(N14=Results!N9,1+IF(OR($O14=13,$P14=13,$Q14=13),1,0),0))</f>
        <v/>
      </c>
      <c r="AF14" s="11">
        <f t="shared" si="0"/>
        <v>0</v>
      </c>
      <c r="AG14" s="4" t="str">
        <f>IF(OR($R14="",Results!O9=""),"",ABS($R14-Results!O9))</f>
        <v/>
      </c>
      <c r="AH14" s="12">
        <v>6</v>
      </c>
      <c r="AI14" s="13" t="str">
        <f>IF(OR(B14="",Results!B9=""),"",IF(AND(B14=Results!B9,Results!B9&lt;&gt;Games!$C$57),1,0))</f>
        <v/>
      </c>
      <c r="AJ14" s="13" t="str">
        <f>IF(OR(C14="",Results!C9=""),"",IF(AND(C14=Results!C9,Results!C9&lt;&gt;Games!$C$58),1,0))</f>
        <v/>
      </c>
      <c r="AK14" s="13" t="str">
        <f>IF(OR(D14="",Results!D9=""),"",IF(AND(D14=Results!D9,Results!D9&lt;&gt;Games!$C$59),1,0))</f>
        <v/>
      </c>
      <c r="AL14" s="13" t="str">
        <f>IF(OR(E14="",Results!E9=""),"",IF(AND(E14=Results!E9,Results!E9&lt;&gt;Games!$C$60),1,0))</f>
        <v/>
      </c>
      <c r="AM14" s="13" t="str">
        <f>IF(OR(F14="",Results!F9=""),"",IF(AND(F14=Results!F9,Results!F9&lt;&gt;Games!$C$61),1,0))</f>
        <v/>
      </c>
      <c r="AN14" s="13" t="str">
        <f>IF(OR(G14="",Results!G9=""),"",IF(AND(G14=Results!G9,Results!G9&lt;&gt;Games!$C$62),1,0))</f>
        <v/>
      </c>
      <c r="AO14" s="13" t="str">
        <f>IF(OR(H14="",Results!H9=""),"",IF(AND(H14=Results!H9,Results!H9&lt;&gt;Games!$C$63),1,0))</f>
        <v/>
      </c>
      <c r="AP14" s="13" t="str">
        <f>IF(OR(I14="",Results!I9=""),"",IF(AND(I14=Results!I9,Results!I9&lt;&gt;Games!$C$64),1,0))</f>
        <v/>
      </c>
      <c r="AQ14" s="13" t="str">
        <f>IF(OR(J14="",Results!J9=""),"",IF(AND(J14=Results!J9,Results!J9&lt;&gt;Games!$C$65),1,0))</f>
        <v/>
      </c>
      <c r="AR14" s="13" t="str">
        <f>IF(OR(K14="",Results!K9=""),"",IF(AND(K14=Results!K9,Results!K9&lt;&gt;Games!$C$66),1,0))</f>
        <v/>
      </c>
      <c r="AS14" s="13" t="str">
        <f>IF(OR(L14="",Results!L9=""),"",IF(AND(L14=Results!L9,Results!L9&lt;&gt;Games!$C$67),1,0))</f>
        <v/>
      </c>
      <c r="AT14" s="13" t="str">
        <f>IF(OR(M14="",Results!M9=""),"",IF(AND(M14=Results!M9,Results!M9&lt;&gt;Games!$C$68),1,0))</f>
        <v/>
      </c>
      <c r="AU14" s="13" t="str">
        <f>IF(OR(N14="",Results!N9=""),"",IF(AND(N14=Results!N9,Results!N9&lt;&gt;Games!$C$69),1,0))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IF(OR(B15="",Results!B9=""),"",IF(B15=Results!B9,1+IF(OR($O15=1,$P15=1,$Q15=1),1,0),0))</f>
        <v/>
      </c>
      <c r="T15" s="4" t="str">
        <f>IF(OR(C15="",Results!C9=""),"",IF(C15=Results!C9,1+IF(OR($O15=2,$P15=2,$Q15=2),1,0),0))</f>
        <v/>
      </c>
      <c r="U15" s="4" t="str">
        <f>IF(OR(D15="",Results!D9=""),"",IF(D15=Results!D9,1+IF(OR($O15=3,$P15=3,$Q15=3),1,0),0))</f>
        <v/>
      </c>
      <c r="V15" s="4" t="str">
        <f>IF(OR(E15="",Results!E9=""),"",IF(E15=Results!E9,1+IF(OR($O15=4,$P15=4,$Q15=4),1,0),0))</f>
        <v/>
      </c>
      <c r="W15" s="4" t="str">
        <f>IF(OR(F15="",Results!F9=""),"",IF(F15=Results!F9,1+IF(OR($O15=5,$P15=5,$Q15=5),1,0),0))</f>
        <v/>
      </c>
      <c r="X15" s="4" t="str">
        <f>IF(OR(G15="",Results!G9=""),"",IF(G15=Results!G9,1+IF(OR($O15=6,$P15=6,$Q15=6),1,0),0))</f>
        <v/>
      </c>
      <c r="Y15" s="4" t="str">
        <f>IF(OR(H15="",Results!H9=""),"",IF(H15=Results!H9,1+IF(OR($O15=7,$P15=7,$Q15=7),1,0),0))</f>
        <v/>
      </c>
      <c r="Z15" s="4" t="str">
        <f>IF(OR(I15="",Results!I9=""),"",IF(I15=Results!I9,1+IF(OR($O15=8,$P15=8,$Q15=8),1,0),0))</f>
        <v/>
      </c>
      <c r="AA15" s="4" t="str">
        <f>IF(OR(J15="",Results!J9=""),"",IF(J15=Results!J9,1+IF(OR($O15=9,$P15=9,$Q15=9),1,0),0))</f>
        <v/>
      </c>
      <c r="AB15" s="4" t="str">
        <f>IF(OR(K15="",Results!K9=""),"",IF(K15=Results!K9,1+IF(OR($O15=10,$P15=10,$Q15=10),1,0),0))</f>
        <v/>
      </c>
      <c r="AC15" s="4" t="str">
        <f>IF(OR(L15="",Results!L9=""),"",IF(L15=Results!L9,1+IF(OR($O15=11,$P15=11,$Q15=11),1,0),0))</f>
        <v/>
      </c>
      <c r="AD15" s="4" t="str">
        <f>IF(OR(M15="",Results!M9=""),"",IF(M15=Results!M9,1+IF(OR($O15=12,$P15=12,$Q15=12),1,0),0))</f>
        <v/>
      </c>
      <c r="AE15" s="4" t="str">
        <f>IF(OR(N15="",Results!N9=""),"",IF(N15=Results!N9,1+IF(OR($O15=13,$P15=13,$Q15=13),1,0),0))</f>
        <v/>
      </c>
      <c r="AF15" s="11">
        <f t="shared" si="0"/>
        <v>0</v>
      </c>
      <c r="AG15" s="4" t="str">
        <f>IF(OR($R15="",Results!O9=""),"",ABS($R15-Results!O9))</f>
        <v/>
      </c>
      <c r="AH15" s="12">
        <v>5</v>
      </c>
      <c r="AI15" s="13" t="str">
        <f>IF(OR(B15="",Results!B9=""),"",IF(AND(B15=Results!B9,Results!B9&lt;&gt;Games!$C$57),1,0))</f>
        <v/>
      </c>
      <c r="AJ15" s="13" t="str">
        <f>IF(OR(C15="",Results!C9=""),"",IF(AND(C15=Results!C9,Results!C9&lt;&gt;Games!$C$58),1,0))</f>
        <v/>
      </c>
      <c r="AK15" s="13" t="str">
        <f>IF(OR(D15="",Results!D9=""),"",IF(AND(D15=Results!D9,Results!D9&lt;&gt;Games!$C$59),1,0))</f>
        <v/>
      </c>
      <c r="AL15" s="13" t="str">
        <f>IF(OR(E15="",Results!E9=""),"",IF(AND(E15=Results!E9,Results!E9&lt;&gt;Games!$C$60),1,0))</f>
        <v/>
      </c>
      <c r="AM15" s="13" t="str">
        <f>IF(OR(F15="",Results!F9=""),"",IF(AND(F15=Results!F9,Results!F9&lt;&gt;Games!$C$61),1,0))</f>
        <v/>
      </c>
      <c r="AN15" s="13" t="str">
        <f>IF(OR(G15="",Results!G9=""),"",IF(AND(G15=Results!G9,Results!G9&lt;&gt;Games!$C$62),1,0))</f>
        <v/>
      </c>
      <c r="AO15" s="13" t="str">
        <f>IF(OR(H15="",Results!H9=""),"",IF(AND(H15=Results!H9,Results!H9&lt;&gt;Games!$C$63),1,0))</f>
        <v/>
      </c>
      <c r="AP15" s="13" t="str">
        <f>IF(OR(I15="",Results!I9=""),"",IF(AND(I15=Results!I9,Results!I9&lt;&gt;Games!$C$64),1,0))</f>
        <v/>
      </c>
      <c r="AQ15" s="13" t="str">
        <f>IF(OR(J15="",Results!J9=""),"",IF(AND(J15=Results!J9,Results!J9&lt;&gt;Games!$C$65),1,0))</f>
        <v/>
      </c>
      <c r="AR15" s="13" t="str">
        <f>IF(OR(K15="",Results!K9=""),"",IF(AND(K15=Results!K9,Results!K9&lt;&gt;Games!$C$66),1,0))</f>
        <v/>
      </c>
      <c r="AS15" s="13" t="str">
        <f>IF(OR(L15="",Results!L9=""),"",IF(AND(L15=Results!L9,Results!L9&lt;&gt;Games!$C$67),1,0))</f>
        <v/>
      </c>
      <c r="AT15" s="13" t="str">
        <f>IF(OR(M15="",Results!M9=""),"",IF(AND(M15=Results!M9,Results!M9&lt;&gt;Games!$C$68),1,0))</f>
        <v/>
      </c>
      <c r="AU15" s="13" t="str">
        <f>IF(OR(N15="",Results!N9=""),"",IF(AND(N15=Results!N9,Results!N9&lt;&gt;Games!$C$69),1,0))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tr">
        <f>IF(OR(B16="",Results!B9=""),"",IF(B16=Results!B9,1+IF(OR($O16=1,$P16=1,$Q16=1),1,0),0))</f>
        <v/>
      </c>
      <c r="T16" s="4" t="str">
        <f>IF(OR(C16="",Results!C9=""),"",IF(C16=Results!C9,1+IF(OR($O16=2,$P16=2,$Q16=2),1,0),0))</f>
        <v/>
      </c>
      <c r="U16" s="4" t="str">
        <f>IF(OR(D16="",Results!D9=""),"",IF(D16=Results!D9,1+IF(OR($O16=3,$P16=3,$Q16=3),1,0),0))</f>
        <v/>
      </c>
      <c r="V16" s="4" t="str">
        <f>IF(OR(E16="",Results!E9=""),"",IF(E16=Results!E9,1+IF(OR($O16=4,$P16=4,$Q16=4),1,0),0))</f>
        <v/>
      </c>
      <c r="W16" s="4" t="str">
        <f>IF(OR(F16="",Results!F9=""),"",IF(F16=Results!F9,1+IF(OR($O16=5,$P16=5,$Q16=5),1,0),0))</f>
        <v/>
      </c>
      <c r="X16" s="4" t="str">
        <f>IF(OR(G16="",Results!G9=""),"",IF(G16=Results!G9,1+IF(OR($O16=6,$P16=6,$Q16=6),1,0),0))</f>
        <v/>
      </c>
      <c r="Y16" s="4" t="str">
        <f>IF(OR(H16="",Results!H9=""),"",IF(H16=Results!H9,1+IF(OR($O16=7,$P16=7,$Q16=7),1,0),0))</f>
        <v/>
      </c>
      <c r="Z16" s="4" t="str">
        <f>IF(OR(I16="",Results!I9=""),"",IF(I16=Results!I9,1+IF(OR($O16=8,$P16=8,$Q16=8),1,0),0))</f>
        <v/>
      </c>
      <c r="AA16" s="4" t="str">
        <f>IF(OR(J16="",Results!J9=""),"",IF(J16=Results!J9,1+IF(OR($O16=9,$P16=9,$Q16=9),1,0),0))</f>
        <v/>
      </c>
      <c r="AB16" s="4" t="str">
        <f>IF(OR(K16="",Results!K9=""),"",IF(K16=Results!K9,1+IF(OR($O16=10,$P16=10,$Q16=10),1,0),0))</f>
        <v/>
      </c>
      <c r="AC16" s="4" t="str">
        <f>IF(OR(L16="",Results!L9=""),"",IF(L16=Results!L9,1+IF(OR($O16=11,$P16=11,$Q16=11),1,0),0))</f>
        <v/>
      </c>
      <c r="AD16" s="4" t="str">
        <f>IF(OR(M16="",Results!M9=""),"",IF(M16=Results!M9,1+IF(OR($O16=12,$P16=12,$Q16=12),1,0),0))</f>
        <v/>
      </c>
      <c r="AE16" s="4" t="str">
        <f>IF(OR(N16="",Results!N9=""),"",IF(N16=Results!N9,1+IF(OR($O16=13,$P16=13,$Q16=13),1,0),0))</f>
        <v/>
      </c>
      <c r="AF16" s="11">
        <f t="shared" si="0"/>
        <v>0</v>
      </c>
      <c r="AG16" s="4" t="str">
        <f>IF(OR($R16="",Results!O9=""),"",ABS($R16-Results!O9))</f>
        <v/>
      </c>
      <c r="AH16" s="12">
        <v>8</v>
      </c>
      <c r="AI16" s="13" t="str">
        <f>IF(OR(B16="",Results!B9=""),"",IF(AND(B16=Results!B9,Results!B9&lt;&gt;Games!$C$57),1,0))</f>
        <v/>
      </c>
      <c r="AJ16" s="13" t="str">
        <f>IF(OR(C16="",Results!C9=""),"",IF(AND(C16=Results!C9,Results!C9&lt;&gt;Games!$C$58),1,0))</f>
        <v/>
      </c>
      <c r="AK16" s="13" t="str">
        <f>IF(OR(D16="",Results!D9=""),"",IF(AND(D16=Results!D9,Results!D9&lt;&gt;Games!$C$59),1,0))</f>
        <v/>
      </c>
      <c r="AL16" s="13" t="str">
        <f>IF(OR(E16="",Results!E9=""),"",IF(AND(E16=Results!E9,Results!E9&lt;&gt;Games!$C$60),1,0))</f>
        <v/>
      </c>
      <c r="AM16" s="13" t="str">
        <f>IF(OR(F16="",Results!F9=""),"",IF(AND(F16=Results!F9,Results!F9&lt;&gt;Games!$C$61),1,0))</f>
        <v/>
      </c>
      <c r="AN16" s="13" t="str">
        <f>IF(OR(G16="",Results!G9=""),"",IF(AND(G16=Results!G9,Results!G9&lt;&gt;Games!$C$62),1,0))</f>
        <v/>
      </c>
      <c r="AO16" s="13" t="str">
        <f>IF(OR(H16="",Results!H9=""),"",IF(AND(H16=Results!H9,Results!H9&lt;&gt;Games!$C$63),1,0))</f>
        <v/>
      </c>
      <c r="AP16" s="13" t="str">
        <f>IF(OR(I16="",Results!I9=""),"",IF(AND(I16=Results!I9,Results!I9&lt;&gt;Games!$C$64),1,0))</f>
        <v/>
      </c>
      <c r="AQ16" s="13" t="str">
        <f>IF(OR(J16="",Results!J9=""),"",IF(AND(J16=Results!J9,Results!J9&lt;&gt;Games!$C$65),1,0))</f>
        <v/>
      </c>
      <c r="AR16" s="13" t="str">
        <f>IF(OR(K16="",Results!K9=""),"",IF(AND(K16=Results!K9,Results!K9&lt;&gt;Games!$C$66),1,0))</f>
        <v/>
      </c>
      <c r="AS16" s="13" t="str">
        <f>IF(OR(L16="",Results!L9=""),"",IF(AND(L16=Results!L9,Results!L9&lt;&gt;Games!$C$67),1,0))</f>
        <v/>
      </c>
      <c r="AT16" s="13" t="str">
        <f>IF(OR(M16="",Results!M9=""),"",IF(AND(M16=Results!M9,Results!M9&lt;&gt;Games!$C$68),1,0))</f>
        <v/>
      </c>
      <c r="AU16" s="13" t="str">
        <f>IF(OR(N16="",Results!N9=""),"",IF(AND(N16=Results!N9,Results!N9&lt;&gt;Games!$C$69),1,0))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IF(OR(B17="",Results!B9=""),"",IF(B17=Results!B9,1+IF(OR($O17=1,$P17=1,$Q17=1),1,0),0))</f>
        <v/>
      </c>
      <c r="T17" s="4" t="str">
        <f>IF(OR(C17="",Results!C9=""),"",IF(C17=Results!C9,1+IF(OR($O17=2,$P17=2,$Q17=2),1,0),0))</f>
        <v/>
      </c>
      <c r="U17" s="4" t="str">
        <f>IF(OR(D17="",Results!D9=""),"",IF(D17=Results!D9,1+IF(OR($O17=3,$P17=3,$Q17=3),1,0),0))</f>
        <v/>
      </c>
      <c r="V17" s="4" t="str">
        <f>IF(OR(E17="",Results!E9=""),"",IF(E17=Results!E9,1+IF(OR($O17=4,$P17=4,$Q17=4),1,0),0))</f>
        <v/>
      </c>
      <c r="W17" s="4" t="str">
        <f>IF(OR(F17="",Results!F9=""),"",IF(F17=Results!F9,1+IF(OR($O17=5,$P17=5,$Q17=5),1,0),0))</f>
        <v/>
      </c>
      <c r="X17" s="4" t="str">
        <f>IF(OR(G17="",Results!G9=""),"",IF(G17=Results!G9,1+IF(OR($O17=6,$P17=6,$Q17=6),1,0),0))</f>
        <v/>
      </c>
      <c r="Y17" s="4" t="str">
        <f>IF(OR(H17="",Results!H9=""),"",IF(H17=Results!H9,1+IF(OR($O17=7,$P17=7,$Q17=7),1,0),0))</f>
        <v/>
      </c>
      <c r="Z17" s="4" t="str">
        <f>IF(OR(I17="",Results!I9=""),"",IF(I17=Results!I9,1+IF(OR($O17=8,$P17=8,$Q17=8),1,0),0))</f>
        <v/>
      </c>
      <c r="AA17" s="4" t="str">
        <f>IF(OR(J17="",Results!J9=""),"",IF(J17=Results!J9,1+IF(OR($O17=9,$P17=9,$Q17=9),1,0),0))</f>
        <v/>
      </c>
      <c r="AB17" s="4" t="str">
        <f>IF(OR(K17="",Results!K9=""),"",IF(K17=Results!K9,1+IF(OR($O17=10,$P17=10,$Q17=10),1,0),0))</f>
        <v/>
      </c>
      <c r="AC17" s="4" t="str">
        <f>IF(OR(L17="",Results!L9=""),"",IF(L17=Results!L9,1+IF(OR($O17=11,$P17=11,$Q17=11),1,0),0))</f>
        <v/>
      </c>
      <c r="AD17" s="4" t="str">
        <f>IF(OR(M17="",Results!M9=""),"",IF(M17=Results!M9,1+IF(OR($O17=12,$P17=12,$Q17=12),1,0),0))</f>
        <v/>
      </c>
      <c r="AE17" s="4" t="str">
        <f>IF(OR(N17="",Results!N9=""),"",IF(N17=Results!N9,1+IF(OR($O17=13,$P17=13,$Q17=13),1,0),0))</f>
        <v/>
      </c>
      <c r="AF17" s="11">
        <f t="shared" si="0"/>
        <v>0</v>
      </c>
      <c r="AG17" s="4" t="str">
        <f>IF(OR($R17="",Results!O9=""),"",ABS($R17-Results!O9))</f>
        <v/>
      </c>
      <c r="AH17" s="12">
        <v>7</v>
      </c>
      <c r="AI17" s="13" t="str">
        <f>IF(OR(B17="",Results!B9=""),"",IF(AND(B17=Results!B9,Results!B9&lt;&gt;Games!$C$57),1,0))</f>
        <v/>
      </c>
      <c r="AJ17" s="13" t="str">
        <f>IF(OR(C17="",Results!C9=""),"",IF(AND(C17=Results!C9,Results!C9&lt;&gt;Games!$C$58),1,0))</f>
        <v/>
      </c>
      <c r="AK17" s="13" t="str">
        <f>IF(OR(D17="",Results!D9=""),"",IF(AND(D17=Results!D9,Results!D9&lt;&gt;Games!$C$59),1,0))</f>
        <v/>
      </c>
      <c r="AL17" s="13" t="str">
        <f>IF(OR(E17="",Results!E9=""),"",IF(AND(E17=Results!E9,Results!E9&lt;&gt;Games!$C$60),1,0))</f>
        <v/>
      </c>
      <c r="AM17" s="13" t="str">
        <f>IF(OR(F17="",Results!F9=""),"",IF(AND(F17=Results!F9,Results!F9&lt;&gt;Games!$C$61),1,0))</f>
        <v/>
      </c>
      <c r="AN17" s="13" t="str">
        <f>IF(OR(G17="",Results!G9=""),"",IF(AND(G17=Results!G9,Results!G9&lt;&gt;Games!$C$62),1,0))</f>
        <v/>
      </c>
      <c r="AO17" s="13" t="str">
        <f>IF(OR(H17="",Results!H9=""),"",IF(AND(H17=Results!H9,Results!H9&lt;&gt;Games!$C$63),1,0))</f>
        <v/>
      </c>
      <c r="AP17" s="13" t="str">
        <f>IF(OR(I17="",Results!I9=""),"",IF(AND(I17=Results!I9,Results!I9&lt;&gt;Games!$C$64),1,0))</f>
        <v/>
      </c>
      <c r="AQ17" s="13" t="str">
        <f>IF(OR(J17="",Results!J9=""),"",IF(AND(J17=Results!J9,Results!J9&lt;&gt;Games!$C$65),1,0))</f>
        <v/>
      </c>
      <c r="AR17" s="13" t="str">
        <f>IF(OR(K17="",Results!K9=""),"",IF(AND(K17=Results!K9,Results!K9&lt;&gt;Games!$C$66),1,0))</f>
        <v/>
      </c>
      <c r="AS17" s="13" t="str">
        <f>IF(OR(L17="",Results!L9=""),"",IF(AND(L17=Results!L9,Results!L9&lt;&gt;Games!$C$67),1,0))</f>
        <v/>
      </c>
      <c r="AT17" s="13" t="str">
        <f>IF(OR(M17="",Results!M9=""),"",IF(AND(M17=Results!M9,Results!M9&lt;&gt;Games!$C$68),1,0))</f>
        <v/>
      </c>
      <c r="AU17" s="13" t="str">
        <f>IF(OR(N17="",Results!N9=""),"",IF(AND(N17=Results!N9,Results!N9&lt;&gt;Games!$C$69),1,0))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IF(OR(B18="",Results!B9=""),"",IF(B18=Results!B9,1+IF(OR($O18=1,$P18=1,$Q18=1),1,0),0))</f>
        <v/>
      </c>
      <c r="T18" s="4" t="str">
        <f>IF(OR(C18="",Results!C9=""),"",IF(C18=Results!C9,1+IF(OR($O18=2,$P18=2,$Q18=2),1,0),0))</f>
        <v/>
      </c>
      <c r="U18" s="4" t="str">
        <f>IF(OR(D18="",Results!D9=""),"",IF(D18=Results!D9,1+IF(OR($O18=3,$P18=3,$Q18=3),1,0),0))</f>
        <v/>
      </c>
      <c r="V18" s="4" t="str">
        <f>IF(OR(E18="",Results!E9=""),"",IF(E18=Results!E9,1+IF(OR($O18=4,$P18=4,$Q18=4),1,0),0))</f>
        <v/>
      </c>
      <c r="W18" s="4" t="str">
        <f>IF(OR(F18="",Results!F9=""),"",IF(F18=Results!F9,1+IF(OR($O18=5,$P18=5,$Q18=5),1,0),0))</f>
        <v/>
      </c>
      <c r="X18" s="4" t="str">
        <f>IF(OR(G18="",Results!G9=""),"",IF(G18=Results!G9,1+IF(OR($O18=6,$P18=6,$Q18=6),1,0),0))</f>
        <v/>
      </c>
      <c r="Y18" s="4" t="str">
        <f>IF(OR(H18="",Results!H9=""),"",IF(H18=Results!H9,1+IF(OR($O18=7,$P18=7,$Q18=7),1,0),0))</f>
        <v/>
      </c>
      <c r="Z18" s="4" t="str">
        <f>IF(OR(I18="",Results!I9=""),"",IF(I18=Results!I9,1+IF(OR($O18=8,$P18=8,$Q18=8),1,0),0))</f>
        <v/>
      </c>
      <c r="AA18" s="4" t="str">
        <f>IF(OR(J18="",Results!J9=""),"",IF(J18=Results!J9,1+IF(OR($O18=9,$P18=9,$Q18=9),1,0),0))</f>
        <v/>
      </c>
      <c r="AB18" s="4" t="str">
        <f>IF(OR(K18="",Results!K9=""),"",IF(K18=Results!K9,1+IF(OR($O18=10,$P18=10,$Q18=10),1,0),0))</f>
        <v/>
      </c>
      <c r="AC18" s="4" t="str">
        <f>IF(OR(L18="",Results!L9=""),"",IF(L18=Results!L9,1+IF(OR($O18=11,$P18=11,$Q18=11),1,0),0))</f>
        <v/>
      </c>
      <c r="AD18" s="4" t="str">
        <f>IF(OR(M18="",Results!M9=""),"",IF(M18=Results!M9,1+IF(OR($O18=12,$P18=12,$Q18=12),1,0),0))</f>
        <v/>
      </c>
      <c r="AE18" s="4" t="str">
        <f>IF(OR(N18="",Results!N9=""),"",IF(N18=Results!N9,1+IF(OR($O18=13,$P18=13,$Q18=13),1,0),0))</f>
        <v/>
      </c>
      <c r="AF18" s="11">
        <f t="shared" si="0"/>
        <v>0</v>
      </c>
      <c r="AG18" s="4" t="str">
        <f>IF(OR($R18="",Results!O9=""),"",ABS($R18-Results!O9))</f>
        <v/>
      </c>
      <c r="AH18" s="12">
        <v>37</v>
      </c>
      <c r="AI18" s="13" t="str">
        <f>IF(OR(B18="",Results!B9=""),"",IF(AND(B18=Results!B9,Results!B9&lt;&gt;Games!$C$57),1,0))</f>
        <v/>
      </c>
      <c r="AJ18" s="13" t="str">
        <f>IF(OR(C18="",Results!C9=""),"",IF(AND(C18=Results!C9,Results!C9&lt;&gt;Games!$C$58),1,0))</f>
        <v/>
      </c>
      <c r="AK18" s="13" t="str">
        <f>IF(OR(D18="",Results!D9=""),"",IF(AND(D18=Results!D9,Results!D9&lt;&gt;Games!$C$59),1,0))</f>
        <v/>
      </c>
      <c r="AL18" s="13" t="str">
        <f>IF(OR(E18="",Results!E9=""),"",IF(AND(E18=Results!E9,Results!E9&lt;&gt;Games!$C$60),1,0))</f>
        <v/>
      </c>
      <c r="AM18" s="13" t="str">
        <f>IF(OR(F18="",Results!F9=""),"",IF(AND(F18=Results!F9,Results!F9&lt;&gt;Games!$C$61),1,0))</f>
        <v/>
      </c>
      <c r="AN18" s="13" t="str">
        <f>IF(OR(G18="",Results!G9=""),"",IF(AND(G18=Results!G9,Results!G9&lt;&gt;Games!$C$62),1,0))</f>
        <v/>
      </c>
      <c r="AO18" s="13" t="str">
        <f>IF(OR(H18="",Results!H9=""),"",IF(AND(H18=Results!H9,Results!H9&lt;&gt;Games!$C$63),1,0))</f>
        <v/>
      </c>
      <c r="AP18" s="13" t="str">
        <f>IF(OR(I18="",Results!I9=""),"",IF(AND(I18=Results!I9,Results!I9&lt;&gt;Games!$C$64),1,0))</f>
        <v/>
      </c>
      <c r="AQ18" s="13" t="str">
        <f>IF(OR(J18="",Results!J9=""),"",IF(AND(J18=Results!J9,Results!J9&lt;&gt;Games!$C$65),1,0))</f>
        <v/>
      </c>
      <c r="AR18" s="13" t="str">
        <f>IF(OR(K18="",Results!K9=""),"",IF(AND(K18=Results!K9,Results!K9&lt;&gt;Games!$C$66),1,0))</f>
        <v/>
      </c>
      <c r="AS18" s="13" t="str">
        <f>IF(OR(L18="",Results!L9=""),"",IF(AND(L18=Results!L9,Results!L9&lt;&gt;Games!$C$67),1,0))</f>
        <v/>
      </c>
      <c r="AT18" s="13" t="str">
        <f>IF(OR(M18="",Results!M9=""),"",IF(AND(M18=Results!M9,Results!M9&lt;&gt;Games!$C$68),1,0))</f>
        <v/>
      </c>
      <c r="AU18" s="13" t="str">
        <f>IF(OR(N18="",Results!N9=""),"",IF(AND(N18=Results!N9,Results!N9&lt;&gt;Games!$C$69),1,0))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IF(OR(B19="",Results!B9=""),"",IF(B19=Results!B9,1+IF(OR($O19=1,$P19=1,$Q19=1),1,0),0))</f>
        <v/>
      </c>
      <c r="T19" s="4" t="str">
        <f>IF(OR(C19="",Results!C9=""),"",IF(C19=Results!C9,1+IF(OR($O19=2,$P19=2,$Q19=2),1,0),0))</f>
        <v/>
      </c>
      <c r="U19" s="4" t="str">
        <f>IF(OR(D19="",Results!D9=""),"",IF(D19=Results!D9,1+IF(OR($O19=3,$P19=3,$Q19=3),1,0),0))</f>
        <v/>
      </c>
      <c r="V19" s="4" t="str">
        <f>IF(OR(E19="",Results!E9=""),"",IF(E19=Results!E9,1+IF(OR($O19=4,$P19=4,$Q19=4),1,0),0))</f>
        <v/>
      </c>
      <c r="W19" s="4" t="str">
        <f>IF(OR(F19="",Results!F9=""),"",IF(F19=Results!F9,1+IF(OR($O19=5,$P19=5,$Q19=5),1,0),0))</f>
        <v/>
      </c>
      <c r="X19" s="4" t="str">
        <f>IF(OR(G19="",Results!G9=""),"",IF(G19=Results!G9,1+IF(OR($O19=6,$P19=6,$Q19=6),1,0),0))</f>
        <v/>
      </c>
      <c r="Y19" s="4" t="str">
        <f>IF(OR(H19="",Results!H9=""),"",IF(H19=Results!H9,1+IF(OR($O19=7,$P19=7,$Q19=7),1,0),0))</f>
        <v/>
      </c>
      <c r="Z19" s="4" t="str">
        <f>IF(OR(I19="",Results!I9=""),"",IF(I19=Results!I9,1+IF(OR($O19=8,$P19=8,$Q19=8),1,0),0))</f>
        <v/>
      </c>
      <c r="AA19" s="4" t="str">
        <f>IF(OR(J19="",Results!J9=""),"",IF(J19=Results!J9,1+IF(OR($O19=9,$P19=9,$Q19=9),1,0),0))</f>
        <v/>
      </c>
      <c r="AB19" s="4" t="str">
        <f>IF(OR(K19="",Results!K9=""),"",IF(K19=Results!K9,1+IF(OR($O19=10,$P19=10,$Q19=10),1,0),0))</f>
        <v/>
      </c>
      <c r="AC19" s="4" t="str">
        <f>IF(OR(L19="",Results!L9=""),"",IF(L19=Results!L9,1+IF(OR($O19=11,$P19=11,$Q19=11),1,0),0))</f>
        <v/>
      </c>
      <c r="AD19" s="4" t="str">
        <f>IF(OR(M19="",Results!M9=""),"",IF(M19=Results!M9,1+IF(OR($O19=12,$P19=12,$Q19=12),1,0),0))</f>
        <v/>
      </c>
      <c r="AE19" s="4" t="str">
        <f>IF(OR(N19="",Results!N9=""),"",IF(N19=Results!N9,1+IF(OR($O19=13,$P19=13,$Q19=13),1,0),0))</f>
        <v/>
      </c>
      <c r="AF19" s="11">
        <f t="shared" si="0"/>
        <v>0</v>
      </c>
      <c r="AG19" s="4" t="str">
        <f>IF(OR($R19="",Results!O9=""),"",ABS($R19-Results!O9))</f>
        <v/>
      </c>
      <c r="AH19" s="12">
        <v>26</v>
      </c>
      <c r="AI19" s="13" t="str">
        <f>IF(OR(B19="",Results!B9=""),"",IF(AND(B19=Results!B9,Results!B9&lt;&gt;Games!$C$57),1,0))</f>
        <v/>
      </c>
      <c r="AJ19" s="13" t="str">
        <f>IF(OR(C19="",Results!C9=""),"",IF(AND(C19=Results!C9,Results!C9&lt;&gt;Games!$C$58),1,0))</f>
        <v/>
      </c>
      <c r="AK19" s="13" t="str">
        <f>IF(OR(D19="",Results!D9=""),"",IF(AND(D19=Results!D9,Results!D9&lt;&gt;Games!$C$59),1,0))</f>
        <v/>
      </c>
      <c r="AL19" s="13" t="str">
        <f>IF(OR(E19="",Results!E9=""),"",IF(AND(E19=Results!E9,Results!E9&lt;&gt;Games!$C$60),1,0))</f>
        <v/>
      </c>
      <c r="AM19" s="13" t="str">
        <f>IF(OR(F19="",Results!F9=""),"",IF(AND(F19=Results!F9,Results!F9&lt;&gt;Games!$C$61),1,0))</f>
        <v/>
      </c>
      <c r="AN19" s="13" t="str">
        <f>IF(OR(G19="",Results!G9=""),"",IF(AND(G19=Results!G9,Results!G9&lt;&gt;Games!$C$62),1,0))</f>
        <v/>
      </c>
      <c r="AO19" s="13" t="str">
        <f>IF(OR(H19="",Results!H9=""),"",IF(AND(H19=Results!H9,Results!H9&lt;&gt;Games!$C$63),1,0))</f>
        <v/>
      </c>
      <c r="AP19" s="13" t="str">
        <f>IF(OR(I19="",Results!I9=""),"",IF(AND(I19=Results!I9,Results!I9&lt;&gt;Games!$C$64),1,0))</f>
        <v/>
      </c>
      <c r="AQ19" s="13" t="str">
        <f>IF(OR(J19="",Results!J9=""),"",IF(AND(J19=Results!J9,Results!J9&lt;&gt;Games!$C$65),1,0))</f>
        <v/>
      </c>
      <c r="AR19" s="13" t="str">
        <f>IF(OR(K19="",Results!K9=""),"",IF(AND(K19=Results!K9,Results!K9&lt;&gt;Games!$C$66),1,0))</f>
        <v/>
      </c>
      <c r="AS19" s="13" t="str">
        <f>IF(OR(L19="",Results!L9=""),"",IF(AND(L19=Results!L9,Results!L9&lt;&gt;Games!$C$67),1,0))</f>
        <v/>
      </c>
      <c r="AT19" s="13" t="str">
        <f>IF(OR(M19="",Results!M9=""),"",IF(AND(M19=Results!M9,Results!M9&lt;&gt;Games!$C$68),1,0))</f>
        <v/>
      </c>
      <c r="AU19" s="13" t="str">
        <f>IF(OR(N19="",Results!N9=""),"",IF(AND(N19=Results!N9,Results!N9&lt;&gt;Games!$C$69),1,0))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 t="str">
        <f>IF(OR(B20="",Results!B9=""),"",IF(B20=Results!B9,1+IF(OR($O20=1,$P20=1,$Q20=1),1,0),0))</f>
        <v/>
      </c>
      <c r="T20" s="4" t="str">
        <f>IF(OR(C20="",Results!C9=""),"",IF(C20=Results!C9,1+IF(OR($O20=2,$P20=2,$Q20=2),1,0),0))</f>
        <v/>
      </c>
      <c r="U20" s="4" t="str">
        <f>IF(OR(D20="",Results!D9=""),"",IF(D20=Results!D9,1+IF(OR($O20=3,$P20=3,$Q20=3),1,0),0))</f>
        <v/>
      </c>
      <c r="V20" s="4" t="str">
        <f>IF(OR(E20="",Results!E9=""),"",IF(E20=Results!E9,1+IF(OR($O20=4,$P20=4,$Q20=4),1,0),0))</f>
        <v/>
      </c>
      <c r="W20" s="4" t="str">
        <f>IF(OR(F20="",Results!F9=""),"",IF(F20=Results!F9,1+IF(OR($O20=5,$P20=5,$Q20=5),1,0),0))</f>
        <v/>
      </c>
      <c r="X20" s="4" t="str">
        <f>IF(OR(G20="",Results!G9=""),"",IF(G20=Results!G9,1+IF(OR($O20=6,$P20=6,$Q20=6),1,0),0))</f>
        <v/>
      </c>
      <c r="Y20" s="4" t="str">
        <f>IF(OR(H20="",Results!H9=""),"",IF(H20=Results!H9,1+IF(OR($O20=7,$P20=7,$Q20=7),1,0),0))</f>
        <v/>
      </c>
      <c r="Z20" s="4" t="str">
        <f>IF(OR(I20="",Results!I9=""),"",IF(I20=Results!I9,1+IF(OR($O20=8,$P20=8,$Q20=8),1,0),0))</f>
        <v/>
      </c>
      <c r="AA20" s="4" t="str">
        <f>IF(OR(J20="",Results!J9=""),"",IF(J20=Results!J9,1+IF(OR($O20=9,$P20=9,$Q20=9),1,0),0))</f>
        <v/>
      </c>
      <c r="AB20" s="4" t="str">
        <f>IF(OR(K20="",Results!K9=""),"",IF(K20=Results!K9,1+IF(OR($O20=10,$P20=10,$Q20=10),1,0),0))</f>
        <v/>
      </c>
      <c r="AC20" s="4" t="str">
        <f>IF(OR(L20="",Results!L9=""),"",IF(L20=Results!L9,1+IF(OR($O20=11,$P20=11,$Q20=11),1,0),0))</f>
        <v/>
      </c>
      <c r="AD20" s="4" t="str">
        <f>IF(OR(M20="",Results!M9=""),"",IF(M20=Results!M9,1+IF(OR($O20=12,$P20=12,$Q20=12),1,0),0))</f>
        <v/>
      </c>
      <c r="AE20" s="4" t="str">
        <f>IF(OR(N20="",Results!N9=""),"",IF(N20=Results!N9,1+IF(OR($O20=13,$P20=13,$Q20=13),1,0),0))</f>
        <v/>
      </c>
      <c r="AF20" s="11">
        <f t="shared" si="0"/>
        <v>0</v>
      </c>
      <c r="AG20" s="4" t="str">
        <f>IF(OR($R20="",Results!O9=""),"",ABS($R20-Results!O9))</f>
        <v/>
      </c>
      <c r="AH20" s="12">
        <v>52</v>
      </c>
      <c r="AI20" s="13" t="str">
        <f>IF(OR(B20="",Results!B9=""),"",IF(AND(B20=Results!B9,Results!B9&lt;&gt;Games!$C$57),1,0))</f>
        <v/>
      </c>
      <c r="AJ20" s="13" t="str">
        <f>IF(OR(C20="",Results!C9=""),"",IF(AND(C20=Results!C9,Results!C9&lt;&gt;Games!$C$58),1,0))</f>
        <v/>
      </c>
      <c r="AK20" s="13" t="str">
        <f>IF(OR(D20="",Results!D9=""),"",IF(AND(D20=Results!D9,Results!D9&lt;&gt;Games!$C$59),1,0))</f>
        <v/>
      </c>
      <c r="AL20" s="13" t="str">
        <f>IF(OR(E20="",Results!E9=""),"",IF(AND(E20=Results!E9,Results!E9&lt;&gt;Games!$C$60),1,0))</f>
        <v/>
      </c>
      <c r="AM20" s="13" t="str">
        <f>IF(OR(F20="",Results!F9=""),"",IF(AND(F20=Results!F9,Results!F9&lt;&gt;Games!$C$61),1,0))</f>
        <v/>
      </c>
      <c r="AN20" s="13" t="str">
        <f>IF(OR(G20="",Results!G9=""),"",IF(AND(G20=Results!G9,Results!G9&lt;&gt;Games!$C$62),1,0))</f>
        <v/>
      </c>
      <c r="AO20" s="13" t="str">
        <f>IF(OR(H20="",Results!H9=""),"",IF(AND(H20=Results!H9,Results!H9&lt;&gt;Games!$C$63),1,0))</f>
        <v/>
      </c>
      <c r="AP20" s="13" t="str">
        <f>IF(OR(I20="",Results!I9=""),"",IF(AND(I20=Results!I9,Results!I9&lt;&gt;Games!$C$64),1,0))</f>
        <v/>
      </c>
      <c r="AQ20" s="13" t="str">
        <f>IF(OR(J20="",Results!J9=""),"",IF(AND(J20=Results!J9,Results!J9&lt;&gt;Games!$C$65),1,0))</f>
        <v/>
      </c>
      <c r="AR20" s="13" t="str">
        <f>IF(OR(K20="",Results!K9=""),"",IF(AND(K20=Results!K9,Results!K9&lt;&gt;Games!$C$66),1,0))</f>
        <v/>
      </c>
      <c r="AS20" s="13" t="str">
        <f>IF(OR(L20="",Results!L9=""),"",IF(AND(L20=Results!L9,Results!L9&lt;&gt;Games!$C$67),1,0))</f>
        <v/>
      </c>
      <c r="AT20" s="13" t="str">
        <f>IF(OR(M20="",Results!M9=""),"",IF(AND(M20=Results!M9,Results!M9&lt;&gt;Games!$C$68),1,0))</f>
        <v/>
      </c>
      <c r="AU20" s="13" t="str">
        <f>IF(OR(N20="",Results!N9=""),"",IF(AND(N20=Results!N9,Results!N9&lt;&gt;Games!$C$69),1,0))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 t="str">
        <f>IF(OR(B21="",Results!B9=""),"",IF(B21=Results!B9,1+IF(OR($O21=1,$P21=1,$Q21=1),1,0),0))</f>
        <v/>
      </c>
      <c r="T21" s="4" t="str">
        <f>IF(OR(C21="",Results!C9=""),"",IF(C21=Results!C9,1+IF(OR($O21=2,$P21=2,$Q21=2),1,0),0))</f>
        <v/>
      </c>
      <c r="U21" s="4" t="str">
        <f>IF(OR(D21="",Results!D9=""),"",IF(D21=Results!D9,1+IF(OR($O21=3,$P21=3,$Q21=3),1,0),0))</f>
        <v/>
      </c>
      <c r="V21" s="4" t="str">
        <f>IF(OR(E21="",Results!E9=""),"",IF(E21=Results!E9,1+IF(OR($O21=4,$P21=4,$Q21=4),1,0),0))</f>
        <v/>
      </c>
      <c r="W21" s="4" t="str">
        <f>IF(OR(F21="",Results!F9=""),"",IF(F21=Results!F9,1+IF(OR($O21=5,$P21=5,$Q21=5),1,0),0))</f>
        <v/>
      </c>
      <c r="X21" s="4" t="str">
        <f>IF(OR(G21="",Results!G9=""),"",IF(G21=Results!G9,1+IF(OR($O21=6,$P21=6,$Q21=6),1,0),0))</f>
        <v/>
      </c>
      <c r="Y21" s="4" t="str">
        <f>IF(OR(H21="",Results!H9=""),"",IF(H21=Results!H9,1+IF(OR($O21=7,$P21=7,$Q21=7),1,0),0))</f>
        <v/>
      </c>
      <c r="Z21" s="4" t="str">
        <f>IF(OR(I21="",Results!I9=""),"",IF(I21=Results!I9,1+IF(OR($O21=8,$P21=8,$Q21=8),1,0),0))</f>
        <v/>
      </c>
      <c r="AA21" s="4" t="str">
        <f>IF(OR(J21="",Results!J9=""),"",IF(J21=Results!J9,1+IF(OR($O21=9,$P21=9,$Q21=9),1,0),0))</f>
        <v/>
      </c>
      <c r="AB21" s="4" t="str">
        <f>IF(OR(K21="",Results!K9=""),"",IF(K21=Results!K9,1+IF(OR($O21=10,$P21=10,$Q21=10),1,0),0))</f>
        <v/>
      </c>
      <c r="AC21" s="4" t="str">
        <f>IF(OR(L21="",Results!L9=""),"",IF(L21=Results!L9,1+IF(OR($O21=11,$P21=11,$Q21=11),1,0),0))</f>
        <v/>
      </c>
      <c r="AD21" s="4" t="str">
        <f>IF(OR(M21="",Results!M9=""),"",IF(M21=Results!M9,1+IF(OR($O21=12,$P21=12,$Q21=12),1,0),0))</f>
        <v/>
      </c>
      <c r="AE21" s="4" t="str">
        <f>IF(OR(N21="",Results!N9=""),"",IF(N21=Results!N9,1+IF(OR($O21=13,$P21=13,$Q21=13),1,0),0))</f>
        <v/>
      </c>
      <c r="AF21" s="11">
        <f t="shared" si="0"/>
        <v>0</v>
      </c>
      <c r="AG21" s="4" t="str">
        <f>IF(OR($R21="",Results!O9=""),"",ABS($R21-Results!O9))</f>
        <v/>
      </c>
      <c r="AH21" s="12">
        <v>9</v>
      </c>
      <c r="AI21" s="13" t="str">
        <f>IF(OR(B21="",Results!B9=""),"",IF(AND(B21=Results!B9,Results!B9&lt;&gt;Games!$C$57),1,0))</f>
        <v/>
      </c>
      <c r="AJ21" s="13" t="str">
        <f>IF(OR(C21="",Results!C9=""),"",IF(AND(C21=Results!C9,Results!C9&lt;&gt;Games!$C$58),1,0))</f>
        <v/>
      </c>
      <c r="AK21" s="13" t="str">
        <f>IF(OR(D21="",Results!D9=""),"",IF(AND(D21=Results!D9,Results!D9&lt;&gt;Games!$C$59),1,0))</f>
        <v/>
      </c>
      <c r="AL21" s="13" t="str">
        <f>IF(OR(E21="",Results!E9=""),"",IF(AND(E21=Results!E9,Results!E9&lt;&gt;Games!$C$60),1,0))</f>
        <v/>
      </c>
      <c r="AM21" s="13" t="str">
        <f>IF(OR(F21="",Results!F9=""),"",IF(AND(F21=Results!F9,Results!F9&lt;&gt;Games!$C$61),1,0))</f>
        <v/>
      </c>
      <c r="AN21" s="13" t="str">
        <f>IF(OR(G21="",Results!G9=""),"",IF(AND(G21=Results!G9,Results!G9&lt;&gt;Games!$C$62),1,0))</f>
        <v/>
      </c>
      <c r="AO21" s="13" t="str">
        <f>IF(OR(H21="",Results!H9=""),"",IF(AND(H21=Results!H9,Results!H9&lt;&gt;Games!$C$63),1,0))</f>
        <v/>
      </c>
      <c r="AP21" s="13" t="str">
        <f>IF(OR(I21="",Results!I9=""),"",IF(AND(I21=Results!I9,Results!I9&lt;&gt;Games!$C$64),1,0))</f>
        <v/>
      </c>
      <c r="AQ21" s="13" t="str">
        <f>IF(OR(J21="",Results!J9=""),"",IF(AND(J21=Results!J9,Results!J9&lt;&gt;Games!$C$65),1,0))</f>
        <v/>
      </c>
      <c r="AR21" s="13" t="str">
        <f>IF(OR(K21="",Results!K9=""),"",IF(AND(K21=Results!K9,Results!K9&lt;&gt;Games!$C$66),1,0))</f>
        <v/>
      </c>
      <c r="AS21" s="13" t="str">
        <f>IF(OR(L21="",Results!L9=""),"",IF(AND(L21=Results!L9,Results!L9&lt;&gt;Games!$C$67),1,0))</f>
        <v/>
      </c>
      <c r="AT21" s="13" t="str">
        <f>IF(OR(M21="",Results!M9=""),"",IF(AND(M21=Results!M9,Results!M9&lt;&gt;Games!$C$68),1,0))</f>
        <v/>
      </c>
      <c r="AU21" s="13" t="str">
        <f>IF(OR(N21="",Results!N9=""),"",IF(AND(N21=Results!N9,Results!N9&lt;&gt;Games!$C$69),1,0))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 t="str">
        <f>IF(OR(B22="",Results!B9=""),"",IF(B22=Results!B9,1+IF(OR($O22=1,$P22=1,$Q22=1),1,0),0))</f>
        <v/>
      </c>
      <c r="T22" s="4" t="str">
        <f>IF(OR(C22="",Results!C9=""),"",IF(C22=Results!C9,1+IF(OR($O22=2,$P22=2,$Q22=2),1,0),0))</f>
        <v/>
      </c>
      <c r="U22" s="4" t="str">
        <f>IF(OR(D22="",Results!D9=""),"",IF(D22=Results!D9,1+IF(OR($O22=3,$P22=3,$Q22=3),1,0),0))</f>
        <v/>
      </c>
      <c r="V22" s="4" t="str">
        <f>IF(OR(E22="",Results!E9=""),"",IF(E22=Results!E9,1+IF(OR($O22=4,$P22=4,$Q22=4),1,0),0))</f>
        <v/>
      </c>
      <c r="W22" s="4" t="str">
        <f>IF(OR(F22="",Results!F9=""),"",IF(F22=Results!F9,1+IF(OR($O22=5,$P22=5,$Q22=5),1,0),0))</f>
        <v/>
      </c>
      <c r="X22" s="4" t="str">
        <f>IF(OR(G22="",Results!G9=""),"",IF(G22=Results!G9,1+IF(OR($O22=6,$P22=6,$Q22=6),1,0),0))</f>
        <v/>
      </c>
      <c r="Y22" s="4" t="str">
        <f>IF(OR(H22="",Results!H9=""),"",IF(H22=Results!H9,1+IF(OR($O22=7,$P22=7,$Q22=7),1,0),0))</f>
        <v/>
      </c>
      <c r="Z22" s="4" t="str">
        <f>IF(OR(I22="",Results!I9=""),"",IF(I22=Results!I9,1+IF(OR($O22=8,$P22=8,$Q22=8),1,0),0))</f>
        <v/>
      </c>
      <c r="AA22" s="4" t="str">
        <f>IF(OR(J22="",Results!J9=""),"",IF(J22=Results!J9,1+IF(OR($O22=9,$P22=9,$Q22=9),1,0),0))</f>
        <v/>
      </c>
      <c r="AB22" s="4" t="str">
        <f>IF(OR(K22="",Results!K9=""),"",IF(K22=Results!K9,1+IF(OR($O22=10,$P22=10,$Q22=10),1,0),0))</f>
        <v/>
      </c>
      <c r="AC22" s="4" t="str">
        <f>IF(OR(L22="",Results!L9=""),"",IF(L22=Results!L9,1+IF(OR($O22=11,$P22=11,$Q22=11),1,0),0))</f>
        <v/>
      </c>
      <c r="AD22" s="4" t="str">
        <f>IF(OR(M22="",Results!M9=""),"",IF(M22=Results!M9,1+IF(OR($O22=12,$P22=12,$Q22=12),1,0),0))</f>
        <v/>
      </c>
      <c r="AE22" s="4" t="str">
        <f>IF(OR(N22="",Results!N9=""),"",IF(N22=Results!N9,1+IF(OR($O22=13,$P22=13,$Q22=13),1,0),0))</f>
        <v/>
      </c>
      <c r="AF22" s="11">
        <f t="shared" si="0"/>
        <v>0</v>
      </c>
      <c r="AG22" s="4" t="str">
        <f>IF(OR($R22="",Results!O9=""),"",ABS($R22-Results!O9))</f>
        <v/>
      </c>
      <c r="AH22" s="12">
        <v>10</v>
      </c>
      <c r="AI22" s="13" t="str">
        <f>IF(OR(B22="",Results!B9=""),"",IF(AND(B22=Results!B9,Results!B9&lt;&gt;Games!$C$57),1,0))</f>
        <v/>
      </c>
      <c r="AJ22" s="13" t="str">
        <f>IF(OR(C22="",Results!C9=""),"",IF(AND(C22=Results!C9,Results!C9&lt;&gt;Games!$C$58),1,0))</f>
        <v/>
      </c>
      <c r="AK22" s="13" t="str">
        <f>IF(OR(D22="",Results!D9=""),"",IF(AND(D22=Results!D9,Results!D9&lt;&gt;Games!$C$59),1,0))</f>
        <v/>
      </c>
      <c r="AL22" s="13" t="str">
        <f>IF(OR(E22="",Results!E9=""),"",IF(AND(E22=Results!E9,Results!E9&lt;&gt;Games!$C$60),1,0))</f>
        <v/>
      </c>
      <c r="AM22" s="13" t="str">
        <f>IF(OR(F22="",Results!F9=""),"",IF(AND(F22=Results!F9,Results!F9&lt;&gt;Games!$C$61),1,0))</f>
        <v/>
      </c>
      <c r="AN22" s="13" t="str">
        <f>IF(OR(G22="",Results!G9=""),"",IF(AND(G22=Results!G9,Results!G9&lt;&gt;Games!$C$62),1,0))</f>
        <v/>
      </c>
      <c r="AO22" s="13" t="str">
        <f>IF(OR(H22="",Results!H9=""),"",IF(AND(H22=Results!H9,Results!H9&lt;&gt;Games!$C$63),1,0))</f>
        <v/>
      </c>
      <c r="AP22" s="13" t="str">
        <f>IF(OR(I22="",Results!I9=""),"",IF(AND(I22=Results!I9,Results!I9&lt;&gt;Games!$C$64),1,0))</f>
        <v/>
      </c>
      <c r="AQ22" s="13" t="str">
        <f>IF(OR(J22="",Results!J9=""),"",IF(AND(J22=Results!J9,Results!J9&lt;&gt;Games!$C$65),1,0))</f>
        <v/>
      </c>
      <c r="AR22" s="13" t="str">
        <f>IF(OR(K22="",Results!K9=""),"",IF(AND(K22=Results!K9,Results!K9&lt;&gt;Games!$C$66),1,0))</f>
        <v/>
      </c>
      <c r="AS22" s="13" t="str">
        <f>IF(OR(L22="",Results!L9=""),"",IF(AND(L22=Results!L9,Results!L9&lt;&gt;Games!$C$67),1,0))</f>
        <v/>
      </c>
      <c r="AT22" s="13" t="str">
        <f>IF(OR(M22="",Results!M9=""),"",IF(AND(M22=Results!M9,Results!M9&lt;&gt;Games!$C$68),1,0))</f>
        <v/>
      </c>
      <c r="AU22" s="13" t="str">
        <f>IF(OR(N22="",Results!N9=""),"",IF(AND(N22=Results!N9,Results!N9&lt;&gt;Games!$C$69),1,0))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 t="str">
        <f>IF(OR(B23="",Results!B9=""),"",IF(B23=Results!B9,1+IF(OR($O23=1,$P23=1,$Q23=1),1,0),0))</f>
        <v/>
      </c>
      <c r="T23" s="4" t="str">
        <f>IF(OR(C23="",Results!C9=""),"",IF(C23=Results!C9,1+IF(OR($O23=2,$P23=2,$Q23=2),1,0),0))</f>
        <v/>
      </c>
      <c r="U23" s="4" t="str">
        <f>IF(OR(D23="",Results!D9=""),"",IF(D23=Results!D9,1+IF(OR($O23=3,$P23=3,$Q23=3),1,0),0))</f>
        <v/>
      </c>
      <c r="V23" s="4" t="str">
        <f>IF(OR(E23="",Results!E9=""),"",IF(E23=Results!E9,1+IF(OR($O23=4,$P23=4,$Q23=4),1,0),0))</f>
        <v/>
      </c>
      <c r="W23" s="4" t="str">
        <f>IF(OR(F23="",Results!F9=""),"",IF(F23=Results!F9,1+IF(OR($O23=5,$P23=5,$Q23=5),1,0),0))</f>
        <v/>
      </c>
      <c r="X23" s="4" t="str">
        <f>IF(OR(G23="",Results!G9=""),"",IF(G23=Results!G9,1+IF(OR($O23=6,$P23=6,$Q23=6),1,0),0))</f>
        <v/>
      </c>
      <c r="Y23" s="4" t="str">
        <f>IF(OR(H23="",Results!H9=""),"",IF(H23=Results!H9,1+IF(OR($O23=7,$P23=7,$Q23=7),1,0),0))</f>
        <v/>
      </c>
      <c r="Z23" s="4" t="str">
        <f>IF(OR(I23="",Results!I9=""),"",IF(I23=Results!I9,1+IF(OR($O23=8,$P23=8,$Q23=8),1,0),0))</f>
        <v/>
      </c>
      <c r="AA23" s="4" t="str">
        <f>IF(OR(J23="",Results!J9=""),"",IF(J23=Results!J9,1+IF(OR($O23=9,$P23=9,$Q23=9),1,0),0))</f>
        <v/>
      </c>
      <c r="AB23" s="4" t="str">
        <f>IF(OR(K23="",Results!K9=""),"",IF(K23=Results!K9,1+IF(OR($O23=10,$P23=10,$Q23=10),1,0),0))</f>
        <v/>
      </c>
      <c r="AC23" s="4" t="str">
        <f>IF(OR(L23="",Results!L9=""),"",IF(L23=Results!L9,1+IF(OR($O23=11,$P23=11,$Q23=11),1,0),0))</f>
        <v/>
      </c>
      <c r="AD23" s="4" t="str">
        <f>IF(OR(M23="",Results!M9=""),"",IF(M23=Results!M9,1+IF(OR($O23=12,$P23=12,$Q23=12),1,0),0))</f>
        <v/>
      </c>
      <c r="AE23" s="4" t="str">
        <f>IF(OR(N23="",Results!N9=""),"",IF(N23=Results!N9,1+IF(OR($O23=13,$P23=13,$Q23=13),1,0),0))</f>
        <v/>
      </c>
      <c r="AF23" s="11">
        <f t="shared" si="0"/>
        <v>0</v>
      </c>
      <c r="AG23" s="4" t="str">
        <f>IF(OR($R23="",Results!O9=""),"",ABS($R23-Results!O9))</f>
        <v/>
      </c>
      <c r="AH23" s="12">
        <v>55</v>
      </c>
      <c r="AI23" s="13" t="str">
        <f>IF(OR(B23="",Results!B9=""),"",IF(AND(B23=Results!B9,Results!B9&lt;&gt;Games!$C$57),1,0))</f>
        <v/>
      </c>
      <c r="AJ23" s="13" t="str">
        <f>IF(OR(C23="",Results!C9=""),"",IF(AND(C23=Results!C9,Results!C9&lt;&gt;Games!$C$58),1,0))</f>
        <v/>
      </c>
      <c r="AK23" s="13" t="str">
        <f>IF(OR(D23="",Results!D9=""),"",IF(AND(D23=Results!D9,Results!D9&lt;&gt;Games!$C$59),1,0))</f>
        <v/>
      </c>
      <c r="AL23" s="13" t="str">
        <f>IF(OR(E23="",Results!E9=""),"",IF(AND(E23=Results!E9,Results!E9&lt;&gt;Games!$C$60),1,0))</f>
        <v/>
      </c>
      <c r="AM23" s="13" t="str">
        <f>IF(OR(F23="",Results!F9=""),"",IF(AND(F23=Results!F9,Results!F9&lt;&gt;Games!$C$61),1,0))</f>
        <v/>
      </c>
      <c r="AN23" s="13" t="str">
        <f>IF(OR(G23="",Results!G9=""),"",IF(AND(G23=Results!G9,Results!G9&lt;&gt;Games!$C$62),1,0))</f>
        <v/>
      </c>
      <c r="AO23" s="13" t="str">
        <f>IF(OR(H23="",Results!H9=""),"",IF(AND(H23=Results!H9,Results!H9&lt;&gt;Games!$C$63),1,0))</f>
        <v/>
      </c>
      <c r="AP23" s="13" t="str">
        <f>IF(OR(I23="",Results!I9=""),"",IF(AND(I23=Results!I9,Results!I9&lt;&gt;Games!$C$64),1,0))</f>
        <v/>
      </c>
      <c r="AQ23" s="13" t="str">
        <f>IF(OR(J23="",Results!J9=""),"",IF(AND(J23=Results!J9,Results!J9&lt;&gt;Games!$C$65),1,0))</f>
        <v/>
      </c>
      <c r="AR23" s="13" t="str">
        <f>IF(OR(K23="",Results!K9=""),"",IF(AND(K23=Results!K9,Results!K9&lt;&gt;Games!$C$66),1,0))</f>
        <v/>
      </c>
      <c r="AS23" s="13" t="str">
        <f>IF(OR(L23="",Results!L9=""),"",IF(AND(L23=Results!L9,Results!L9&lt;&gt;Games!$C$67),1,0))</f>
        <v/>
      </c>
      <c r="AT23" s="13" t="str">
        <f>IF(OR(M23="",Results!M9=""),"",IF(AND(M23=Results!M9,Results!M9&lt;&gt;Games!$C$68),1,0))</f>
        <v/>
      </c>
      <c r="AU23" s="13" t="str">
        <f>IF(OR(N23="",Results!N9=""),"",IF(AND(N23=Results!N9,Results!N9&lt;&gt;Games!$C$69),1,0))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IF(OR(B24="",Results!B9=""),"",IF(B24=Results!B9,1+IF(OR($O24=1,$P24=1,$Q24=1),1,0),0))</f>
        <v/>
      </c>
      <c r="T24" s="4" t="str">
        <f>IF(OR(C24="",Results!C9=""),"",IF(C24=Results!C9,1+IF(OR($O24=2,$P24=2,$Q24=2),1,0),0))</f>
        <v/>
      </c>
      <c r="U24" s="4" t="str">
        <f>IF(OR(D24="",Results!D9=""),"",IF(D24=Results!D9,1+IF(OR($O24=3,$P24=3,$Q24=3),1,0),0))</f>
        <v/>
      </c>
      <c r="V24" s="4" t="str">
        <f>IF(OR(E24="",Results!E9=""),"",IF(E24=Results!E9,1+IF(OR($O24=4,$P24=4,$Q24=4),1,0),0))</f>
        <v/>
      </c>
      <c r="W24" s="4" t="str">
        <f>IF(OR(F24="",Results!F9=""),"",IF(F24=Results!F9,1+IF(OR($O24=5,$P24=5,$Q24=5),1,0),0))</f>
        <v/>
      </c>
      <c r="X24" s="4" t="str">
        <f>IF(OR(G24="",Results!G9=""),"",IF(G24=Results!G9,1+IF(OR($O24=6,$P24=6,$Q24=6),1,0),0))</f>
        <v/>
      </c>
      <c r="Y24" s="4" t="str">
        <f>IF(OR(H24="",Results!H9=""),"",IF(H24=Results!H9,1+IF(OR($O24=7,$P24=7,$Q24=7),1,0),0))</f>
        <v/>
      </c>
      <c r="Z24" s="4" t="str">
        <f>IF(OR(I24="",Results!I9=""),"",IF(I24=Results!I9,1+IF(OR($O24=8,$P24=8,$Q24=8),1,0),0))</f>
        <v/>
      </c>
      <c r="AA24" s="4" t="str">
        <f>IF(OR(J24="",Results!J9=""),"",IF(J24=Results!J9,1+IF(OR($O24=9,$P24=9,$Q24=9),1,0),0))</f>
        <v/>
      </c>
      <c r="AB24" s="4" t="str">
        <f>IF(OR(K24="",Results!K9=""),"",IF(K24=Results!K9,1+IF(OR($O24=10,$P24=10,$Q24=10),1,0),0))</f>
        <v/>
      </c>
      <c r="AC24" s="4" t="str">
        <f>IF(OR(L24="",Results!L9=""),"",IF(L24=Results!L9,1+IF(OR($O24=11,$P24=11,$Q24=11),1,0),0))</f>
        <v/>
      </c>
      <c r="AD24" s="4" t="str">
        <f>IF(OR(M24="",Results!M9=""),"",IF(M24=Results!M9,1+IF(OR($O24=12,$P24=12,$Q24=12),1,0),0))</f>
        <v/>
      </c>
      <c r="AE24" s="4" t="str">
        <f>IF(OR(N24="",Results!N9=""),"",IF(N24=Results!N9,1+IF(OR($O24=13,$P24=13,$Q24=13),1,0),0))</f>
        <v/>
      </c>
      <c r="AF24" s="11">
        <f t="shared" si="0"/>
        <v>0</v>
      </c>
      <c r="AG24" s="4" t="str">
        <f>IF(OR($R24="",Results!O9=""),"",ABS($R24-Results!O9))</f>
        <v/>
      </c>
      <c r="AH24" s="12">
        <v>47</v>
      </c>
      <c r="AI24" s="13" t="str">
        <f>IF(OR(B24="",Results!B9=""),"",IF(AND(B24=Results!B9,Results!B9&lt;&gt;Games!$C$57),1,0))</f>
        <v/>
      </c>
      <c r="AJ24" s="13" t="str">
        <f>IF(OR(C24="",Results!C9=""),"",IF(AND(C24=Results!C9,Results!C9&lt;&gt;Games!$C$58),1,0))</f>
        <v/>
      </c>
      <c r="AK24" s="13" t="str">
        <f>IF(OR(D24="",Results!D9=""),"",IF(AND(D24=Results!D9,Results!D9&lt;&gt;Games!$C$59),1,0))</f>
        <v/>
      </c>
      <c r="AL24" s="13" t="str">
        <f>IF(OR(E24="",Results!E9=""),"",IF(AND(E24=Results!E9,Results!E9&lt;&gt;Games!$C$60),1,0))</f>
        <v/>
      </c>
      <c r="AM24" s="13" t="str">
        <f>IF(OR(F24="",Results!F9=""),"",IF(AND(F24=Results!F9,Results!F9&lt;&gt;Games!$C$61),1,0))</f>
        <v/>
      </c>
      <c r="AN24" s="13" t="str">
        <f>IF(OR(G24="",Results!G9=""),"",IF(AND(G24=Results!G9,Results!G9&lt;&gt;Games!$C$62),1,0))</f>
        <v/>
      </c>
      <c r="AO24" s="13" t="str">
        <f>IF(OR(H24="",Results!H9=""),"",IF(AND(H24=Results!H9,Results!H9&lt;&gt;Games!$C$63),1,0))</f>
        <v/>
      </c>
      <c r="AP24" s="13" t="str">
        <f>IF(OR(I24="",Results!I9=""),"",IF(AND(I24=Results!I9,Results!I9&lt;&gt;Games!$C$64),1,0))</f>
        <v/>
      </c>
      <c r="AQ24" s="13" t="str">
        <f>IF(OR(J24="",Results!J9=""),"",IF(AND(J24=Results!J9,Results!J9&lt;&gt;Games!$C$65),1,0))</f>
        <v/>
      </c>
      <c r="AR24" s="13" t="str">
        <f>IF(OR(K24="",Results!K9=""),"",IF(AND(K24=Results!K9,Results!K9&lt;&gt;Games!$C$66),1,0))</f>
        <v/>
      </c>
      <c r="AS24" s="13" t="str">
        <f>IF(OR(L24="",Results!L9=""),"",IF(AND(L24=Results!L9,Results!L9&lt;&gt;Games!$C$67),1,0))</f>
        <v/>
      </c>
      <c r="AT24" s="13" t="str">
        <f>IF(OR(M24="",Results!M9=""),"",IF(AND(M24=Results!M9,Results!M9&lt;&gt;Games!$C$68),1,0))</f>
        <v/>
      </c>
      <c r="AU24" s="13" t="str">
        <f>IF(OR(N24="",Results!N9=""),"",IF(AND(N24=Results!N9,Results!N9&lt;&gt;Games!$C$69),1,0))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 t="str">
        <f>IF(OR(B25="",Results!B9=""),"",IF(B25=Results!B9,1+IF(OR($O25=1,$P25=1,$Q25=1),1,0),0))</f>
        <v/>
      </c>
      <c r="T25" s="4" t="str">
        <f>IF(OR(C25="",Results!C9=""),"",IF(C25=Results!C9,1+IF(OR($O25=2,$P25=2,$Q25=2),1,0),0))</f>
        <v/>
      </c>
      <c r="U25" s="4" t="str">
        <f>IF(OR(D25="",Results!D9=""),"",IF(D25=Results!D9,1+IF(OR($O25=3,$P25=3,$Q25=3),1,0),0))</f>
        <v/>
      </c>
      <c r="V25" s="4" t="str">
        <f>IF(OR(E25="",Results!E9=""),"",IF(E25=Results!E9,1+IF(OR($O25=4,$P25=4,$Q25=4),1,0),0))</f>
        <v/>
      </c>
      <c r="W25" s="4" t="str">
        <f>IF(OR(F25="",Results!F9=""),"",IF(F25=Results!F9,1+IF(OR($O25=5,$P25=5,$Q25=5),1,0),0))</f>
        <v/>
      </c>
      <c r="X25" s="4" t="str">
        <f>IF(OR(G25="",Results!G9=""),"",IF(G25=Results!G9,1+IF(OR($O25=6,$P25=6,$Q25=6),1,0),0))</f>
        <v/>
      </c>
      <c r="Y25" s="4" t="str">
        <f>IF(OR(H25="",Results!H9=""),"",IF(H25=Results!H9,1+IF(OR($O25=7,$P25=7,$Q25=7),1,0),0))</f>
        <v/>
      </c>
      <c r="Z25" s="4" t="str">
        <f>IF(OR(I25="",Results!I9=""),"",IF(I25=Results!I9,1+IF(OR($O25=8,$P25=8,$Q25=8),1,0),0))</f>
        <v/>
      </c>
      <c r="AA25" s="4" t="str">
        <f>IF(OR(J25="",Results!J9=""),"",IF(J25=Results!J9,1+IF(OR($O25=9,$P25=9,$Q25=9),1,0),0))</f>
        <v/>
      </c>
      <c r="AB25" s="4" t="str">
        <f>IF(OR(K25="",Results!K9=""),"",IF(K25=Results!K9,1+IF(OR($O25=10,$P25=10,$Q25=10),1,0),0))</f>
        <v/>
      </c>
      <c r="AC25" s="4" t="str">
        <f>IF(OR(L25="",Results!L9=""),"",IF(L25=Results!L9,1+IF(OR($O25=11,$P25=11,$Q25=11),1,0),0))</f>
        <v/>
      </c>
      <c r="AD25" s="4" t="str">
        <f>IF(OR(M25="",Results!M9=""),"",IF(M25=Results!M9,1+IF(OR($O25=12,$P25=12,$Q25=12),1,0),0))</f>
        <v/>
      </c>
      <c r="AE25" s="4" t="str">
        <f>IF(OR(N25="",Results!N9=""),"",IF(N25=Results!N9,1+IF(OR($O25=13,$P25=13,$Q25=13),1,0),0))</f>
        <v/>
      </c>
      <c r="AF25" s="11">
        <f t="shared" si="0"/>
        <v>0</v>
      </c>
      <c r="AG25" s="4" t="str">
        <f>IF(OR($R25="",Results!O9=""),"",ABS($R25-Results!O9))</f>
        <v/>
      </c>
      <c r="AH25" s="12">
        <v>54</v>
      </c>
      <c r="AI25" s="13" t="str">
        <f>IF(OR(B25="",Results!B9=""),"",IF(AND(B25=Results!B9,Results!B9&lt;&gt;Games!$C$57),1,0))</f>
        <v/>
      </c>
      <c r="AJ25" s="13" t="str">
        <f>IF(OR(C25="",Results!C9=""),"",IF(AND(C25=Results!C9,Results!C9&lt;&gt;Games!$C$58),1,0))</f>
        <v/>
      </c>
      <c r="AK25" s="13" t="str">
        <f>IF(OR(D25="",Results!D9=""),"",IF(AND(D25=Results!D9,Results!D9&lt;&gt;Games!$C$59),1,0))</f>
        <v/>
      </c>
      <c r="AL25" s="13" t="str">
        <f>IF(OR(E25="",Results!E9=""),"",IF(AND(E25=Results!E9,Results!E9&lt;&gt;Games!$C$60),1,0))</f>
        <v/>
      </c>
      <c r="AM25" s="13" t="str">
        <f>IF(OR(F25="",Results!F9=""),"",IF(AND(F25=Results!F9,Results!F9&lt;&gt;Games!$C$61),1,0))</f>
        <v/>
      </c>
      <c r="AN25" s="13" t="str">
        <f>IF(OR(G25="",Results!G9=""),"",IF(AND(G25=Results!G9,Results!G9&lt;&gt;Games!$C$62),1,0))</f>
        <v/>
      </c>
      <c r="AO25" s="13" t="str">
        <f>IF(OR(H25="",Results!H9=""),"",IF(AND(H25=Results!H9,Results!H9&lt;&gt;Games!$C$63),1,0))</f>
        <v/>
      </c>
      <c r="AP25" s="13" t="str">
        <f>IF(OR(I25="",Results!I9=""),"",IF(AND(I25=Results!I9,Results!I9&lt;&gt;Games!$C$64),1,0))</f>
        <v/>
      </c>
      <c r="AQ25" s="13" t="str">
        <f>IF(OR(J25="",Results!J9=""),"",IF(AND(J25=Results!J9,Results!J9&lt;&gt;Games!$C$65),1,0))</f>
        <v/>
      </c>
      <c r="AR25" s="13" t="str">
        <f>IF(OR(K25="",Results!K9=""),"",IF(AND(K25=Results!K9,Results!K9&lt;&gt;Games!$C$66),1,0))</f>
        <v/>
      </c>
      <c r="AS25" s="13" t="str">
        <f>IF(OR(L25="",Results!L9=""),"",IF(AND(L25=Results!L9,Results!L9&lt;&gt;Games!$C$67),1,0))</f>
        <v/>
      </c>
      <c r="AT25" s="13" t="str">
        <f>IF(OR(M25="",Results!M9=""),"",IF(AND(M25=Results!M9,Results!M9&lt;&gt;Games!$C$68),1,0))</f>
        <v/>
      </c>
      <c r="AU25" s="13" t="str">
        <f>IF(OR(N25="",Results!N9=""),"",IF(AND(N25=Results!N9,Results!N9&lt;&gt;Games!$C$69),1,0))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tr">
        <f>IF(OR(B26="",Results!B9=""),"",IF(B26=Results!B9,1+IF(OR($O26=1,$P26=1,$Q26=1),1,0),0))</f>
        <v/>
      </c>
      <c r="T26" s="4" t="str">
        <f>IF(OR(C26="",Results!C9=""),"",IF(C26=Results!C9,1+IF(OR($O26=2,$P26=2,$Q26=2),1,0),0))</f>
        <v/>
      </c>
      <c r="U26" s="4" t="str">
        <f>IF(OR(D26="",Results!D9=""),"",IF(D26=Results!D9,1+IF(OR($O26=3,$P26=3,$Q26=3),1,0),0))</f>
        <v/>
      </c>
      <c r="V26" s="4" t="str">
        <f>IF(OR(E26="",Results!E9=""),"",IF(E26=Results!E9,1+IF(OR($O26=4,$P26=4,$Q26=4),1,0),0))</f>
        <v/>
      </c>
      <c r="W26" s="4" t="str">
        <f>IF(OR(F26="",Results!F9=""),"",IF(F26=Results!F9,1+IF(OR($O26=5,$P26=5,$Q26=5),1,0),0))</f>
        <v/>
      </c>
      <c r="X26" s="4" t="str">
        <f>IF(OR(G26="",Results!G9=""),"",IF(G26=Results!G9,1+IF(OR($O26=6,$P26=6,$Q26=6),1,0),0))</f>
        <v/>
      </c>
      <c r="Y26" s="4" t="str">
        <f>IF(OR(H26="",Results!H9=""),"",IF(H26=Results!H9,1+IF(OR($O26=7,$P26=7,$Q26=7),1,0),0))</f>
        <v/>
      </c>
      <c r="Z26" s="4" t="str">
        <f>IF(OR(I26="",Results!I9=""),"",IF(I26=Results!I9,1+IF(OR($O26=8,$P26=8,$Q26=8),1,0),0))</f>
        <v/>
      </c>
      <c r="AA26" s="4" t="str">
        <f>IF(OR(J26="",Results!J9=""),"",IF(J26=Results!J9,1+IF(OR($O26=9,$P26=9,$Q26=9),1,0),0))</f>
        <v/>
      </c>
      <c r="AB26" s="4" t="str">
        <f>IF(OR(K26="",Results!K9=""),"",IF(K26=Results!K9,1+IF(OR($O26=10,$P26=10,$Q26=10),1,0),0))</f>
        <v/>
      </c>
      <c r="AC26" s="4" t="str">
        <f>IF(OR(L26="",Results!L9=""),"",IF(L26=Results!L9,1+IF(OR($O26=11,$P26=11,$Q26=11),1,0),0))</f>
        <v/>
      </c>
      <c r="AD26" s="4" t="str">
        <f>IF(OR(M26="",Results!M9=""),"",IF(M26=Results!M9,1+IF(OR($O26=12,$P26=12,$Q26=12),1,0),0))</f>
        <v/>
      </c>
      <c r="AE26" s="4" t="str">
        <f>IF(OR(N26="",Results!N9=""),"",IF(N26=Results!N9,1+IF(OR($O26=13,$P26=13,$Q26=13),1,0),0))</f>
        <v/>
      </c>
      <c r="AF26" s="11">
        <f t="shared" si="0"/>
        <v>0</v>
      </c>
      <c r="AG26" s="4" t="str">
        <f>IF(OR($R26="",Results!O9=""),"",ABS($R26-Results!O9))</f>
        <v/>
      </c>
      <c r="AH26" s="12">
        <v>48</v>
      </c>
      <c r="AI26" s="13" t="str">
        <f>IF(OR(B26="",Results!B9=""),"",IF(AND(B26=Results!B9,Results!B9&lt;&gt;Games!$C$57),1,0))</f>
        <v/>
      </c>
      <c r="AJ26" s="13" t="str">
        <f>IF(OR(C26="",Results!C9=""),"",IF(AND(C26=Results!C9,Results!C9&lt;&gt;Games!$C$58),1,0))</f>
        <v/>
      </c>
      <c r="AK26" s="13" t="str">
        <f>IF(OR(D26="",Results!D9=""),"",IF(AND(D26=Results!D9,Results!D9&lt;&gt;Games!$C$59),1,0))</f>
        <v/>
      </c>
      <c r="AL26" s="13" t="str">
        <f>IF(OR(E26="",Results!E9=""),"",IF(AND(E26=Results!E9,Results!E9&lt;&gt;Games!$C$60),1,0))</f>
        <v/>
      </c>
      <c r="AM26" s="13" t="str">
        <f>IF(OR(F26="",Results!F9=""),"",IF(AND(F26=Results!F9,Results!F9&lt;&gt;Games!$C$61),1,0))</f>
        <v/>
      </c>
      <c r="AN26" s="13" t="str">
        <f>IF(OR(G26="",Results!G9=""),"",IF(AND(G26=Results!G9,Results!G9&lt;&gt;Games!$C$62),1,0))</f>
        <v/>
      </c>
      <c r="AO26" s="13" t="str">
        <f>IF(OR(H26="",Results!H9=""),"",IF(AND(H26=Results!H9,Results!H9&lt;&gt;Games!$C$63),1,0))</f>
        <v/>
      </c>
      <c r="AP26" s="13" t="str">
        <f>IF(OR(I26="",Results!I9=""),"",IF(AND(I26=Results!I9,Results!I9&lt;&gt;Games!$C$64),1,0))</f>
        <v/>
      </c>
      <c r="AQ26" s="13" t="str">
        <f>IF(OR(J26="",Results!J9=""),"",IF(AND(J26=Results!J9,Results!J9&lt;&gt;Games!$C$65),1,0))</f>
        <v/>
      </c>
      <c r="AR26" s="13" t="str">
        <f>IF(OR(K26="",Results!K9=""),"",IF(AND(K26=Results!K9,Results!K9&lt;&gt;Games!$C$66),1,0))</f>
        <v/>
      </c>
      <c r="AS26" s="13" t="str">
        <f>IF(OR(L26="",Results!L9=""),"",IF(AND(L26=Results!L9,Results!L9&lt;&gt;Games!$C$67),1,0))</f>
        <v/>
      </c>
      <c r="AT26" s="13" t="str">
        <f>IF(OR(M26="",Results!M9=""),"",IF(AND(M26=Results!M9,Results!M9&lt;&gt;Games!$C$68),1,0))</f>
        <v/>
      </c>
      <c r="AU26" s="13" t="str">
        <f>IF(OR(N26="",Results!N9=""),"",IF(AND(N26=Results!N9,Results!N9&lt;&gt;Games!$C$69),1,0))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 t="str">
        <f>IF(OR(B27="",Results!B9=""),"",IF(B27=Results!B9,1+IF(OR($O27=1,$P27=1,$Q27=1),1,0),0))</f>
        <v/>
      </c>
      <c r="T27" s="4" t="str">
        <f>IF(OR(C27="",Results!C9=""),"",IF(C27=Results!C9,1+IF(OR($O27=2,$P27=2,$Q27=2),1,0),0))</f>
        <v/>
      </c>
      <c r="U27" s="4" t="str">
        <f>IF(OR(D27="",Results!D9=""),"",IF(D27=Results!D9,1+IF(OR($O27=3,$P27=3,$Q27=3),1,0),0))</f>
        <v/>
      </c>
      <c r="V27" s="4" t="str">
        <f>IF(OR(E27="",Results!E9=""),"",IF(E27=Results!E9,1+IF(OR($O27=4,$P27=4,$Q27=4),1,0),0))</f>
        <v/>
      </c>
      <c r="W27" s="4" t="str">
        <f>IF(OR(F27="",Results!F9=""),"",IF(F27=Results!F9,1+IF(OR($O27=5,$P27=5,$Q27=5),1,0),0))</f>
        <v/>
      </c>
      <c r="X27" s="4" t="str">
        <f>IF(OR(G27="",Results!G9=""),"",IF(G27=Results!G9,1+IF(OR($O27=6,$P27=6,$Q27=6),1,0),0))</f>
        <v/>
      </c>
      <c r="Y27" s="4" t="str">
        <f>IF(OR(H27="",Results!H9=""),"",IF(H27=Results!H9,1+IF(OR($O27=7,$P27=7,$Q27=7),1,0),0))</f>
        <v/>
      </c>
      <c r="Z27" s="4" t="str">
        <f>IF(OR(I27="",Results!I9=""),"",IF(I27=Results!I9,1+IF(OR($O27=8,$P27=8,$Q27=8),1,0),0))</f>
        <v/>
      </c>
      <c r="AA27" s="4" t="str">
        <f>IF(OR(J27="",Results!J9=""),"",IF(J27=Results!J9,1+IF(OR($O27=9,$P27=9,$Q27=9),1,0),0))</f>
        <v/>
      </c>
      <c r="AB27" s="4" t="str">
        <f>IF(OR(K27="",Results!K9=""),"",IF(K27=Results!K9,1+IF(OR($O27=10,$P27=10,$Q27=10),1,0),0))</f>
        <v/>
      </c>
      <c r="AC27" s="4" t="str">
        <f>IF(OR(L27="",Results!L9=""),"",IF(L27=Results!L9,1+IF(OR($O27=11,$P27=11,$Q27=11),1,0),0))</f>
        <v/>
      </c>
      <c r="AD27" s="4" t="str">
        <f>IF(OR(M27="",Results!M9=""),"",IF(M27=Results!M9,1+IF(OR($O27=12,$P27=12,$Q27=12),1,0),0))</f>
        <v/>
      </c>
      <c r="AE27" s="4" t="str">
        <f>IF(OR(N27="",Results!N9=""),"",IF(N27=Results!N9,1+IF(OR($O27=13,$P27=13,$Q27=13),1,0),0))</f>
        <v/>
      </c>
      <c r="AF27" s="11">
        <f t="shared" si="0"/>
        <v>0</v>
      </c>
      <c r="AG27" s="4" t="str">
        <f>IF(OR($R27="",Results!O9=""),"",ABS($R27-Results!O9))</f>
        <v/>
      </c>
      <c r="AH27" s="12">
        <v>38</v>
      </c>
      <c r="AI27" s="13" t="str">
        <f>IF(OR(B27="",Results!B9=""),"",IF(AND(B27=Results!B9,Results!B9&lt;&gt;Games!$C$57),1,0))</f>
        <v/>
      </c>
      <c r="AJ27" s="13" t="str">
        <f>IF(OR(C27="",Results!C9=""),"",IF(AND(C27=Results!C9,Results!C9&lt;&gt;Games!$C$58),1,0))</f>
        <v/>
      </c>
      <c r="AK27" s="13" t="str">
        <f>IF(OR(D27="",Results!D9=""),"",IF(AND(D27=Results!D9,Results!D9&lt;&gt;Games!$C$59),1,0))</f>
        <v/>
      </c>
      <c r="AL27" s="13" t="str">
        <f>IF(OR(E27="",Results!E9=""),"",IF(AND(E27=Results!E9,Results!E9&lt;&gt;Games!$C$60),1,0))</f>
        <v/>
      </c>
      <c r="AM27" s="13" t="str">
        <f>IF(OR(F27="",Results!F9=""),"",IF(AND(F27=Results!F9,Results!F9&lt;&gt;Games!$C$61),1,0))</f>
        <v/>
      </c>
      <c r="AN27" s="13" t="str">
        <f>IF(OR(G27="",Results!G9=""),"",IF(AND(G27=Results!G9,Results!G9&lt;&gt;Games!$C$62),1,0))</f>
        <v/>
      </c>
      <c r="AO27" s="13" t="str">
        <f>IF(OR(H27="",Results!H9=""),"",IF(AND(H27=Results!H9,Results!H9&lt;&gt;Games!$C$63),1,0))</f>
        <v/>
      </c>
      <c r="AP27" s="13" t="str">
        <f>IF(OR(I27="",Results!I9=""),"",IF(AND(I27=Results!I9,Results!I9&lt;&gt;Games!$C$64),1,0))</f>
        <v/>
      </c>
      <c r="AQ27" s="13" t="str">
        <f>IF(OR(J27="",Results!J9=""),"",IF(AND(J27=Results!J9,Results!J9&lt;&gt;Games!$C$65),1,0))</f>
        <v/>
      </c>
      <c r="AR27" s="13" t="str">
        <f>IF(OR(K27="",Results!K9=""),"",IF(AND(K27=Results!K9,Results!K9&lt;&gt;Games!$C$66),1,0))</f>
        <v/>
      </c>
      <c r="AS27" s="13" t="str">
        <f>IF(OR(L27="",Results!L9=""),"",IF(AND(L27=Results!L9,Results!L9&lt;&gt;Games!$C$67),1,0))</f>
        <v/>
      </c>
      <c r="AT27" s="13" t="str">
        <f>IF(OR(M27="",Results!M9=""),"",IF(AND(M27=Results!M9,Results!M9&lt;&gt;Games!$C$68),1,0))</f>
        <v/>
      </c>
      <c r="AU27" s="13" t="str">
        <f>IF(OR(N27="",Results!N9=""),"",IF(AND(N27=Results!N9,Results!N9&lt;&gt;Games!$C$69),1,0))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IF(OR(B28="",Results!B9=""),"",IF(B28=Results!B9,1+IF(OR($O28=1,$P28=1,$Q28=1),1,0),0))</f>
        <v/>
      </c>
      <c r="T28" s="4" t="str">
        <f>IF(OR(C28="",Results!C9=""),"",IF(C28=Results!C9,1+IF(OR($O28=2,$P28=2,$Q28=2),1,0),0))</f>
        <v/>
      </c>
      <c r="U28" s="4" t="str">
        <f>IF(OR(D28="",Results!D9=""),"",IF(D28=Results!D9,1+IF(OR($O28=3,$P28=3,$Q28=3),1,0),0))</f>
        <v/>
      </c>
      <c r="V28" s="4" t="str">
        <f>IF(OR(E28="",Results!E9=""),"",IF(E28=Results!E9,1+IF(OR($O28=4,$P28=4,$Q28=4),1,0),0))</f>
        <v/>
      </c>
      <c r="W28" s="4" t="str">
        <f>IF(OR(F28="",Results!F9=""),"",IF(F28=Results!F9,1+IF(OR($O28=5,$P28=5,$Q28=5),1,0),0))</f>
        <v/>
      </c>
      <c r="X28" s="4" t="str">
        <f>IF(OR(G28="",Results!G9=""),"",IF(G28=Results!G9,1+IF(OR($O28=6,$P28=6,$Q28=6),1,0),0))</f>
        <v/>
      </c>
      <c r="Y28" s="4" t="str">
        <f>IF(OR(H28="",Results!H9=""),"",IF(H28=Results!H9,1+IF(OR($O28=7,$P28=7,$Q28=7),1,0),0))</f>
        <v/>
      </c>
      <c r="Z28" s="4" t="str">
        <f>IF(OR(I28="",Results!I9=""),"",IF(I28=Results!I9,1+IF(OR($O28=8,$P28=8,$Q28=8),1,0),0))</f>
        <v/>
      </c>
      <c r="AA28" s="4" t="str">
        <f>IF(OR(J28="",Results!J9=""),"",IF(J28=Results!J9,1+IF(OR($O28=9,$P28=9,$Q28=9),1,0),0))</f>
        <v/>
      </c>
      <c r="AB28" s="4" t="str">
        <f>IF(OR(K28="",Results!K9=""),"",IF(K28=Results!K9,1+IF(OR($O28=10,$P28=10,$Q28=10),1,0),0))</f>
        <v/>
      </c>
      <c r="AC28" s="4" t="str">
        <f>IF(OR(L28="",Results!L9=""),"",IF(L28=Results!L9,1+IF(OR($O28=11,$P28=11,$Q28=11),1,0),0))</f>
        <v/>
      </c>
      <c r="AD28" s="4" t="str">
        <f>IF(OR(M28="",Results!M9=""),"",IF(M28=Results!M9,1+IF(OR($O28=12,$P28=12,$Q28=12),1,0),0))</f>
        <v/>
      </c>
      <c r="AE28" s="4" t="str">
        <f>IF(OR(N28="",Results!N9=""),"",IF(N28=Results!N9,1+IF(OR($O28=13,$P28=13,$Q28=13),1,0),0))</f>
        <v/>
      </c>
      <c r="AF28" s="11">
        <f t="shared" si="0"/>
        <v>0</v>
      </c>
      <c r="AG28" s="4" t="str">
        <f>IF(OR($R28="",Results!O9=""),"",ABS($R28-Results!O9))</f>
        <v/>
      </c>
      <c r="AH28" s="12">
        <v>60</v>
      </c>
      <c r="AI28" s="13" t="str">
        <f>IF(OR(B28="",Results!B9=""),"",IF(AND(B28=Results!B9,Results!B9&lt;&gt;Games!$C$57),1,0))</f>
        <v/>
      </c>
      <c r="AJ28" s="13" t="str">
        <f>IF(OR(C28="",Results!C9=""),"",IF(AND(C28=Results!C9,Results!C9&lt;&gt;Games!$C$58),1,0))</f>
        <v/>
      </c>
      <c r="AK28" s="13" t="str">
        <f>IF(OR(D28="",Results!D9=""),"",IF(AND(D28=Results!D9,Results!D9&lt;&gt;Games!$C$59),1,0))</f>
        <v/>
      </c>
      <c r="AL28" s="13" t="str">
        <f>IF(OR(E28="",Results!E9=""),"",IF(AND(E28=Results!E9,Results!E9&lt;&gt;Games!$C$60),1,0))</f>
        <v/>
      </c>
      <c r="AM28" s="13" t="str">
        <f>IF(OR(F28="",Results!F9=""),"",IF(AND(F28=Results!F9,Results!F9&lt;&gt;Games!$C$61),1,0))</f>
        <v/>
      </c>
      <c r="AN28" s="13" t="str">
        <f>IF(OR(G28="",Results!G9=""),"",IF(AND(G28=Results!G9,Results!G9&lt;&gt;Games!$C$62),1,0))</f>
        <v/>
      </c>
      <c r="AO28" s="13" t="str">
        <f>IF(OR(H28="",Results!H9=""),"",IF(AND(H28=Results!H9,Results!H9&lt;&gt;Games!$C$63),1,0))</f>
        <v/>
      </c>
      <c r="AP28" s="13" t="str">
        <f>IF(OR(I28="",Results!I9=""),"",IF(AND(I28=Results!I9,Results!I9&lt;&gt;Games!$C$64),1,0))</f>
        <v/>
      </c>
      <c r="AQ28" s="13" t="str">
        <f>IF(OR(J28="",Results!J9=""),"",IF(AND(J28=Results!J9,Results!J9&lt;&gt;Games!$C$65),1,0))</f>
        <v/>
      </c>
      <c r="AR28" s="13" t="str">
        <f>IF(OR(K28="",Results!K9=""),"",IF(AND(K28=Results!K9,Results!K9&lt;&gt;Games!$C$66),1,0))</f>
        <v/>
      </c>
      <c r="AS28" s="13" t="str">
        <f>IF(OR(L28="",Results!L9=""),"",IF(AND(L28=Results!L9,Results!L9&lt;&gt;Games!$C$67),1,0))</f>
        <v/>
      </c>
      <c r="AT28" s="13" t="str">
        <f>IF(OR(M28="",Results!M9=""),"",IF(AND(M28=Results!M9,Results!M9&lt;&gt;Games!$C$68),1,0))</f>
        <v/>
      </c>
      <c r="AU28" s="13" t="str">
        <f>IF(OR(N28="",Results!N9=""),"",IF(AND(N28=Results!N9,Results!N9&lt;&gt;Games!$C$69),1,0))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IF(OR(B29="",Results!B9=""),"",IF(B29=Results!B9,1+IF(OR($O29=1,$P29=1,$Q29=1),1,0),0))</f>
        <v/>
      </c>
      <c r="T29" s="4" t="str">
        <f>IF(OR(C29="",Results!C9=""),"",IF(C29=Results!C9,1+IF(OR($O29=2,$P29=2,$Q29=2),1,0),0))</f>
        <v/>
      </c>
      <c r="U29" s="4" t="str">
        <f>IF(OR(D29="",Results!D9=""),"",IF(D29=Results!D9,1+IF(OR($O29=3,$P29=3,$Q29=3),1,0),0))</f>
        <v/>
      </c>
      <c r="V29" s="4" t="str">
        <f>IF(OR(E29="",Results!E9=""),"",IF(E29=Results!E9,1+IF(OR($O29=4,$P29=4,$Q29=4),1,0),0))</f>
        <v/>
      </c>
      <c r="W29" s="4" t="str">
        <f>IF(OR(F29="",Results!F9=""),"",IF(F29=Results!F9,1+IF(OR($O29=5,$P29=5,$Q29=5),1,0),0))</f>
        <v/>
      </c>
      <c r="X29" s="4" t="str">
        <f>IF(OR(G29="",Results!G9=""),"",IF(G29=Results!G9,1+IF(OR($O29=6,$P29=6,$Q29=6),1,0),0))</f>
        <v/>
      </c>
      <c r="Y29" s="4" t="str">
        <f>IF(OR(H29="",Results!H9=""),"",IF(H29=Results!H9,1+IF(OR($O29=7,$P29=7,$Q29=7),1,0),0))</f>
        <v/>
      </c>
      <c r="Z29" s="4" t="str">
        <f>IF(OR(I29="",Results!I9=""),"",IF(I29=Results!I9,1+IF(OR($O29=8,$P29=8,$Q29=8),1,0),0))</f>
        <v/>
      </c>
      <c r="AA29" s="4" t="str">
        <f>IF(OR(J29="",Results!J9=""),"",IF(J29=Results!J9,1+IF(OR($O29=9,$P29=9,$Q29=9),1,0),0))</f>
        <v/>
      </c>
      <c r="AB29" s="4" t="str">
        <f>IF(OR(K29="",Results!K9=""),"",IF(K29=Results!K9,1+IF(OR($O29=10,$P29=10,$Q29=10),1,0),0))</f>
        <v/>
      </c>
      <c r="AC29" s="4" t="str">
        <f>IF(OR(L29="",Results!L9=""),"",IF(L29=Results!L9,1+IF(OR($O29=11,$P29=11,$Q29=11),1,0),0))</f>
        <v/>
      </c>
      <c r="AD29" s="4" t="str">
        <f>IF(OR(M29="",Results!M9=""),"",IF(M29=Results!M9,1+IF(OR($O29=12,$P29=12,$Q29=12),1,0),0))</f>
        <v/>
      </c>
      <c r="AE29" s="4" t="str">
        <f>IF(OR(N29="",Results!N9=""),"",IF(N29=Results!N9,1+IF(OR($O29=13,$P29=13,$Q29=13),1,0),0))</f>
        <v/>
      </c>
      <c r="AF29" s="11">
        <f t="shared" si="0"/>
        <v>0</v>
      </c>
      <c r="AG29" s="4" t="str">
        <f>IF(OR($R29="",Results!O9=""),"",ABS($R29-Results!O9))</f>
        <v/>
      </c>
      <c r="AH29" s="12">
        <v>11</v>
      </c>
      <c r="AI29" s="13" t="str">
        <f>IF(OR(B29="",Results!B9=""),"",IF(AND(B29=Results!B9,Results!B9&lt;&gt;Games!$C$57),1,0))</f>
        <v/>
      </c>
      <c r="AJ29" s="13" t="str">
        <f>IF(OR(C29="",Results!C9=""),"",IF(AND(C29=Results!C9,Results!C9&lt;&gt;Games!$C$58),1,0))</f>
        <v/>
      </c>
      <c r="AK29" s="13" t="str">
        <f>IF(OR(D29="",Results!D9=""),"",IF(AND(D29=Results!D9,Results!D9&lt;&gt;Games!$C$59),1,0))</f>
        <v/>
      </c>
      <c r="AL29" s="13" t="str">
        <f>IF(OR(E29="",Results!E9=""),"",IF(AND(E29=Results!E9,Results!E9&lt;&gt;Games!$C$60),1,0))</f>
        <v/>
      </c>
      <c r="AM29" s="13" t="str">
        <f>IF(OR(F29="",Results!F9=""),"",IF(AND(F29=Results!F9,Results!F9&lt;&gt;Games!$C$61),1,0))</f>
        <v/>
      </c>
      <c r="AN29" s="13" t="str">
        <f>IF(OR(G29="",Results!G9=""),"",IF(AND(G29=Results!G9,Results!G9&lt;&gt;Games!$C$62),1,0))</f>
        <v/>
      </c>
      <c r="AO29" s="13" t="str">
        <f>IF(OR(H29="",Results!H9=""),"",IF(AND(H29=Results!H9,Results!H9&lt;&gt;Games!$C$63),1,0))</f>
        <v/>
      </c>
      <c r="AP29" s="13" t="str">
        <f>IF(OR(I29="",Results!I9=""),"",IF(AND(I29=Results!I9,Results!I9&lt;&gt;Games!$C$64),1,0))</f>
        <v/>
      </c>
      <c r="AQ29" s="13" t="str">
        <f>IF(OR(J29="",Results!J9=""),"",IF(AND(J29=Results!J9,Results!J9&lt;&gt;Games!$C$65),1,0))</f>
        <v/>
      </c>
      <c r="AR29" s="13" t="str">
        <f>IF(OR(K29="",Results!K9=""),"",IF(AND(K29=Results!K9,Results!K9&lt;&gt;Games!$C$66),1,0))</f>
        <v/>
      </c>
      <c r="AS29" s="13" t="str">
        <f>IF(OR(L29="",Results!L9=""),"",IF(AND(L29=Results!L9,Results!L9&lt;&gt;Games!$C$67),1,0))</f>
        <v/>
      </c>
      <c r="AT29" s="13" t="str">
        <f>IF(OR(M29="",Results!M9=""),"",IF(AND(M29=Results!M9,Results!M9&lt;&gt;Games!$C$68),1,0))</f>
        <v/>
      </c>
      <c r="AU29" s="13" t="str">
        <f>IF(OR(N29="",Results!N9=""),"",IF(AND(N29=Results!N9,Results!N9&lt;&gt;Games!$C$69),1,0))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 t="str">
        <f>IF(OR(B30="",Results!B9=""),"",IF(B30=Results!B9,1+IF(OR($O30=1,$P30=1,$Q30=1),1,0),0))</f>
        <v/>
      </c>
      <c r="T30" s="4" t="str">
        <f>IF(OR(C30="",Results!C9=""),"",IF(C30=Results!C9,1+IF(OR($O30=2,$P30=2,$Q30=2),1,0),0))</f>
        <v/>
      </c>
      <c r="U30" s="4" t="str">
        <f>IF(OR(D30="",Results!D9=""),"",IF(D30=Results!D9,1+IF(OR($O30=3,$P30=3,$Q30=3),1,0),0))</f>
        <v/>
      </c>
      <c r="V30" s="4" t="str">
        <f>IF(OR(E30="",Results!E9=""),"",IF(E30=Results!E9,1+IF(OR($O30=4,$P30=4,$Q30=4),1,0),0))</f>
        <v/>
      </c>
      <c r="W30" s="4" t="str">
        <f>IF(OR(F30="",Results!F9=""),"",IF(F30=Results!F9,1+IF(OR($O30=5,$P30=5,$Q30=5),1,0),0))</f>
        <v/>
      </c>
      <c r="X30" s="4" t="str">
        <f>IF(OR(G30="",Results!G9=""),"",IF(G30=Results!G9,1+IF(OR($O30=6,$P30=6,$Q30=6),1,0),0))</f>
        <v/>
      </c>
      <c r="Y30" s="4" t="str">
        <f>IF(OR(H30="",Results!H9=""),"",IF(H30=Results!H9,1+IF(OR($O30=7,$P30=7,$Q30=7),1,0),0))</f>
        <v/>
      </c>
      <c r="Z30" s="4" t="str">
        <f>IF(OR(I30="",Results!I9=""),"",IF(I30=Results!I9,1+IF(OR($O30=8,$P30=8,$Q30=8),1,0),0))</f>
        <v/>
      </c>
      <c r="AA30" s="4" t="str">
        <f>IF(OR(J30="",Results!J9=""),"",IF(J30=Results!J9,1+IF(OR($O30=9,$P30=9,$Q30=9),1,0),0))</f>
        <v/>
      </c>
      <c r="AB30" s="4" t="str">
        <f>IF(OR(K30="",Results!K9=""),"",IF(K30=Results!K9,1+IF(OR($O30=10,$P30=10,$Q30=10),1,0),0))</f>
        <v/>
      </c>
      <c r="AC30" s="4" t="str">
        <f>IF(OR(L30="",Results!L9=""),"",IF(L30=Results!L9,1+IF(OR($O30=11,$P30=11,$Q30=11),1,0),0))</f>
        <v/>
      </c>
      <c r="AD30" s="4" t="str">
        <f>IF(OR(M30="",Results!M9=""),"",IF(M30=Results!M9,1+IF(OR($O30=12,$P30=12,$Q30=12),1,0),0))</f>
        <v/>
      </c>
      <c r="AE30" s="4" t="str">
        <f>IF(OR(N30="",Results!N9=""),"",IF(N30=Results!N9,1+IF(OR($O30=13,$P30=13,$Q30=13),1,0),0))</f>
        <v/>
      </c>
      <c r="AF30" s="11">
        <f t="shared" si="0"/>
        <v>0</v>
      </c>
      <c r="AG30" s="4" t="str">
        <f>IF(OR($R30="",Results!O9=""),"",ABS($R30-Results!O9))</f>
        <v/>
      </c>
      <c r="AH30" s="12">
        <v>12</v>
      </c>
      <c r="AI30" s="13" t="str">
        <f>IF(OR(B30="",Results!B9=""),"",IF(AND(B30=Results!B9,Results!B9&lt;&gt;Games!$C$57),1,0))</f>
        <v/>
      </c>
      <c r="AJ30" s="13" t="str">
        <f>IF(OR(C30="",Results!C9=""),"",IF(AND(C30=Results!C9,Results!C9&lt;&gt;Games!$C$58),1,0))</f>
        <v/>
      </c>
      <c r="AK30" s="13" t="str">
        <f>IF(OR(D30="",Results!D9=""),"",IF(AND(D30=Results!D9,Results!D9&lt;&gt;Games!$C$59),1,0))</f>
        <v/>
      </c>
      <c r="AL30" s="13" t="str">
        <f>IF(OR(E30="",Results!E9=""),"",IF(AND(E30=Results!E9,Results!E9&lt;&gt;Games!$C$60),1,0))</f>
        <v/>
      </c>
      <c r="AM30" s="13" t="str">
        <f>IF(OR(F30="",Results!F9=""),"",IF(AND(F30=Results!F9,Results!F9&lt;&gt;Games!$C$61),1,0))</f>
        <v/>
      </c>
      <c r="AN30" s="13" t="str">
        <f>IF(OR(G30="",Results!G9=""),"",IF(AND(G30=Results!G9,Results!G9&lt;&gt;Games!$C$62),1,0))</f>
        <v/>
      </c>
      <c r="AO30" s="13" t="str">
        <f>IF(OR(H30="",Results!H9=""),"",IF(AND(H30=Results!H9,Results!H9&lt;&gt;Games!$C$63),1,0))</f>
        <v/>
      </c>
      <c r="AP30" s="13" t="str">
        <f>IF(OR(I30="",Results!I9=""),"",IF(AND(I30=Results!I9,Results!I9&lt;&gt;Games!$C$64),1,0))</f>
        <v/>
      </c>
      <c r="AQ30" s="13" t="str">
        <f>IF(OR(J30="",Results!J9=""),"",IF(AND(J30=Results!J9,Results!J9&lt;&gt;Games!$C$65),1,0))</f>
        <v/>
      </c>
      <c r="AR30" s="13" t="str">
        <f>IF(OR(K30="",Results!K9=""),"",IF(AND(K30=Results!K9,Results!K9&lt;&gt;Games!$C$66),1,0))</f>
        <v/>
      </c>
      <c r="AS30" s="13" t="str">
        <f>IF(OR(L30="",Results!L9=""),"",IF(AND(L30=Results!L9,Results!L9&lt;&gt;Games!$C$67),1,0))</f>
        <v/>
      </c>
      <c r="AT30" s="13" t="str">
        <f>IF(OR(M30="",Results!M9=""),"",IF(AND(M30=Results!M9,Results!M9&lt;&gt;Games!$C$68),1,0))</f>
        <v/>
      </c>
      <c r="AU30" s="13" t="str">
        <f>IF(OR(N30="",Results!N9=""),"",IF(AND(N30=Results!N9,Results!N9&lt;&gt;Games!$C$69),1,0))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IF(OR(B31="",Results!B9=""),"",IF(B31=Results!B9,1+IF(OR($O31=1,$P31=1,$Q31=1),1,0),0))</f>
        <v/>
      </c>
      <c r="T31" s="4" t="str">
        <f>IF(OR(C31="",Results!C9=""),"",IF(C31=Results!C9,1+IF(OR($O31=2,$P31=2,$Q31=2),1,0),0))</f>
        <v/>
      </c>
      <c r="U31" s="4" t="str">
        <f>IF(OR(D31="",Results!D9=""),"",IF(D31=Results!D9,1+IF(OR($O31=3,$P31=3,$Q31=3),1,0),0))</f>
        <v/>
      </c>
      <c r="V31" s="4" t="str">
        <f>IF(OR(E31="",Results!E9=""),"",IF(E31=Results!E9,1+IF(OR($O31=4,$P31=4,$Q31=4),1,0),0))</f>
        <v/>
      </c>
      <c r="W31" s="4" t="str">
        <f>IF(OR(F31="",Results!F9=""),"",IF(F31=Results!F9,1+IF(OR($O31=5,$P31=5,$Q31=5),1,0),0))</f>
        <v/>
      </c>
      <c r="X31" s="4" t="str">
        <f>IF(OR(G31="",Results!G9=""),"",IF(G31=Results!G9,1+IF(OR($O31=6,$P31=6,$Q31=6),1,0),0))</f>
        <v/>
      </c>
      <c r="Y31" s="4" t="str">
        <f>IF(OR(H31="",Results!H9=""),"",IF(H31=Results!H9,1+IF(OR($O31=7,$P31=7,$Q31=7),1,0),0))</f>
        <v/>
      </c>
      <c r="Z31" s="4" t="str">
        <f>IF(OR(I31="",Results!I9=""),"",IF(I31=Results!I9,1+IF(OR($O31=8,$P31=8,$Q31=8),1,0),0))</f>
        <v/>
      </c>
      <c r="AA31" s="4" t="str">
        <f>IF(OR(J31="",Results!J9=""),"",IF(J31=Results!J9,1+IF(OR($O31=9,$P31=9,$Q31=9),1,0),0))</f>
        <v/>
      </c>
      <c r="AB31" s="4" t="str">
        <f>IF(OR(K31="",Results!K9=""),"",IF(K31=Results!K9,1+IF(OR($O31=10,$P31=10,$Q31=10),1,0),0))</f>
        <v/>
      </c>
      <c r="AC31" s="4" t="str">
        <f>IF(OR(L31="",Results!L9=""),"",IF(L31=Results!L9,1+IF(OR($O31=11,$P31=11,$Q31=11),1,0),0))</f>
        <v/>
      </c>
      <c r="AD31" s="4" t="str">
        <f>IF(OR(M31="",Results!M9=""),"",IF(M31=Results!M9,1+IF(OR($O31=12,$P31=12,$Q31=12),1,0),0))</f>
        <v/>
      </c>
      <c r="AE31" s="4" t="str">
        <f>IF(OR(N31="",Results!N9=""),"",IF(N31=Results!N9,1+IF(OR($O31=13,$P31=13,$Q31=13),1,0),0))</f>
        <v/>
      </c>
      <c r="AF31" s="11">
        <f t="shared" si="0"/>
        <v>0</v>
      </c>
      <c r="AG31" s="4" t="str">
        <f>IF(OR($R31="",Results!O9=""),"",ABS($R31-Results!O9))</f>
        <v/>
      </c>
      <c r="AH31" s="12">
        <v>13</v>
      </c>
      <c r="AI31" s="13" t="str">
        <f>IF(OR(B31="",Results!B9=""),"",IF(AND(B31=Results!B9,Results!B9&lt;&gt;Games!$C$57),1,0))</f>
        <v/>
      </c>
      <c r="AJ31" s="13" t="str">
        <f>IF(OR(C31="",Results!C9=""),"",IF(AND(C31=Results!C9,Results!C9&lt;&gt;Games!$C$58),1,0))</f>
        <v/>
      </c>
      <c r="AK31" s="13" t="str">
        <f>IF(OR(D31="",Results!D9=""),"",IF(AND(D31=Results!D9,Results!D9&lt;&gt;Games!$C$59),1,0))</f>
        <v/>
      </c>
      <c r="AL31" s="13" t="str">
        <f>IF(OR(E31="",Results!E9=""),"",IF(AND(E31=Results!E9,Results!E9&lt;&gt;Games!$C$60),1,0))</f>
        <v/>
      </c>
      <c r="AM31" s="13" t="str">
        <f>IF(OR(F31="",Results!F9=""),"",IF(AND(F31=Results!F9,Results!F9&lt;&gt;Games!$C$61),1,0))</f>
        <v/>
      </c>
      <c r="AN31" s="13" t="str">
        <f>IF(OR(G31="",Results!G9=""),"",IF(AND(G31=Results!G9,Results!G9&lt;&gt;Games!$C$62),1,0))</f>
        <v/>
      </c>
      <c r="AO31" s="13" t="str">
        <f>IF(OR(H31="",Results!H9=""),"",IF(AND(H31=Results!H9,Results!H9&lt;&gt;Games!$C$63),1,0))</f>
        <v/>
      </c>
      <c r="AP31" s="13" t="str">
        <f>IF(OR(I31="",Results!I9=""),"",IF(AND(I31=Results!I9,Results!I9&lt;&gt;Games!$C$64),1,0))</f>
        <v/>
      </c>
      <c r="AQ31" s="13" t="str">
        <f>IF(OR(J31="",Results!J9=""),"",IF(AND(J31=Results!J9,Results!J9&lt;&gt;Games!$C$65),1,0))</f>
        <v/>
      </c>
      <c r="AR31" s="13" t="str">
        <f>IF(OR(K31="",Results!K9=""),"",IF(AND(K31=Results!K9,Results!K9&lt;&gt;Games!$C$66),1,0))</f>
        <v/>
      </c>
      <c r="AS31" s="13" t="str">
        <f>IF(OR(L31="",Results!L9=""),"",IF(AND(L31=Results!L9,Results!L9&lt;&gt;Games!$C$67),1,0))</f>
        <v/>
      </c>
      <c r="AT31" s="13" t="str">
        <f>IF(OR(M31="",Results!M9=""),"",IF(AND(M31=Results!M9,Results!M9&lt;&gt;Games!$C$68),1,0))</f>
        <v/>
      </c>
      <c r="AU31" s="13" t="str">
        <f>IF(OR(N31="",Results!N9=""),"",IF(AND(N31=Results!N9,Results!N9&lt;&gt;Games!$C$69),1,0))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IF(OR(B32="",Results!B9=""),"",IF(B32=Results!B9,1+IF(OR($O32=1,$P32=1,$Q32=1),1,0),0))</f>
        <v/>
      </c>
      <c r="T32" s="4" t="str">
        <f>IF(OR(C32="",Results!C9=""),"",IF(C32=Results!C9,1+IF(OR($O32=2,$P32=2,$Q32=2),1,0),0))</f>
        <v/>
      </c>
      <c r="U32" s="4" t="str">
        <f>IF(OR(D32="",Results!D9=""),"",IF(D32=Results!D9,1+IF(OR($O32=3,$P32=3,$Q32=3),1,0),0))</f>
        <v/>
      </c>
      <c r="V32" s="4" t="str">
        <f>IF(OR(E32="",Results!E9=""),"",IF(E32=Results!E9,1+IF(OR($O32=4,$P32=4,$Q32=4),1,0),0))</f>
        <v/>
      </c>
      <c r="W32" s="4" t="str">
        <f>IF(OR(F32="",Results!F9=""),"",IF(F32=Results!F9,1+IF(OR($O32=5,$P32=5,$Q32=5),1,0),0))</f>
        <v/>
      </c>
      <c r="X32" s="4" t="str">
        <f>IF(OR(G32="",Results!G9=""),"",IF(G32=Results!G9,1+IF(OR($O32=6,$P32=6,$Q32=6),1,0),0))</f>
        <v/>
      </c>
      <c r="Y32" s="4" t="str">
        <f>IF(OR(H32="",Results!H9=""),"",IF(H32=Results!H9,1+IF(OR($O32=7,$P32=7,$Q32=7),1,0),0))</f>
        <v/>
      </c>
      <c r="Z32" s="4" t="str">
        <f>IF(OR(I32="",Results!I9=""),"",IF(I32=Results!I9,1+IF(OR($O32=8,$P32=8,$Q32=8),1,0),0))</f>
        <v/>
      </c>
      <c r="AA32" s="4" t="str">
        <f>IF(OR(J32="",Results!J9=""),"",IF(J32=Results!J9,1+IF(OR($O32=9,$P32=9,$Q32=9),1,0),0))</f>
        <v/>
      </c>
      <c r="AB32" s="4" t="str">
        <f>IF(OR(K32="",Results!K9=""),"",IF(K32=Results!K9,1+IF(OR($O32=10,$P32=10,$Q32=10),1,0),0))</f>
        <v/>
      </c>
      <c r="AC32" s="4" t="str">
        <f>IF(OR(L32="",Results!L9=""),"",IF(L32=Results!L9,1+IF(OR($O32=11,$P32=11,$Q32=11),1,0),0))</f>
        <v/>
      </c>
      <c r="AD32" s="4" t="str">
        <f>IF(OR(M32="",Results!M9=""),"",IF(M32=Results!M9,1+IF(OR($O32=12,$P32=12,$Q32=12),1,0),0))</f>
        <v/>
      </c>
      <c r="AE32" s="4" t="str">
        <f>IF(OR(N32="",Results!N9=""),"",IF(N32=Results!N9,1+IF(OR($O32=13,$P32=13,$Q32=13),1,0),0))</f>
        <v/>
      </c>
      <c r="AF32" s="11">
        <f t="shared" si="0"/>
        <v>0</v>
      </c>
      <c r="AG32" s="4" t="str">
        <f>IF(OR($R32="",Results!O9=""),"",ABS($R32-Results!O9))</f>
        <v/>
      </c>
      <c r="AH32" s="12">
        <v>14</v>
      </c>
      <c r="AI32" s="13" t="str">
        <f>IF(OR(B32="",Results!B9=""),"",IF(AND(B32=Results!B9,Results!B9&lt;&gt;Games!$C$57),1,0))</f>
        <v/>
      </c>
      <c r="AJ32" s="13" t="str">
        <f>IF(OR(C32="",Results!C9=""),"",IF(AND(C32=Results!C9,Results!C9&lt;&gt;Games!$C$58),1,0))</f>
        <v/>
      </c>
      <c r="AK32" s="13" t="str">
        <f>IF(OR(D32="",Results!D9=""),"",IF(AND(D32=Results!D9,Results!D9&lt;&gt;Games!$C$59),1,0))</f>
        <v/>
      </c>
      <c r="AL32" s="13" t="str">
        <f>IF(OR(E32="",Results!E9=""),"",IF(AND(E32=Results!E9,Results!E9&lt;&gt;Games!$C$60),1,0))</f>
        <v/>
      </c>
      <c r="AM32" s="13" t="str">
        <f>IF(OR(F32="",Results!F9=""),"",IF(AND(F32=Results!F9,Results!F9&lt;&gt;Games!$C$61),1,0))</f>
        <v/>
      </c>
      <c r="AN32" s="13" t="str">
        <f>IF(OR(G32="",Results!G9=""),"",IF(AND(G32=Results!G9,Results!G9&lt;&gt;Games!$C$62),1,0))</f>
        <v/>
      </c>
      <c r="AO32" s="13" t="str">
        <f>IF(OR(H32="",Results!H9=""),"",IF(AND(H32=Results!H9,Results!H9&lt;&gt;Games!$C$63),1,0))</f>
        <v/>
      </c>
      <c r="AP32" s="13" t="str">
        <f>IF(OR(I32="",Results!I9=""),"",IF(AND(I32=Results!I9,Results!I9&lt;&gt;Games!$C$64),1,0))</f>
        <v/>
      </c>
      <c r="AQ32" s="13" t="str">
        <f>IF(OR(J32="",Results!J9=""),"",IF(AND(J32=Results!J9,Results!J9&lt;&gt;Games!$C$65),1,0))</f>
        <v/>
      </c>
      <c r="AR32" s="13" t="str">
        <f>IF(OR(K32="",Results!K9=""),"",IF(AND(K32=Results!K9,Results!K9&lt;&gt;Games!$C$66),1,0))</f>
        <v/>
      </c>
      <c r="AS32" s="13" t="str">
        <f>IF(OR(L32="",Results!L9=""),"",IF(AND(L32=Results!L9,Results!L9&lt;&gt;Games!$C$67),1,0))</f>
        <v/>
      </c>
      <c r="AT32" s="13" t="str">
        <f>IF(OR(M32="",Results!M9=""),"",IF(AND(M32=Results!M9,Results!M9&lt;&gt;Games!$C$68),1,0))</f>
        <v/>
      </c>
      <c r="AU32" s="13" t="str">
        <f>IF(OR(N32="",Results!N9=""),"",IF(AND(N32=Results!N9,Results!N9&lt;&gt;Games!$C$69),1,0))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4" t="str">
        <f>IF(OR(B33="",Results!B9=""),"",IF(B33=Results!B9,1+IF(OR($O33=1,$P33=1,$Q33=1),1,0),0))</f>
        <v/>
      </c>
      <c r="T33" s="4" t="str">
        <f>IF(OR(C33="",Results!C9=""),"",IF(C33=Results!C9,1+IF(OR($O33=2,$P33=2,$Q33=2),1,0),0))</f>
        <v/>
      </c>
      <c r="U33" s="4" t="str">
        <f>IF(OR(D33="",Results!D9=""),"",IF(D33=Results!D9,1+IF(OR($O33=3,$P33=3,$Q33=3),1,0),0))</f>
        <v/>
      </c>
      <c r="V33" s="4" t="str">
        <f>IF(OR(E33="",Results!E9=""),"",IF(E33=Results!E9,1+IF(OR($O33=4,$P33=4,$Q33=4),1,0),0))</f>
        <v/>
      </c>
      <c r="W33" s="4" t="str">
        <f>IF(OR(F33="",Results!F9=""),"",IF(F33=Results!F9,1+IF(OR($O33=5,$P33=5,$Q33=5),1,0),0))</f>
        <v/>
      </c>
      <c r="X33" s="4" t="str">
        <f>IF(OR(G33="",Results!G9=""),"",IF(G33=Results!G9,1+IF(OR($O33=6,$P33=6,$Q33=6),1,0),0))</f>
        <v/>
      </c>
      <c r="Y33" s="4" t="str">
        <f>IF(OR(H33="",Results!H9=""),"",IF(H33=Results!H9,1+IF(OR($O33=7,$P33=7,$Q33=7),1,0),0))</f>
        <v/>
      </c>
      <c r="Z33" s="4" t="str">
        <f>IF(OR(I33="",Results!I9=""),"",IF(I33=Results!I9,1+IF(OR($O33=8,$P33=8,$Q33=8),1,0),0))</f>
        <v/>
      </c>
      <c r="AA33" s="4" t="str">
        <f>IF(OR(J33="",Results!J9=""),"",IF(J33=Results!J9,1+IF(OR($O33=9,$P33=9,$Q33=9),1,0),0))</f>
        <v/>
      </c>
      <c r="AB33" s="4" t="str">
        <f>IF(OR(K33="",Results!K9=""),"",IF(K33=Results!K9,1+IF(OR($O33=10,$P33=10,$Q33=10),1,0),0))</f>
        <v/>
      </c>
      <c r="AC33" s="4" t="str">
        <f>IF(OR(L33="",Results!L9=""),"",IF(L33=Results!L9,1+IF(OR($O33=11,$P33=11,$Q33=11),1,0),0))</f>
        <v/>
      </c>
      <c r="AD33" s="4" t="str">
        <f>IF(OR(M33="",Results!M9=""),"",IF(M33=Results!M9,1+IF(OR($O33=12,$P33=12,$Q33=12),1,0),0))</f>
        <v/>
      </c>
      <c r="AE33" s="4" t="str">
        <f>IF(OR(N33="",Results!N9=""),"",IF(N33=Results!N9,1+IF(OR($O33=13,$P33=13,$Q33=13),1,0),0))</f>
        <v/>
      </c>
      <c r="AF33" s="11">
        <f t="shared" si="0"/>
        <v>0</v>
      </c>
      <c r="AG33" s="4" t="str">
        <f>IF(OR($R33="",Results!O9=""),"",ABS($R33-Results!O9))</f>
        <v/>
      </c>
      <c r="AH33" s="12">
        <v>15</v>
      </c>
      <c r="AI33" s="13" t="str">
        <f>IF(OR(B33="",Results!B9=""),"",IF(AND(B33=Results!B9,Results!B9&lt;&gt;Games!$C$57),1,0))</f>
        <v/>
      </c>
      <c r="AJ33" s="13" t="str">
        <f>IF(OR(C33="",Results!C9=""),"",IF(AND(C33=Results!C9,Results!C9&lt;&gt;Games!$C$58),1,0))</f>
        <v/>
      </c>
      <c r="AK33" s="13" t="str">
        <f>IF(OR(D33="",Results!D9=""),"",IF(AND(D33=Results!D9,Results!D9&lt;&gt;Games!$C$59),1,0))</f>
        <v/>
      </c>
      <c r="AL33" s="13" t="str">
        <f>IF(OR(E33="",Results!E9=""),"",IF(AND(E33=Results!E9,Results!E9&lt;&gt;Games!$C$60),1,0))</f>
        <v/>
      </c>
      <c r="AM33" s="13" t="str">
        <f>IF(OR(F33="",Results!F9=""),"",IF(AND(F33=Results!F9,Results!F9&lt;&gt;Games!$C$61),1,0))</f>
        <v/>
      </c>
      <c r="AN33" s="13" t="str">
        <f>IF(OR(G33="",Results!G9=""),"",IF(AND(G33=Results!G9,Results!G9&lt;&gt;Games!$C$62),1,0))</f>
        <v/>
      </c>
      <c r="AO33" s="13" t="str">
        <f>IF(OR(H33="",Results!H9=""),"",IF(AND(H33=Results!H9,Results!H9&lt;&gt;Games!$C$63),1,0))</f>
        <v/>
      </c>
      <c r="AP33" s="13" t="str">
        <f>IF(OR(I33="",Results!I9=""),"",IF(AND(I33=Results!I9,Results!I9&lt;&gt;Games!$C$64),1,0))</f>
        <v/>
      </c>
      <c r="AQ33" s="13" t="str">
        <f>IF(OR(J33="",Results!J9=""),"",IF(AND(J33=Results!J9,Results!J9&lt;&gt;Games!$C$65),1,0))</f>
        <v/>
      </c>
      <c r="AR33" s="13" t="str">
        <f>IF(OR(K33="",Results!K9=""),"",IF(AND(K33=Results!K9,Results!K9&lt;&gt;Games!$C$66),1,0))</f>
        <v/>
      </c>
      <c r="AS33" s="13" t="str">
        <f>IF(OR(L33="",Results!L9=""),"",IF(AND(L33=Results!L9,Results!L9&lt;&gt;Games!$C$67),1,0))</f>
        <v/>
      </c>
      <c r="AT33" s="13" t="str">
        <f>IF(OR(M33="",Results!M9=""),"",IF(AND(M33=Results!M9,Results!M9&lt;&gt;Games!$C$68),1,0))</f>
        <v/>
      </c>
      <c r="AU33" s="13" t="str">
        <f>IF(OR(N33="",Results!N9=""),"",IF(AND(N33=Results!N9,Results!N9&lt;&gt;Games!$C$69),1,0))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IF(OR(B34="",Results!B9=""),"",IF(B34=Results!B9,1+IF(OR($O34=1,$P34=1,$Q34=1),1,0),0))</f>
        <v/>
      </c>
      <c r="T34" s="4" t="str">
        <f>IF(OR(C34="",Results!C9=""),"",IF(C34=Results!C9,1+IF(OR($O34=2,$P34=2,$Q34=2),1,0),0))</f>
        <v/>
      </c>
      <c r="U34" s="4" t="str">
        <f>IF(OR(D34="",Results!D9=""),"",IF(D34=Results!D9,1+IF(OR($O34=3,$P34=3,$Q34=3),1,0),0))</f>
        <v/>
      </c>
      <c r="V34" s="4" t="str">
        <f>IF(OR(E34="",Results!E9=""),"",IF(E34=Results!E9,1+IF(OR($O34=4,$P34=4,$Q34=4),1,0),0))</f>
        <v/>
      </c>
      <c r="W34" s="4" t="str">
        <f>IF(OR(F34="",Results!F9=""),"",IF(F34=Results!F9,1+IF(OR($O34=5,$P34=5,$Q34=5),1,0),0))</f>
        <v/>
      </c>
      <c r="X34" s="4" t="str">
        <f>IF(OR(G34="",Results!G9=""),"",IF(G34=Results!G9,1+IF(OR($O34=6,$P34=6,$Q34=6),1,0),0))</f>
        <v/>
      </c>
      <c r="Y34" s="4" t="str">
        <f>IF(OR(H34="",Results!H9=""),"",IF(H34=Results!H9,1+IF(OR($O34=7,$P34=7,$Q34=7),1,0),0))</f>
        <v/>
      </c>
      <c r="Z34" s="4" t="str">
        <f>IF(OR(I34="",Results!I9=""),"",IF(I34=Results!I9,1+IF(OR($O34=8,$P34=8,$Q34=8),1,0),0))</f>
        <v/>
      </c>
      <c r="AA34" s="4" t="str">
        <f>IF(OR(J34="",Results!J9=""),"",IF(J34=Results!J9,1+IF(OR($O34=9,$P34=9,$Q34=9),1,0),0))</f>
        <v/>
      </c>
      <c r="AB34" s="4" t="str">
        <f>IF(OR(K34="",Results!K9=""),"",IF(K34=Results!K9,1+IF(OR($O34=10,$P34=10,$Q34=10),1,0),0))</f>
        <v/>
      </c>
      <c r="AC34" s="4" t="str">
        <f>IF(OR(L34="",Results!L9=""),"",IF(L34=Results!L9,1+IF(OR($O34=11,$P34=11,$Q34=11),1,0),0))</f>
        <v/>
      </c>
      <c r="AD34" s="4" t="str">
        <f>IF(OR(M34="",Results!M9=""),"",IF(M34=Results!M9,1+IF(OR($O34=12,$P34=12,$Q34=12),1,0),0))</f>
        <v/>
      </c>
      <c r="AE34" s="4" t="str">
        <f>IF(OR(N34="",Results!N9=""),"",IF(N34=Results!N9,1+IF(OR($O34=13,$P34=13,$Q34=13),1,0),0))</f>
        <v/>
      </c>
      <c r="AF34" s="11">
        <f t="shared" si="0"/>
        <v>0</v>
      </c>
      <c r="AG34" s="4" t="str">
        <f>IF(OR($R34="",Results!O9=""),"",ABS($R34-Results!O9))</f>
        <v/>
      </c>
      <c r="AH34" s="12">
        <v>16</v>
      </c>
      <c r="AI34" s="13" t="str">
        <f>IF(OR(B34="",Results!B9=""),"",IF(AND(B34=Results!B9,Results!B9&lt;&gt;Games!$C$57),1,0))</f>
        <v/>
      </c>
      <c r="AJ34" s="13" t="str">
        <f>IF(OR(C34="",Results!C9=""),"",IF(AND(C34=Results!C9,Results!C9&lt;&gt;Games!$C$58),1,0))</f>
        <v/>
      </c>
      <c r="AK34" s="13" t="str">
        <f>IF(OR(D34="",Results!D9=""),"",IF(AND(D34=Results!D9,Results!D9&lt;&gt;Games!$C$59),1,0))</f>
        <v/>
      </c>
      <c r="AL34" s="13" t="str">
        <f>IF(OR(E34="",Results!E9=""),"",IF(AND(E34=Results!E9,Results!E9&lt;&gt;Games!$C$60),1,0))</f>
        <v/>
      </c>
      <c r="AM34" s="13" t="str">
        <f>IF(OR(F34="",Results!F9=""),"",IF(AND(F34=Results!F9,Results!F9&lt;&gt;Games!$C$61),1,0))</f>
        <v/>
      </c>
      <c r="AN34" s="13" t="str">
        <f>IF(OR(G34="",Results!G9=""),"",IF(AND(G34=Results!G9,Results!G9&lt;&gt;Games!$C$62),1,0))</f>
        <v/>
      </c>
      <c r="AO34" s="13" t="str">
        <f>IF(OR(H34="",Results!H9=""),"",IF(AND(H34=Results!H9,Results!H9&lt;&gt;Games!$C$63),1,0))</f>
        <v/>
      </c>
      <c r="AP34" s="13" t="str">
        <f>IF(OR(I34="",Results!I9=""),"",IF(AND(I34=Results!I9,Results!I9&lt;&gt;Games!$C$64),1,0))</f>
        <v/>
      </c>
      <c r="AQ34" s="13" t="str">
        <f>IF(OR(J34="",Results!J9=""),"",IF(AND(J34=Results!J9,Results!J9&lt;&gt;Games!$C$65),1,0))</f>
        <v/>
      </c>
      <c r="AR34" s="13" t="str">
        <f>IF(OR(K34="",Results!K9=""),"",IF(AND(K34=Results!K9,Results!K9&lt;&gt;Games!$C$66),1,0))</f>
        <v/>
      </c>
      <c r="AS34" s="13" t="str">
        <f>IF(OR(L34="",Results!L9=""),"",IF(AND(L34=Results!L9,Results!L9&lt;&gt;Games!$C$67),1,0))</f>
        <v/>
      </c>
      <c r="AT34" s="13" t="str">
        <f>IF(OR(M34="",Results!M9=""),"",IF(AND(M34=Results!M9,Results!M9&lt;&gt;Games!$C$68),1,0))</f>
        <v/>
      </c>
      <c r="AU34" s="13" t="str">
        <f>IF(OR(N34="",Results!N9=""),"",IF(AND(N34=Results!N9,Results!N9&lt;&gt;Games!$C$69),1,0))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IF(OR(B35="",Results!B9=""),"",IF(B35=Results!B9,1+IF(OR($O35=1,$P35=1,$Q35=1),1,0),0))</f>
        <v/>
      </c>
      <c r="T35" s="4" t="str">
        <f>IF(OR(C35="",Results!C9=""),"",IF(C35=Results!C9,1+IF(OR($O35=2,$P35=2,$Q35=2),1,0),0))</f>
        <v/>
      </c>
      <c r="U35" s="4" t="str">
        <f>IF(OR(D35="",Results!D9=""),"",IF(D35=Results!D9,1+IF(OR($O35=3,$P35=3,$Q35=3),1,0),0))</f>
        <v/>
      </c>
      <c r="V35" s="4" t="str">
        <f>IF(OR(E35="",Results!E9=""),"",IF(E35=Results!E9,1+IF(OR($O35=4,$P35=4,$Q35=4),1,0),0))</f>
        <v/>
      </c>
      <c r="W35" s="4" t="str">
        <f>IF(OR(F35="",Results!F9=""),"",IF(F35=Results!F9,1+IF(OR($O35=5,$P35=5,$Q35=5),1,0),0))</f>
        <v/>
      </c>
      <c r="X35" s="4" t="str">
        <f>IF(OR(G35="",Results!G9=""),"",IF(G35=Results!G9,1+IF(OR($O35=6,$P35=6,$Q35=6),1,0),0))</f>
        <v/>
      </c>
      <c r="Y35" s="4" t="str">
        <f>IF(OR(H35="",Results!H9=""),"",IF(H35=Results!H9,1+IF(OR($O35=7,$P35=7,$Q35=7),1,0),0))</f>
        <v/>
      </c>
      <c r="Z35" s="4" t="str">
        <f>IF(OR(I35="",Results!I9=""),"",IF(I35=Results!I9,1+IF(OR($O35=8,$P35=8,$Q35=8),1,0),0))</f>
        <v/>
      </c>
      <c r="AA35" s="4" t="str">
        <f>IF(OR(J35="",Results!J9=""),"",IF(J35=Results!J9,1+IF(OR($O35=9,$P35=9,$Q35=9),1,0),0))</f>
        <v/>
      </c>
      <c r="AB35" s="4" t="str">
        <f>IF(OR(K35="",Results!K9=""),"",IF(K35=Results!K9,1+IF(OR($O35=10,$P35=10,$Q35=10),1,0),0))</f>
        <v/>
      </c>
      <c r="AC35" s="4" t="str">
        <f>IF(OR(L35="",Results!L9=""),"",IF(L35=Results!L9,1+IF(OR($O35=11,$P35=11,$Q35=11),1,0),0))</f>
        <v/>
      </c>
      <c r="AD35" s="4" t="str">
        <f>IF(OR(M35="",Results!M9=""),"",IF(M35=Results!M9,1+IF(OR($O35=12,$P35=12,$Q35=12),1,0),0))</f>
        <v/>
      </c>
      <c r="AE35" s="4" t="str">
        <f>IF(OR(N35="",Results!N9=""),"",IF(N35=Results!N9,1+IF(OR($O35=13,$P35=13,$Q35=13),1,0),0))</f>
        <v/>
      </c>
      <c r="AF35" s="11">
        <f t="shared" si="0"/>
        <v>0</v>
      </c>
      <c r="AG35" s="4" t="str">
        <f>IF(OR($R35="",Results!O9=""),"",ABS($R35-Results!O9))</f>
        <v/>
      </c>
      <c r="AH35" s="12">
        <v>17</v>
      </c>
      <c r="AI35" s="13" t="str">
        <f>IF(OR(B35="",Results!B9=""),"",IF(AND(B35=Results!B9,Results!B9&lt;&gt;Games!$C$57),1,0))</f>
        <v/>
      </c>
      <c r="AJ35" s="13" t="str">
        <f>IF(OR(C35="",Results!C9=""),"",IF(AND(C35=Results!C9,Results!C9&lt;&gt;Games!$C$58),1,0))</f>
        <v/>
      </c>
      <c r="AK35" s="13" t="str">
        <f>IF(OR(D35="",Results!D9=""),"",IF(AND(D35=Results!D9,Results!D9&lt;&gt;Games!$C$59),1,0))</f>
        <v/>
      </c>
      <c r="AL35" s="13" t="str">
        <f>IF(OR(E35="",Results!E9=""),"",IF(AND(E35=Results!E9,Results!E9&lt;&gt;Games!$C$60),1,0))</f>
        <v/>
      </c>
      <c r="AM35" s="13" t="str">
        <f>IF(OR(F35="",Results!F9=""),"",IF(AND(F35=Results!F9,Results!F9&lt;&gt;Games!$C$61),1,0))</f>
        <v/>
      </c>
      <c r="AN35" s="13" t="str">
        <f>IF(OR(G35="",Results!G9=""),"",IF(AND(G35=Results!G9,Results!G9&lt;&gt;Games!$C$62),1,0))</f>
        <v/>
      </c>
      <c r="AO35" s="13" t="str">
        <f>IF(OR(H35="",Results!H9=""),"",IF(AND(H35=Results!H9,Results!H9&lt;&gt;Games!$C$63),1,0))</f>
        <v/>
      </c>
      <c r="AP35" s="13" t="str">
        <f>IF(OR(I35="",Results!I9=""),"",IF(AND(I35=Results!I9,Results!I9&lt;&gt;Games!$C$64),1,0))</f>
        <v/>
      </c>
      <c r="AQ35" s="13" t="str">
        <f>IF(OR(J35="",Results!J9=""),"",IF(AND(J35=Results!J9,Results!J9&lt;&gt;Games!$C$65),1,0))</f>
        <v/>
      </c>
      <c r="AR35" s="13" t="str">
        <f>IF(OR(K35="",Results!K9=""),"",IF(AND(K35=Results!K9,Results!K9&lt;&gt;Games!$C$66),1,0))</f>
        <v/>
      </c>
      <c r="AS35" s="13" t="str">
        <f>IF(OR(L35="",Results!L9=""),"",IF(AND(L35=Results!L9,Results!L9&lt;&gt;Games!$C$67),1,0))</f>
        <v/>
      </c>
      <c r="AT35" s="13" t="str">
        <f>IF(OR(M35="",Results!M9=""),"",IF(AND(M35=Results!M9,Results!M9&lt;&gt;Games!$C$68),1,0))</f>
        <v/>
      </c>
      <c r="AU35" s="13" t="str">
        <f>IF(OR(N35="",Results!N9=""),"",IF(AND(N35=Results!N9,Results!N9&lt;&gt;Games!$C$69),1,0))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IF(OR(B36="",Results!B9=""),"",IF(B36=Results!B9,1+IF(OR($O36=1,$P36=1,$Q36=1),1,0),0))</f>
        <v/>
      </c>
      <c r="T36" s="4" t="str">
        <f>IF(OR(C36="",Results!C9=""),"",IF(C36=Results!C9,1+IF(OR($O36=2,$P36=2,$Q36=2),1,0),0))</f>
        <v/>
      </c>
      <c r="U36" s="4" t="str">
        <f>IF(OR(D36="",Results!D9=""),"",IF(D36=Results!D9,1+IF(OR($O36=3,$P36=3,$Q36=3),1,0),0))</f>
        <v/>
      </c>
      <c r="V36" s="4" t="str">
        <f>IF(OR(E36="",Results!E9=""),"",IF(E36=Results!E9,1+IF(OR($O36=4,$P36=4,$Q36=4),1,0),0))</f>
        <v/>
      </c>
      <c r="W36" s="4" t="str">
        <f>IF(OR(F36="",Results!F9=""),"",IF(F36=Results!F9,1+IF(OR($O36=5,$P36=5,$Q36=5),1,0),0))</f>
        <v/>
      </c>
      <c r="X36" s="4" t="str">
        <f>IF(OR(G36="",Results!G9=""),"",IF(G36=Results!G9,1+IF(OR($O36=6,$P36=6,$Q36=6),1,0),0))</f>
        <v/>
      </c>
      <c r="Y36" s="4" t="str">
        <f>IF(OR(H36="",Results!H9=""),"",IF(H36=Results!H9,1+IF(OR($O36=7,$P36=7,$Q36=7),1,0),0))</f>
        <v/>
      </c>
      <c r="Z36" s="4" t="str">
        <f>IF(OR(I36="",Results!I9=""),"",IF(I36=Results!I9,1+IF(OR($O36=8,$P36=8,$Q36=8),1,0),0))</f>
        <v/>
      </c>
      <c r="AA36" s="4" t="str">
        <f>IF(OR(J36="",Results!J9=""),"",IF(J36=Results!J9,1+IF(OR($O36=9,$P36=9,$Q36=9),1,0),0))</f>
        <v/>
      </c>
      <c r="AB36" s="4" t="str">
        <f>IF(OR(K36="",Results!K9=""),"",IF(K36=Results!K9,1+IF(OR($O36=10,$P36=10,$Q36=10),1,0),0))</f>
        <v/>
      </c>
      <c r="AC36" s="4" t="str">
        <f>IF(OR(L36="",Results!L9=""),"",IF(L36=Results!L9,1+IF(OR($O36=11,$P36=11,$Q36=11),1,0),0))</f>
        <v/>
      </c>
      <c r="AD36" s="4" t="str">
        <f>IF(OR(M36="",Results!M9=""),"",IF(M36=Results!M9,1+IF(OR($O36=12,$P36=12,$Q36=12),1,0),0))</f>
        <v/>
      </c>
      <c r="AE36" s="4" t="str">
        <f>IF(OR(N36="",Results!N9=""),"",IF(N36=Results!N9,1+IF(OR($O36=13,$P36=13,$Q36=13),1,0),0))</f>
        <v/>
      </c>
      <c r="AF36" s="11">
        <f t="shared" si="0"/>
        <v>0</v>
      </c>
      <c r="AG36" s="4" t="str">
        <f>IF(OR($R36="",Results!O9=""),"",ABS($R36-Results!O9))</f>
        <v/>
      </c>
      <c r="AH36" s="12">
        <v>39</v>
      </c>
      <c r="AI36" s="13" t="str">
        <f>IF(OR(B36="",Results!B9=""),"",IF(AND(B36=Results!B9,Results!B9&lt;&gt;Games!$C$57),1,0))</f>
        <v/>
      </c>
      <c r="AJ36" s="13" t="str">
        <f>IF(OR(C36="",Results!C9=""),"",IF(AND(C36=Results!C9,Results!C9&lt;&gt;Games!$C$58),1,0))</f>
        <v/>
      </c>
      <c r="AK36" s="13" t="str">
        <f>IF(OR(D36="",Results!D9=""),"",IF(AND(D36=Results!D9,Results!D9&lt;&gt;Games!$C$59),1,0))</f>
        <v/>
      </c>
      <c r="AL36" s="13" t="str">
        <f>IF(OR(E36="",Results!E9=""),"",IF(AND(E36=Results!E9,Results!E9&lt;&gt;Games!$C$60),1,0))</f>
        <v/>
      </c>
      <c r="AM36" s="13" t="str">
        <f>IF(OR(F36="",Results!F9=""),"",IF(AND(F36=Results!F9,Results!F9&lt;&gt;Games!$C$61),1,0))</f>
        <v/>
      </c>
      <c r="AN36" s="13" t="str">
        <f>IF(OR(G36="",Results!G9=""),"",IF(AND(G36=Results!G9,Results!G9&lt;&gt;Games!$C$62),1,0))</f>
        <v/>
      </c>
      <c r="AO36" s="13" t="str">
        <f>IF(OR(H36="",Results!H9=""),"",IF(AND(H36=Results!H9,Results!H9&lt;&gt;Games!$C$63),1,0))</f>
        <v/>
      </c>
      <c r="AP36" s="13" t="str">
        <f>IF(OR(I36="",Results!I9=""),"",IF(AND(I36=Results!I9,Results!I9&lt;&gt;Games!$C$64),1,0))</f>
        <v/>
      </c>
      <c r="AQ36" s="13" t="str">
        <f>IF(OR(J36="",Results!J9=""),"",IF(AND(J36=Results!J9,Results!J9&lt;&gt;Games!$C$65),1,0))</f>
        <v/>
      </c>
      <c r="AR36" s="13" t="str">
        <f>IF(OR(K36="",Results!K9=""),"",IF(AND(K36=Results!K9,Results!K9&lt;&gt;Games!$C$66),1,0))</f>
        <v/>
      </c>
      <c r="AS36" s="13" t="str">
        <f>IF(OR(L36="",Results!L9=""),"",IF(AND(L36=Results!L9,Results!L9&lt;&gt;Games!$C$67),1,0))</f>
        <v/>
      </c>
      <c r="AT36" s="13" t="str">
        <f>IF(OR(M36="",Results!M9=""),"",IF(AND(M36=Results!M9,Results!M9&lt;&gt;Games!$C$68),1,0))</f>
        <v/>
      </c>
      <c r="AU36" s="13" t="str">
        <f>IF(OR(N36="",Results!N9=""),"",IF(AND(N36=Results!N9,Results!N9&lt;&gt;Games!$C$69),1,0))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IF(OR(B37="",Results!B9=""),"",IF(B37=Results!B9,1+IF(OR($O37=1,$P37=1,$Q37=1),1,0),0))</f>
        <v/>
      </c>
      <c r="T37" s="4" t="str">
        <f>IF(OR(C37="",Results!C9=""),"",IF(C37=Results!C9,1+IF(OR($O37=2,$P37=2,$Q37=2),1,0),0))</f>
        <v/>
      </c>
      <c r="U37" s="4" t="str">
        <f>IF(OR(D37="",Results!D9=""),"",IF(D37=Results!D9,1+IF(OR($O37=3,$P37=3,$Q37=3),1,0),0))</f>
        <v/>
      </c>
      <c r="V37" s="4" t="str">
        <f>IF(OR(E37="",Results!E9=""),"",IF(E37=Results!E9,1+IF(OR($O37=4,$P37=4,$Q37=4),1,0),0))</f>
        <v/>
      </c>
      <c r="W37" s="4" t="str">
        <f>IF(OR(F37="",Results!F9=""),"",IF(F37=Results!F9,1+IF(OR($O37=5,$P37=5,$Q37=5),1,0),0))</f>
        <v/>
      </c>
      <c r="X37" s="4" t="str">
        <f>IF(OR(G37="",Results!G9=""),"",IF(G37=Results!G9,1+IF(OR($O37=6,$P37=6,$Q37=6),1,0),0))</f>
        <v/>
      </c>
      <c r="Y37" s="4" t="str">
        <f>IF(OR(H37="",Results!H9=""),"",IF(H37=Results!H9,1+IF(OR($O37=7,$P37=7,$Q37=7),1,0),0))</f>
        <v/>
      </c>
      <c r="Z37" s="4" t="str">
        <f>IF(OR(I37="",Results!I9=""),"",IF(I37=Results!I9,1+IF(OR($O37=8,$P37=8,$Q37=8),1,0),0))</f>
        <v/>
      </c>
      <c r="AA37" s="4" t="str">
        <f>IF(OR(J37="",Results!J9=""),"",IF(J37=Results!J9,1+IF(OR($O37=9,$P37=9,$Q37=9),1,0),0))</f>
        <v/>
      </c>
      <c r="AB37" s="4" t="str">
        <f>IF(OR(K37="",Results!K9=""),"",IF(K37=Results!K9,1+IF(OR($O37=10,$P37=10,$Q37=10),1,0),0))</f>
        <v/>
      </c>
      <c r="AC37" s="4" t="str">
        <f>IF(OR(L37="",Results!L9=""),"",IF(L37=Results!L9,1+IF(OR($O37=11,$P37=11,$Q37=11),1,0),0))</f>
        <v/>
      </c>
      <c r="AD37" s="4" t="str">
        <f>IF(OR(M37="",Results!M9=""),"",IF(M37=Results!M9,1+IF(OR($O37=12,$P37=12,$Q37=12),1,0),0))</f>
        <v/>
      </c>
      <c r="AE37" s="4" t="str">
        <f>IF(OR(N37="",Results!N9=""),"",IF(N37=Results!N9,1+IF(OR($O37=13,$P37=13,$Q37=13),1,0),0))</f>
        <v/>
      </c>
      <c r="AF37" s="11">
        <f t="shared" si="0"/>
        <v>0</v>
      </c>
      <c r="AG37" s="4" t="str">
        <f>IF(OR($R37="",Results!O9=""),"",ABS($R37-Results!O9))</f>
        <v/>
      </c>
      <c r="AH37" s="12">
        <v>49</v>
      </c>
      <c r="AI37" s="13" t="str">
        <f>IF(OR(B37="",Results!B9=""),"",IF(AND(B37=Results!B9,Results!B9&lt;&gt;Games!$C$57),1,0))</f>
        <v/>
      </c>
      <c r="AJ37" s="13" t="str">
        <f>IF(OR(C37="",Results!C9=""),"",IF(AND(C37=Results!C9,Results!C9&lt;&gt;Games!$C$58),1,0))</f>
        <v/>
      </c>
      <c r="AK37" s="13" t="str">
        <f>IF(OR(D37="",Results!D9=""),"",IF(AND(D37=Results!D9,Results!D9&lt;&gt;Games!$C$59),1,0))</f>
        <v/>
      </c>
      <c r="AL37" s="13" t="str">
        <f>IF(OR(E37="",Results!E9=""),"",IF(AND(E37=Results!E9,Results!E9&lt;&gt;Games!$C$60),1,0))</f>
        <v/>
      </c>
      <c r="AM37" s="13" t="str">
        <f>IF(OR(F37="",Results!F9=""),"",IF(AND(F37=Results!F9,Results!F9&lt;&gt;Games!$C$61),1,0))</f>
        <v/>
      </c>
      <c r="AN37" s="13" t="str">
        <f>IF(OR(G37="",Results!G9=""),"",IF(AND(G37=Results!G9,Results!G9&lt;&gt;Games!$C$62),1,0))</f>
        <v/>
      </c>
      <c r="AO37" s="13" t="str">
        <f>IF(OR(H37="",Results!H9=""),"",IF(AND(H37=Results!H9,Results!H9&lt;&gt;Games!$C$63),1,0))</f>
        <v/>
      </c>
      <c r="AP37" s="13" t="str">
        <f>IF(OR(I37="",Results!I9=""),"",IF(AND(I37=Results!I9,Results!I9&lt;&gt;Games!$C$64),1,0))</f>
        <v/>
      </c>
      <c r="AQ37" s="13" t="str">
        <f>IF(OR(J37="",Results!J9=""),"",IF(AND(J37=Results!J9,Results!J9&lt;&gt;Games!$C$65),1,0))</f>
        <v/>
      </c>
      <c r="AR37" s="13" t="str">
        <f>IF(OR(K37="",Results!K9=""),"",IF(AND(K37=Results!K9,Results!K9&lt;&gt;Games!$C$66),1,0))</f>
        <v/>
      </c>
      <c r="AS37" s="13" t="str">
        <f>IF(OR(L37="",Results!L9=""),"",IF(AND(L37=Results!L9,Results!L9&lt;&gt;Games!$C$67),1,0))</f>
        <v/>
      </c>
      <c r="AT37" s="13" t="str">
        <f>IF(OR(M37="",Results!M9=""),"",IF(AND(M37=Results!M9,Results!M9&lt;&gt;Games!$C$68),1,0))</f>
        <v/>
      </c>
      <c r="AU37" s="13" t="str">
        <f>IF(OR(N37="",Results!N9=""),"",IF(AND(N37=Results!N9,Results!N9&lt;&gt;Games!$C$69),1,0))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tr">
        <f>IF(OR(B38="",Results!B9=""),"",IF(B38=Results!B9,1+IF(OR($O38=1,$P38=1,$Q38=1),1,0),0))</f>
        <v/>
      </c>
      <c r="T38" s="4" t="str">
        <f>IF(OR(C38="",Results!C9=""),"",IF(C38=Results!C9,1+IF(OR($O38=2,$P38=2,$Q38=2),1,0),0))</f>
        <v/>
      </c>
      <c r="U38" s="4" t="str">
        <f>IF(OR(D38="",Results!D9=""),"",IF(D38=Results!D9,1+IF(OR($O38=3,$P38=3,$Q38=3),1,0),0))</f>
        <v/>
      </c>
      <c r="V38" s="4" t="str">
        <f>IF(OR(E38="",Results!E9=""),"",IF(E38=Results!E9,1+IF(OR($O38=4,$P38=4,$Q38=4),1,0),0))</f>
        <v/>
      </c>
      <c r="W38" s="4" t="str">
        <f>IF(OR(F38="",Results!F9=""),"",IF(F38=Results!F9,1+IF(OR($O38=5,$P38=5,$Q38=5),1,0),0))</f>
        <v/>
      </c>
      <c r="X38" s="4" t="str">
        <f>IF(OR(G38="",Results!G9=""),"",IF(G38=Results!G9,1+IF(OR($O38=6,$P38=6,$Q38=6),1,0),0))</f>
        <v/>
      </c>
      <c r="Y38" s="4" t="str">
        <f>IF(OR(H38="",Results!H9=""),"",IF(H38=Results!H9,1+IF(OR($O38=7,$P38=7,$Q38=7),1,0),0))</f>
        <v/>
      </c>
      <c r="Z38" s="4" t="str">
        <f>IF(OR(I38="",Results!I9=""),"",IF(I38=Results!I9,1+IF(OR($O38=8,$P38=8,$Q38=8),1,0),0))</f>
        <v/>
      </c>
      <c r="AA38" s="4" t="str">
        <f>IF(OR(J38="",Results!J9=""),"",IF(J38=Results!J9,1+IF(OR($O38=9,$P38=9,$Q38=9),1,0),0))</f>
        <v/>
      </c>
      <c r="AB38" s="4" t="str">
        <f>IF(OR(K38="",Results!K9=""),"",IF(K38=Results!K9,1+IF(OR($O38=10,$P38=10,$Q38=10),1,0),0))</f>
        <v/>
      </c>
      <c r="AC38" s="4" t="str">
        <f>IF(OR(L38="",Results!L9=""),"",IF(L38=Results!L9,1+IF(OR($O38=11,$P38=11,$Q38=11),1,0),0))</f>
        <v/>
      </c>
      <c r="AD38" s="4" t="str">
        <f>IF(OR(M38="",Results!M9=""),"",IF(M38=Results!M9,1+IF(OR($O38=12,$P38=12,$Q38=12),1,0),0))</f>
        <v/>
      </c>
      <c r="AE38" s="4" t="str">
        <f>IF(OR(N38="",Results!N9=""),"",IF(N38=Results!N9,1+IF(OR($O38=13,$P38=13,$Q38=13),1,0),0))</f>
        <v/>
      </c>
      <c r="AF38" s="11">
        <f t="shared" ref="AF38:AF65" si="2">SUM(S38:AE38)</f>
        <v>0</v>
      </c>
      <c r="AG38" s="4" t="str">
        <f>IF(OR($R38="",Results!O9=""),"",ABS($R38-Results!O9))</f>
        <v/>
      </c>
      <c r="AH38" s="12">
        <v>18</v>
      </c>
      <c r="AI38" s="13" t="str">
        <f>IF(OR(B38="",Results!B9=""),"",IF(AND(B38=Results!B9,Results!B9&lt;&gt;Games!$C$57),1,0))</f>
        <v/>
      </c>
      <c r="AJ38" s="13" t="str">
        <f>IF(OR(C38="",Results!C9=""),"",IF(AND(C38=Results!C9,Results!C9&lt;&gt;Games!$C$58),1,0))</f>
        <v/>
      </c>
      <c r="AK38" s="13" t="str">
        <f>IF(OR(D38="",Results!D9=""),"",IF(AND(D38=Results!D9,Results!D9&lt;&gt;Games!$C$59),1,0))</f>
        <v/>
      </c>
      <c r="AL38" s="13" t="str">
        <f>IF(OR(E38="",Results!E9=""),"",IF(AND(E38=Results!E9,Results!E9&lt;&gt;Games!$C$60),1,0))</f>
        <v/>
      </c>
      <c r="AM38" s="13" t="str">
        <f>IF(OR(F38="",Results!F9=""),"",IF(AND(F38=Results!F9,Results!F9&lt;&gt;Games!$C$61),1,0))</f>
        <v/>
      </c>
      <c r="AN38" s="13" t="str">
        <f>IF(OR(G38="",Results!G9=""),"",IF(AND(G38=Results!G9,Results!G9&lt;&gt;Games!$C$62),1,0))</f>
        <v/>
      </c>
      <c r="AO38" s="13" t="str">
        <f>IF(OR(H38="",Results!H9=""),"",IF(AND(H38=Results!H9,Results!H9&lt;&gt;Games!$C$63),1,0))</f>
        <v/>
      </c>
      <c r="AP38" s="13" t="str">
        <f>IF(OR(I38="",Results!I9=""),"",IF(AND(I38=Results!I9,Results!I9&lt;&gt;Games!$C$64),1,0))</f>
        <v/>
      </c>
      <c r="AQ38" s="13" t="str">
        <f>IF(OR(J38="",Results!J9=""),"",IF(AND(J38=Results!J9,Results!J9&lt;&gt;Games!$C$65),1,0))</f>
        <v/>
      </c>
      <c r="AR38" s="13" t="str">
        <f>IF(OR(K38="",Results!K9=""),"",IF(AND(K38=Results!K9,Results!K9&lt;&gt;Games!$C$66),1,0))</f>
        <v/>
      </c>
      <c r="AS38" s="13" t="str">
        <f>IF(OR(L38="",Results!L9=""),"",IF(AND(L38=Results!L9,Results!L9&lt;&gt;Games!$C$67),1,0))</f>
        <v/>
      </c>
      <c r="AT38" s="13" t="str">
        <f>IF(OR(M38="",Results!M9=""),"",IF(AND(M38=Results!M9,Results!M9&lt;&gt;Games!$C$68),1,0))</f>
        <v/>
      </c>
      <c r="AU38" s="13" t="str">
        <f>IF(OR(N38="",Results!N9=""),"",IF(AND(N38=Results!N9,Results!N9&lt;&gt;Games!$C$69),1,0))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IF(OR(B39="",Results!B9=""),"",IF(B39=Results!B9,1+IF(OR($O39=1,$P39=1,$Q39=1),1,0),0))</f>
        <v/>
      </c>
      <c r="T39" s="4" t="str">
        <f>IF(OR(C39="",Results!C9=""),"",IF(C39=Results!C9,1+IF(OR($O39=2,$P39=2,$Q39=2),1,0),0))</f>
        <v/>
      </c>
      <c r="U39" s="4" t="str">
        <f>IF(OR(D39="",Results!D9=""),"",IF(D39=Results!D9,1+IF(OR($O39=3,$P39=3,$Q39=3),1,0),0))</f>
        <v/>
      </c>
      <c r="V39" s="4" t="str">
        <f>IF(OR(E39="",Results!E9=""),"",IF(E39=Results!E9,1+IF(OR($O39=4,$P39=4,$Q39=4),1,0),0))</f>
        <v/>
      </c>
      <c r="W39" s="4" t="str">
        <f>IF(OR(F39="",Results!F9=""),"",IF(F39=Results!F9,1+IF(OR($O39=5,$P39=5,$Q39=5),1,0),0))</f>
        <v/>
      </c>
      <c r="X39" s="4" t="str">
        <f>IF(OR(G39="",Results!G9=""),"",IF(G39=Results!G9,1+IF(OR($O39=6,$P39=6,$Q39=6),1,0),0))</f>
        <v/>
      </c>
      <c r="Y39" s="4" t="str">
        <f>IF(OR(H39="",Results!H9=""),"",IF(H39=Results!H9,1+IF(OR($O39=7,$P39=7,$Q39=7),1,0),0))</f>
        <v/>
      </c>
      <c r="Z39" s="4" t="str">
        <f>IF(OR(I39="",Results!I9=""),"",IF(I39=Results!I9,1+IF(OR($O39=8,$P39=8,$Q39=8),1,0),0))</f>
        <v/>
      </c>
      <c r="AA39" s="4" t="str">
        <f>IF(OR(J39="",Results!J9=""),"",IF(J39=Results!J9,1+IF(OR($O39=9,$P39=9,$Q39=9),1,0),0))</f>
        <v/>
      </c>
      <c r="AB39" s="4" t="str">
        <f>IF(OR(K39="",Results!K9=""),"",IF(K39=Results!K9,1+IF(OR($O39=10,$P39=10,$Q39=10),1,0),0))</f>
        <v/>
      </c>
      <c r="AC39" s="4" t="str">
        <f>IF(OR(L39="",Results!L9=""),"",IF(L39=Results!L9,1+IF(OR($O39=11,$P39=11,$Q39=11),1,0),0))</f>
        <v/>
      </c>
      <c r="AD39" s="4" t="str">
        <f>IF(OR(M39="",Results!M9=""),"",IF(M39=Results!M9,1+IF(OR($O39=12,$P39=12,$Q39=12),1,0),0))</f>
        <v/>
      </c>
      <c r="AE39" s="4" t="str">
        <f>IF(OR(N39="",Results!N9=""),"",IF(N39=Results!N9,1+IF(OR($O39=13,$P39=13,$Q39=13),1,0),0))</f>
        <v/>
      </c>
      <c r="AF39" s="11">
        <f t="shared" si="2"/>
        <v>0</v>
      </c>
      <c r="AG39" s="4" t="str">
        <f>IF(OR($R39="",Results!O9=""),"",ABS($R39-Results!O9))</f>
        <v/>
      </c>
      <c r="AH39" s="12">
        <v>50</v>
      </c>
      <c r="AI39" s="13" t="str">
        <f>IF(OR(B39="",Results!B9=""),"",IF(AND(B39=Results!B9,Results!B9&lt;&gt;Games!$C$57),1,0))</f>
        <v/>
      </c>
      <c r="AJ39" s="13" t="str">
        <f>IF(OR(C39="",Results!C9=""),"",IF(AND(C39=Results!C9,Results!C9&lt;&gt;Games!$C$58),1,0))</f>
        <v/>
      </c>
      <c r="AK39" s="13" t="str">
        <f>IF(OR(D39="",Results!D9=""),"",IF(AND(D39=Results!D9,Results!D9&lt;&gt;Games!$C$59),1,0))</f>
        <v/>
      </c>
      <c r="AL39" s="13" t="str">
        <f>IF(OR(E39="",Results!E9=""),"",IF(AND(E39=Results!E9,Results!E9&lt;&gt;Games!$C$60),1,0))</f>
        <v/>
      </c>
      <c r="AM39" s="13" t="str">
        <f>IF(OR(F39="",Results!F9=""),"",IF(AND(F39=Results!F9,Results!F9&lt;&gt;Games!$C$61),1,0))</f>
        <v/>
      </c>
      <c r="AN39" s="13" t="str">
        <f>IF(OR(G39="",Results!G9=""),"",IF(AND(G39=Results!G9,Results!G9&lt;&gt;Games!$C$62),1,0))</f>
        <v/>
      </c>
      <c r="AO39" s="13" t="str">
        <f>IF(OR(H39="",Results!H9=""),"",IF(AND(H39=Results!H9,Results!H9&lt;&gt;Games!$C$63),1,0))</f>
        <v/>
      </c>
      <c r="AP39" s="13" t="str">
        <f>IF(OR(I39="",Results!I9=""),"",IF(AND(I39=Results!I9,Results!I9&lt;&gt;Games!$C$64),1,0))</f>
        <v/>
      </c>
      <c r="AQ39" s="13" t="str">
        <f>IF(OR(J39="",Results!J9=""),"",IF(AND(J39=Results!J9,Results!J9&lt;&gt;Games!$C$65),1,0))</f>
        <v/>
      </c>
      <c r="AR39" s="13" t="str">
        <f>IF(OR(K39="",Results!K9=""),"",IF(AND(K39=Results!K9,Results!K9&lt;&gt;Games!$C$66),1,0))</f>
        <v/>
      </c>
      <c r="AS39" s="13" t="str">
        <f>IF(OR(L39="",Results!L9=""),"",IF(AND(L39=Results!L9,Results!L9&lt;&gt;Games!$C$67),1,0))</f>
        <v/>
      </c>
      <c r="AT39" s="13" t="str">
        <f>IF(OR(M39="",Results!M9=""),"",IF(AND(M39=Results!M9,Results!M9&lt;&gt;Games!$C$68),1,0))</f>
        <v/>
      </c>
      <c r="AU39" s="13" t="str">
        <f>IF(OR(N39="",Results!N9=""),"",IF(AND(N39=Results!N9,Results!N9&lt;&gt;Games!$C$69),1,0))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4" t="str">
        <f>IF(OR(B40="",Results!B9=""),"",IF(B40=Results!B9,1+IF(OR($O40=1,$P40=1,$Q40=1),1,0),0))</f>
        <v/>
      </c>
      <c r="T40" s="4" t="str">
        <f>IF(OR(C40="",Results!C9=""),"",IF(C40=Results!C9,1+IF(OR($O40=2,$P40=2,$Q40=2),1,0),0))</f>
        <v/>
      </c>
      <c r="U40" s="4" t="str">
        <f>IF(OR(D40="",Results!D9=""),"",IF(D40=Results!D9,1+IF(OR($O40=3,$P40=3,$Q40=3),1,0),0))</f>
        <v/>
      </c>
      <c r="V40" s="4" t="str">
        <f>IF(OR(E40="",Results!E9=""),"",IF(E40=Results!E9,1+IF(OR($O40=4,$P40=4,$Q40=4),1,0),0))</f>
        <v/>
      </c>
      <c r="W40" s="4" t="str">
        <f>IF(OR(F40="",Results!F9=""),"",IF(F40=Results!F9,1+IF(OR($O40=5,$P40=5,$Q40=5),1,0),0))</f>
        <v/>
      </c>
      <c r="X40" s="4" t="str">
        <f>IF(OR(G40="",Results!G9=""),"",IF(G40=Results!G9,1+IF(OR($O40=6,$P40=6,$Q40=6),1,0),0))</f>
        <v/>
      </c>
      <c r="Y40" s="4" t="str">
        <f>IF(OR(H40="",Results!H9=""),"",IF(H40=Results!H9,1+IF(OR($O40=7,$P40=7,$Q40=7),1,0),0))</f>
        <v/>
      </c>
      <c r="Z40" s="4" t="str">
        <f>IF(OR(I40="",Results!I9=""),"",IF(I40=Results!I9,1+IF(OR($O40=8,$P40=8,$Q40=8),1,0),0))</f>
        <v/>
      </c>
      <c r="AA40" s="4" t="str">
        <f>IF(OR(J40="",Results!J9=""),"",IF(J40=Results!J9,1+IF(OR($O40=9,$P40=9,$Q40=9),1,0),0))</f>
        <v/>
      </c>
      <c r="AB40" s="4" t="str">
        <f>IF(OR(K40="",Results!K9=""),"",IF(K40=Results!K9,1+IF(OR($O40=10,$P40=10,$Q40=10),1,0),0))</f>
        <v/>
      </c>
      <c r="AC40" s="4" t="str">
        <f>IF(OR(L40="",Results!L9=""),"",IF(L40=Results!L9,1+IF(OR($O40=11,$P40=11,$Q40=11),1,0),0))</f>
        <v/>
      </c>
      <c r="AD40" s="4" t="str">
        <f>IF(OR(M40="",Results!M9=""),"",IF(M40=Results!M9,1+IF(OR($O40=12,$P40=12,$Q40=12),1,0),0))</f>
        <v/>
      </c>
      <c r="AE40" s="4" t="str">
        <f>IF(OR(N40="",Results!N9=""),"",IF(N40=Results!N9,1+IF(OR($O40=13,$P40=13,$Q40=13),1,0),0))</f>
        <v/>
      </c>
      <c r="AF40" s="11">
        <f t="shared" si="2"/>
        <v>0</v>
      </c>
      <c r="AG40" s="4" t="str">
        <f>IF(OR($R40="",Results!O9=""),"",ABS($R40-Results!O9))</f>
        <v/>
      </c>
      <c r="AH40" s="12">
        <v>19</v>
      </c>
      <c r="AI40" s="13" t="str">
        <f>IF(OR(B40="",Results!B9=""),"",IF(AND(B40=Results!B9,Results!B9&lt;&gt;Games!$C$57),1,0))</f>
        <v/>
      </c>
      <c r="AJ40" s="13" t="str">
        <f>IF(OR(C40="",Results!C9=""),"",IF(AND(C40=Results!C9,Results!C9&lt;&gt;Games!$C$58),1,0))</f>
        <v/>
      </c>
      <c r="AK40" s="13" t="str">
        <f>IF(OR(D40="",Results!D9=""),"",IF(AND(D40=Results!D9,Results!D9&lt;&gt;Games!$C$59),1,0))</f>
        <v/>
      </c>
      <c r="AL40" s="13" t="str">
        <f>IF(OR(E40="",Results!E9=""),"",IF(AND(E40=Results!E9,Results!E9&lt;&gt;Games!$C$60),1,0))</f>
        <v/>
      </c>
      <c r="AM40" s="13" t="str">
        <f>IF(OR(F40="",Results!F9=""),"",IF(AND(F40=Results!F9,Results!F9&lt;&gt;Games!$C$61),1,0))</f>
        <v/>
      </c>
      <c r="AN40" s="13" t="str">
        <f>IF(OR(G40="",Results!G9=""),"",IF(AND(G40=Results!G9,Results!G9&lt;&gt;Games!$C$62),1,0))</f>
        <v/>
      </c>
      <c r="AO40" s="13" t="str">
        <f>IF(OR(H40="",Results!H9=""),"",IF(AND(H40=Results!H9,Results!H9&lt;&gt;Games!$C$63),1,0))</f>
        <v/>
      </c>
      <c r="AP40" s="13" t="str">
        <f>IF(OR(I40="",Results!I9=""),"",IF(AND(I40=Results!I9,Results!I9&lt;&gt;Games!$C$64),1,0))</f>
        <v/>
      </c>
      <c r="AQ40" s="13" t="str">
        <f>IF(OR(J40="",Results!J9=""),"",IF(AND(J40=Results!J9,Results!J9&lt;&gt;Games!$C$65),1,0))</f>
        <v/>
      </c>
      <c r="AR40" s="13" t="str">
        <f>IF(OR(K40="",Results!K9=""),"",IF(AND(K40=Results!K9,Results!K9&lt;&gt;Games!$C$66),1,0))</f>
        <v/>
      </c>
      <c r="AS40" s="13" t="str">
        <f>IF(OR(L40="",Results!L9=""),"",IF(AND(L40=Results!L9,Results!L9&lt;&gt;Games!$C$67),1,0))</f>
        <v/>
      </c>
      <c r="AT40" s="13" t="str">
        <f>IF(OR(M40="",Results!M9=""),"",IF(AND(M40=Results!M9,Results!M9&lt;&gt;Games!$C$68),1,0))</f>
        <v/>
      </c>
      <c r="AU40" s="13" t="str">
        <f>IF(OR(N40="",Results!N9=""),"",IF(AND(N40=Results!N9,Results!N9&lt;&gt;Games!$C$69),1,0))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IF(OR(B41="",Results!B9=""),"",IF(B41=Results!B9,1+IF(OR($O41=1,$P41=1,$Q41=1),1,0),0))</f>
        <v/>
      </c>
      <c r="T41" s="4" t="str">
        <f>IF(OR(C41="",Results!C9=""),"",IF(C41=Results!C9,1+IF(OR($O41=2,$P41=2,$Q41=2),1,0),0))</f>
        <v/>
      </c>
      <c r="U41" s="4" t="str">
        <f>IF(OR(D41="",Results!D9=""),"",IF(D41=Results!D9,1+IF(OR($O41=3,$P41=3,$Q41=3),1,0),0))</f>
        <v/>
      </c>
      <c r="V41" s="4" t="str">
        <f>IF(OR(E41="",Results!E9=""),"",IF(E41=Results!E9,1+IF(OR($O41=4,$P41=4,$Q41=4),1,0),0))</f>
        <v/>
      </c>
      <c r="W41" s="4" t="str">
        <f>IF(OR(F41="",Results!F9=""),"",IF(F41=Results!F9,1+IF(OR($O41=5,$P41=5,$Q41=5),1,0),0))</f>
        <v/>
      </c>
      <c r="X41" s="4" t="str">
        <f>IF(OR(G41="",Results!G9=""),"",IF(G41=Results!G9,1+IF(OR($O41=6,$P41=6,$Q41=6),1,0),0))</f>
        <v/>
      </c>
      <c r="Y41" s="4" t="str">
        <f>IF(OR(H41="",Results!H9=""),"",IF(H41=Results!H9,1+IF(OR($O41=7,$P41=7,$Q41=7),1,0),0))</f>
        <v/>
      </c>
      <c r="Z41" s="4" t="str">
        <f>IF(OR(I41="",Results!I9=""),"",IF(I41=Results!I9,1+IF(OR($O41=8,$P41=8,$Q41=8),1,0),0))</f>
        <v/>
      </c>
      <c r="AA41" s="4" t="str">
        <f>IF(OR(J41="",Results!J9=""),"",IF(J41=Results!J9,1+IF(OR($O41=9,$P41=9,$Q41=9),1,0),0))</f>
        <v/>
      </c>
      <c r="AB41" s="4" t="str">
        <f>IF(OR(K41="",Results!K9=""),"",IF(K41=Results!K9,1+IF(OR($O41=10,$P41=10,$Q41=10),1,0),0))</f>
        <v/>
      </c>
      <c r="AC41" s="4" t="str">
        <f>IF(OR(L41="",Results!L9=""),"",IF(L41=Results!L9,1+IF(OR($O41=11,$P41=11,$Q41=11),1,0),0))</f>
        <v/>
      </c>
      <c r="AD41" s="4" t="str">
        <f>IF(OR(M41="",Results!M9=""),"",IF(M41=Results!M9,1+IF(OR($O41=12,$P41=12,$Q41=12),1,0),0))</f>
        <v/>
      </c>
      <c r="AE41" s="4" t="str">
        <f>IF(OR(N41="",Results!N9=""),"",IF(N41=Results!N9,1+IF(OR($O41=13,$P41=13,$Q41=13),1,0),0))</f>
        <v/>
      </c>
      <c r="AF41" s="11">
        <f t="shared" si="2"/>
        <v>0</v>
      </c>
      <c r="AG41" s="4" t="str">
        <f>IF(OR($R41="",Results!O9=""),"",ABS($R41-Results!O9))</f>
        <v/>
      </c>
      <c r="AH41" s="12">
        <v>20</v>
      </c>
      <c r="AI41" s="13" t="str">
        <f>IF(OR(B41="",Results!B9=""),"",IF(AND(B41=Results!B9,Results!B9&lt;&gt;Games!$C$57),1,0))</f>
        <v/>
      </c>
      <c r="AJ41" s="13" t="str">
        <f>IF(OR(C41="",Results!C9=""),"",IF(AND(C41=Results!C9,Results!C9&lt;&gt;Games!$C$58),1,0))</f>
        <v/>
      </c>
      <c r="AK41" s="13" t="str">
        <f>IF(OR(D41="",Results!D9=""),"",IF(AND(D41=Results!D9,Results!D9&lt;&gt;Games!$C$59),1,0))</f>
        <v/>
      </c>
      <c r="AL41" s="13" t="str">
        <f>IF(OR(E41="",Results!E9=""),"",IF(AND(E41=Results!E9,Results!E9&lt;&gt;Games!$C$60),1,0))</f>
        <v/>
      </c>
      <c r="AM41" s="13" t="str">
        <f>IF(OR(F41="",Results!F9=""),"",IF(AND(F41=Results!F9,Results!F9&lt;&gt;Games!$C$61),1,0))</f>
        <v/>
      </c>
      <c r="AN41" s="13" t="str">
        <f>IF(OR(G41="",Results!G9=""),"",IF(AND(G41=Results!G9,Results!G9&lt;&gt;Games!$C$62),1,0))</f>
        <v/>
      </c>
      <c r="AO41" s="13" t="str">
        <f>IF(OR(H41="",Results!H9=""),"",IF(AND(H41=Results!H9,Results!H9&lt;&gt;Games!$C$63),1,0))</f>
        <v/>
      </c>
      <c r="AP41" s="13" t="str">
        <f>IF(OR(I41="",Results!I9=""),"",IF(AND(I41=Results!I9,Results!I9&lt;&gt;Games!$C$64),1,0))</f>
        <v/>
      </c>
      <c r="AQ41" s="13" t="str">
        <f>IF(OR(J41="",Results!J9=""),"",IF(AND(J41=Results!J9,Results!J9&lt;&gt;Games!$C$65),1,0))</f>
        <v/>
      </c>
      <c r="AR41" s="13" t="str">
        <f>IF(OR(K41="",Results!K9=""),"",IF(AND(K41=Results!K9,Results!K9&lt;&gt;Games!$C$66),1,0))</f>
        <v/>
      </c>
      <c r="AS41" s="13" t="str">
        <f>IF(OR(L41="",Results!L9=""),"",IF(AND(L41=Results!L9,Results!L9&lt;&gt;Games!$C$67),1,0))</f>
        <v/>
      </c>
      <c r="AT41" s="13" t="str">
        <f>IF(OR(M41="",Results!M9=""),"",IF(AND(M41=Results!M9,Results!M9&lt;&gt;Games!$C$68),1,0))</f>
        <v/>
      </c>
      <c r="AU41" s="13" t="str">
        <f>IF(OR(N41="",Results!N9=""),"",IF(AND(N41=Results!N9,Results!N9&lt;&gt;Games!$C$69),1,0))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4" t="str">
        <f>IF(OR(B42="",Results!B9=""),"",IF(B42=Results!B9,1+IF(OR($O42=1,$P42=1,$Q42=1),1,0),0))</f>
        <v/>
      </c>
      <c r="T42" s="4" t="str">
        <f>IF(OR(C42="",Results!C9=""),"",IF(C42=Results!C9,1+IF(OR($O42=2,$P42=2,$Q42=2),1,0),0))</f>
        <v/>
      </c>
      <c r="U42" s="4" t="str">
        <f>IF(OR(D42="",Results!D9=""),"",IF(D42=Results!D9,1+IF(OR($O42=3,$P42=3,$Q42=3),1,0),0))</f>
        <v/>
      </c>
      <c r="V42" s="4" t="str">
        <f>IF(OR(E42="",Results!E9=""),"",IF(E42=Results!E9,1+IF(OR($O42=4,$P42=4,$Q42=4),1,0),0))</f>
        <v/>
      </c>
      <c r="W42" s="4" t="str">
        <f>IF(OR(F42="",Results!F9=""),"",IF(F42=Results!F9,1+IF(OR($O42=5,$P42=5,$Q42=5),1,0),0))</f>
        <v/>
      </c>
      <c r="X42" s="4" t="str">
        <f>IF(OR(G42="",Results!G9=""),"",IF(G42=Results!G9,1+IF(OR($O42=6,$P42=6,$Q42=6),1,0),0))</f>
        <v/>
      </c>
      <c r="Y42" s="4" t="str">
        <f>IF(OR(H42="",Results!H9=""),"",IF(H42=Results!H9,1+IF(OR($O42=7,$P42=7,$Q42=7),1,0),0))</f>
        <v/>
      </c>
      <c r="Z42" s="4" t="str">
        <f>IF(OR(I42="",Results!I9=""),"",IF(I42=Results!I9,1+IF(OR($O42=8,$P42=8,$Q42=8),1,0),0))</f>
        <v/>
      </c>
      <c r="AA42" s="4" t="str">
        <f>IF(OR(J42="",Results!J9=""),"",IF(J42=Results!J9,1+IF(OR($O42=9,$P42=9,$Q42=9),1,0),0))</f>
        <v/>
      </c>
      <c r="AB42" s="4" t="str">
        <f>IF(OR(K42="",Results!K9=""),"",IF(K42=Results!K9,1+IF(OR($O42=10,$P42=10,$Q42=10),1,0),0))</f>
        <v/>
      </c>
      <c r="AC42" s="4" t="str">
        <f>IF(OR(L42="",Results!L9=""),"",IF(L42=Results!L9,1+IF(OR($O42=11,$P42=11,$Q42=11),1,0),0))</f>
        <v/>
      </c>
      <c r="AD42" s="4" t="str">
        <f>IF(OR(M42="",Results!M9=""),"",IF(M42=Results!M9,1+IF(OR($O42=12,$P42=12,$Q42=12),1,0),0))</f>
        <v/>
      </c>
      <c r="AE42" s="4" t="str">
        <f>IF(OR(N42="",Results!N9=""),"",IF(N42=Results!N9,1+IF(OR($O42=13,$P42=13,$Q42=13),1,0),0))</f>
        <v/>
      </c>
      <c r="AF42" s="11">
        <f t="shared" si="2"/>
        <v>0</v>
      </c>
      <c r="AG42" s="4" t="str">
        <f>IF(OR($R42="",Results!O9=""),"",ABS($R42-Results!O9))</f>
        <v/>
      </c>
      <c r="AH42" s="12">
        <v>21</v>
      </c>
      <c r="AI42" s="13" t="str">
        <f>IF(OR(B42="",Results!B9=""),"",IF(AND(B42=Results!B9,Results!B9&lt;&gt;Games!$C$57),1,0))</f>
        <v/>
      </c>
      <c r="AJ42" s="13" t="str">
        <f>IF(OR(C42="",Results!C9=""),"",IF(AND(C42=Results!C9,Results!C9&lt;&gt;Games!$C$58),1,0))</f>
        <v/>
      </c>
      <c r="AK42" s="13" t="str">
        <f>IF(OR(D42="",Results!D9=""),"",IF(AND(D42=Results!D9,Results!D9&lt;&gt;Games!$C$59),1,0))</f>
        <v/>
      </c>
      <c r="AL42" s="13" t="str">
        <f>IF(OR(E42="",Results!E9=""),"",IF(AND(E42=Results!E9,Results!E9&lt;&gt;Games!$C$60),1,0))</f>
        <v/>
      </c>
      <c r="AM42" s="13" t="str">
        <f>IF(OR(F42="",Results!F9=""),"",IF(AND(F42=Results!F9,Results!F9&lt;&gt;Games!$C$61),1,0))</f>
        <v/>
      </c>
      <c r="AN42" s="13" t="str">
        <f>IF(OR(G42="",Results!G9=""),"",IF(AND(G42=Results!G9,Results!G9&lt;&gt;Games!$C$62),1,0))</f>
        <v/>
      </c>
      <c r="AO42" s="13" t="str">
        <f>IF(OR(H42="",Results!H9=""),"",IF(AND(H42=Results!H9,Results!H9&lt;&gt;Games!$C$63),1,0))</f>
        <v/>
      </c>
      <c r="AP42" s="13" t="str">
        <f>IF(OR(I42="",Results!I9=""),"",IF(AND(I42=Results!I9,Results!I9&lt;&gt;Games!$C$64),1,0))</f>
        <v/>
      </c>
      <c r="AQ42" s="13" t="str">
        <f>IF(OR(J42="",Results!J9=""),"",IF(AND(J42=Results!J9,Results!J9&lt;&gt;Games!$C$65),1,0))</f>
        <v/>
      </c>
      <c r="AR42" s="13" t="str">
        <f>IF(OR(K42="",Results!K9=""),"",IF(AND(K42=Results!K9,Results!K9&lt;&gt;Games!$C$66),1,0))</f>
        <v/>
      </c>
      <c r="AS42" s="13" t="str">
        <f>IF(OR(L42="",Results!L9=""),"",IF(AND(L42=Results!L9,Results!L9&lt;&gt;Games!$C$67),1,0))</f>
        <v/>
      </c>
      <c r="AT42" s="13" t="str">
        <f>IF(OR(M42="",Results!M9=""),"",IF(AND(M42=Results!M9,Results!M9&lt;&gt;Games!$C$68),1,0))</f>
        <v/>
      </c>
      <c r="AU42" s="13" t="str">
        <f>IF(OR(N42="",Results!N9=""),"",IF(AND(N42=Results!N9,Results!N9&lt;&gt;Games!$C$69),1,0))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4" t="str">
        <f>IF(OR(B43="",Results!B9=""),"",IF(B43=Results!B9,1+IF(OR($O43=1,$P43=1,$Q43=1),1,0),0))</f>
        <v/>
      </c>
      <c r="T43" s="4" t="str">
        <f>IF(OR(C43="",Results!C9=""),"",IF(C43=Results!C9,1+IF(OR($O43=2,$P43=2,$Q43=2),1,0),0))</f>
        <v/>
      </c>
      <c r="U43" s="4" t="str">
        <f>IF(OR(D43="",Results!D9=""),"",IF(D43=Results!D9,1+IF(OR($O43=3,$P43=3,$Q43=3),1,0),0))</f>
        <v/>
      </c>
      <c r="V43" s="4" t="str">
        <f>IF(OR(E43="",Results!E9=""),"",IF(E43=Results!E9,1+IF(OR($O43=4,$P43=4,$Q43=4),1,0),0))</f>
        <v/>
      </c>
      <c r="W43" s="4" t="str">
        <f>IF(OR(F43="",Results!F9=""),"",IF(F43=Results!F9,1+IF(OR($O43=5,$P43=5,$Q43=5),1,0),0))</f>
        <v/>
      </c>
      <c r="X43" s="4" t="str">
        <f>IF(OR(G43="",Results!G9=""),"",IF(G43=Results!G9,1+IF(OR($O43=6,$P43=6,$Q43=6),1,0),0))</f>
        <v/>
      </c>
      <c r="Y43" s="4" t="str">
        <f>IF(OR(H43="",Results!H9=""),"",IF(H43=Results!H9,1+IF(OR($O43=7,$P43=7,$Q43=7),1,0),0))</f>
        <v/>
      </c>
      <c r="Z43" s="4" t="str">
        <f>IF(OR(I43="",Results!I9=""),"",IF(I43=Results!I9,1+IF(OR($O43=8,$P43=8,$Q43=8),1,0),0))</f>
        <v/>
      </c>
      <c r="AA43" s="4" t="str">
        <f>IF(OR(J43="",Results!J9=""),"",IF(J43=Results!J9,1+IF(OR($O43=9,$P43=9,$Q43=9),1,0),0))</f>
        <v/>
      </c>
      <c r="AB43" s="4" t="str">
        <f>IF(OR(K43="",Results!K9=""),"",IF(K43=Results!K9,1+IF(OR($O43=10,$P43=10,$Q43=10),1,0),0))</f>
        <v/>
      </c>
      <c r="AC43" s="4" t="str">
        <f>IF(OR(L43="",Results!L9=""),"",IF(L43=Results!L9,1+IF(OR($O43=11,$P43=11,$Q43=11),1,0),0))</f>
        <v/>
      </c>
      <c r="AD43" s="4" t="str">
        <f>IF(OR(M43="",Results!M9=""),"",IF(M43=Results!M9,1+IF(OR($O43=12,$P43=12,$Q43=12),1,0),0))</f>
        <v/>
      </c>
      <c r="AE43" s="4" t="str">
        <f>IF(OR(N43="",Results!N9=""),"",IF(N43=Results!N9,1+IF(OR($O43=13,$P43=13,$Q43=13),1,0),0))</f>
        <v/>
      </c>
      <c r="AF43" s="11">
        <f t="shared" si="2"/>
        <v>0</v>
      </c>
      <c r="AG43" s="4" t="str">
        <f>IF(OR($R43="",Results!O9=""),"",ABS($R43-Results!O9))</f>
        <v/>
      </c>
      <c r="AH43" s="12">
        <v>22</v>
      </c>
      <c r="AI43" s="13" t="str">
        <f>IF(OR(B43="",Results!B9=""),"",IF(AND(B43=Results!B9,Results!B9&lt;&gt;Games!$C$57),1,0))</f>
        <v/>
      </c>
      <c r="AJ43" s="13" t="str">
        <f>IF(OR(C43="",Results!C9=""),"",IF(AND(C43=Results!C9,Results!C9&lt;&gt;Games!$C$58),1,0))</f>
        <v/>
      </c>
      <c r="AK43" s="13" t="str">
        <f>IF(OR(D43="",Results!D9=""),"",IF(AND(D43=Results!D9,Results!D9&lt;&gt;Games!$C$59),1,0))</f>
        <v/>
      </c>
      <c r="AL43" s="13" t="str">
        <f>IF(OR(E43="",Results!E9=""),"",IF(AND(E43=Results!E9,Results!E9&lt;&gt;Games!$C$60),1,0))</f>
        <v/>
      </c>
      <c r="AM43" s="13" t="str">
        <f>IF(OR(F43="",Results!F9=""),"",IF(AND(F43=Results!F9,Results!F9&lt;&gt;Games!$C$61),1,0))</f>
        <v/>
      </c>
      <c r="AN43" s="13" t="str">
        <f>IF(OR(G43="",Results!G9=""),"",IF(AND(G43=Results!G9,Results!G9&lt;&gt;Games!$C$62),1,0))</f>
        <v/>
      </c>
      <c r="AO43" s="13" t="str">
        <f>IF(OR(H43="",Results!H9=""),"",IF(AND(H43=Results!H9,Results!H9&lt;&gt;Games!$C$63),1,0))</f>
        <v/>
      </c>
      <c r="AP43" s="13" t="str">
        <f>IF(OR(I43="",Results!I9=""),"",IF(AND(I43=Results!I9,Results!I9&lt;&gt;Games!$C$64),1,0))</f>
        <v/>
      </c>
      <c r="AQ43" s="13" t="str">
        <f>IF(OR(J43="",Results!J9=""),"",IF(AND(J43=Results!J9,Results!J9&lt;&gt;Games!$C$65),1,0))</f>
        <v/>
      </c>
      <c r="AR43" s="13" t="str">
        <f>IF(OR(K43="",Results!K9=""),"",IF(AND(K43=Results!K9,Results!K9&lt;&gt;Games!$C$66),1,0))</f>
        <v/>
      </c>
      <c r="AS43" s="13" t="str">
        <f>IF(OR(L43="",Results!L9=""),"",IF(AND(L43=Results!L9,Results!L9&lt;&gt;Games!$C$67),1,0))</f>
        <v/>
      </c>
      <c r="AT43" s="13" t="str">
        <f>IF(OR(M43="",Results!M9=""),"",IF(AND(M43=Results!M9,Results!M9&lt;&gt;Games!$C$68),1,0))</f>
        <v/>
      </c>
      <c r="AU43" s="13" t="str">
        <f>IF(OR(N43="",Results!N9=""),"",IF(AND(N43=Results!N9,Results!N9&lt;&gt;Games!$C$69),1,0))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tr">
        <f>IF(OR(B44="",Results!B9=""),"",IF(B44=Results!B9,1+IF(OR($O44=1,$P44=1,$Q44=1),1,0),0))</f>
        <v/>
      </c>
      <c r="T44" s="4" t="str">
        <f>IF(OR(C44="",Results!C9=""),"",IF(C44=Results!C9,1+IF(OR($O44=2,$P44=2,$Q44=2),1,0),0))</f>
        <v/>
      </c>
      <c r="U44" s="4" t="str">
        <f>IF(OR(D44="",Results!D9=""),"",IF(D44=Results!D9,1+IF(OR($O44=3,$P44=3,$Q44=3),1,0),0))</f>
        <v/>
      </c>
      <c r="V44" s="4" t="str">
        <f>IF(OR(E44="",Results!E9=""),"",IF(E44=Results!E9,1+IF(OR($O44=4,$P44=4,$Q44=4),1,0),0))</f>
        <v/>
      </c>
      <c r="W44" s="4" t="str">
        <f>IF(OR(F44="",Results!F9=""),"",IF(F44=Results!F9,1+IF(OR($O44=5,$P44=5,$Q44=5),1,0),0))</f>
        <v/>
      </c>
      <c r="X44" s="4" t="str">
        <f>IF(OR(G44="",Results!G9=""),"",IF(G44=Results!G9,1+IF(OR($O44=6,$P44=6,$Q44=6),1,0),0))</f>
        <v/>
      </c>
      <c r="Y44" s="4" t="str">
        <f>IF(OR(H44="",Results!H9=""),"",IF(H44=Results!H9,1+IF(OR($O44=7,$P44=7,$Q44=7),1,0),0))</f>
        <v/>
      </c>
      <c r="Z44" s="4" t="str">
        <f>IF(OR(I44="",Results!I9=""),"",IF(I44=Results!I9,1+IF(OR($O44=8,$P44=8,$Q44=8),1,0),0))</f>
        <v/>
      </c>
      <c r="AA44" s="4" t="str">
        <f>IF(OR(J44="",Results!J9=""),"",IF(J44=Results!J9,1+IF(OR($O44=9,$P44=9,$Q44=9),1,0),0))</f>
        <v/>
      </c>
      <c r="AB44" s="4" t="str">
        <f>IF(OR(K44="",Results!K9=""),"",IF(K44=Results!K9,1+IF(OR($O44=10,$P44=10,$Q44=10),1,0),0))</f>
        <v/>
      </c>
      <c r="AC44" s="4" t="str">
        <f>IF(OR(L44="",Results!L9=""),"",IF(L44=Results!L9,1+IF(OR($O44=11,$P44=11,$Q44=11),1,0),0))</f>
        <v/>
      </c>
      <c r="AD44" s="4" t="str">
        <f>IF(OR(M44="",Results!M9=""),"",IF(M44=Results!M9,1+IF(OR($O44=12,$P44=12,$Q44=12),1,0),0))</f>
        <v/>
      </c>
      <c r="AE44" s="4" t="str">
        <f>IF(OR(N44="",Results!N9=""),"",IF(N44=Results!N9,1+IF(OR($O44=13,$P44=13,$Q44=13),1,0),0))</f>
        <v/>
      </c>
      <c r="AF44" s="11">
        <f t="shared" si="2"/>
        <v>0</v>
      </c>
      <c r="AG44" s="4" t="str">
        <f>IF(OR($R44="",Results!O9=""),"",ABS($R44-Results!O9))</f>
        <v/>
      </c>
      <c r="AH44" s="12">
        <v>23</v>
      </c>
      <c r="AI44" s="13" t="str">
        <f>IF(OR(B44="",Results!B9=""),"",IF(AND(B44=Results!B9,Results!B9&lt;&gt;Games!$C$57),1,0))</f>
        <v/>
      </c>
      <c r="AJ44" s="13" t="str">
        <f>IF(OR(C44="",Results!C9=""),"",IF(AND(C44=Results!C9,Results!C9&lt;&gt;Games!$C$58),1,0))</f>
        <v/>
      </c>
      <c r="AK44" s="13" t="str">
        <f>IF(OR(D44="",Results!D9=""),"",IF(AND(D44=Results!D9,Results!D9&lt;&gt;Games!$C$59),1,0))</f>
        <v/>
      </c>
      <c r="AL44" s="13" t="str">
        <f>IF(OR(E44="",Results!E9=""),"",IF(AND(E44=Results!E9,Results!E9&lt;&gt;Games!$C$60),1,0))</f>
        <v/>
      </c>
      <c r="AM44" s="13" t="str">
        <f>IF(OR(F44="",Results!F9=""),"",IF(AND(F44=Results!F9,Results!F9&lt;&gt;Games!$C$61),1,0))</f>
        <v/>
      </c>
      <c r="AN44" s="13" t="str">
        <f>IF(OR(G44="",Results!G9=""),"",IF(AND(G44=Results!G9,Results!G9&lt;&gt;Games!$C$62),1,0))</f>
        <v/>
      </c>
      <c r="AO44" s="13" t="str">
        <f>IF(OR(H44="",Results!H9=""),"",IF(AND(H44=Results!H9,Results!H9&lt;&gt;Games!$C$63),1,0))</f>
        <v/>
      </c>
      <c r="AP44" s="13" t="str">
        <f>IF(OR(I44="",Results!I9=""),"",IF(AND(I44=Results!I9,Results!I9&lt;&gt;Games!$C$64),1,0))</f>
        <v/>
      </c>
      <c r="AQ44" s="13" t="str">
        <f>IF(OR(J44="",Results!J9=""),"",IF(AND(J44=Results!J9,Results!J9&lt;&gt;Games!$C$65),1,0))</f>
        <v/>
      </c>
      <c r="AR44" s="13" t="str">
        <f>IF(OR(K44="",Results!K9=""),"",IF(AND(K44=Results!K9,Results!K9&lt;&gt;Games!$C$66),1,0))</f>
        <v/>
      </c>
      <c r="AS44" s="13" t="str">
        <f>IF(OR(L44="",Results!L9=""),"",IF(AND(L44=Results!L9,Results!L9&lt;&gt;Games!$C$67),1,0))</f>
        <v/>
      </c>
      <c r="AT44" s="13" t="str">
        <f>IF(OR(M44="",Results!M9=""),"",IF(AND(M44=Results!M9,Results!M9&lt;&gt;Games!$C$68),1,0))</f>
        <v/>
      </c>
      <c r="AU44" s="13" t="str">
        <f>IF(OR(N44="",Results!N9=""),"",IF(AND(N44=Results!N9,Results!N9&lt;&gt;Games!$C$69),1,0))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IF(OR(B45="",Results!B9=""),"",IF(B45=Results!B9,1+IF(OR($O45=1,$P45=1,$Q45=1),1,0),0))</f>
        <v/>
      </c>
      <c r="T45" s="4" t="str">
        <f>IF(OR(C45="",Results!C9=""),"",IF(C45=Results!C9,1+IF(OR($O45=2,$P45=2,$Q45=2),1,0),0))</f>
        <v/>
      </c>
      <c r="U45" s="4" t="str">
        <f>IF(OR(D45="",Results!D9=""),"",IF(D45=Results!D9,1+IF(OR($O45=3,$P45=3,$Q45=3),1,0),0))</f>
        <v/>
      </c>
      <c r="V45" s="4" t="str">
        <f>IF(OR(E45="",Results!E9=""),"",IF(E45=Results!E9,1+IF(OR($O45=4,$P45=4,$Q45=4),1,0),0))</f>
        <v/>
      </c>
      <c r="W45" s="4" t="str">
        <f>IF(OR(F45="",Results!F9=""),"",IF(F45=Results!F9,1+IF(OR($O45=5,$P45=5,$Q45=5),1,0),0))</f>
        <v/>
      </c>
      <c r="X45" s="4" t="str">
        <f>IF(OR(G45="",Results!G9=""),"",IF(G45=Results!G9,1+IF(OR($O45=6,$P45=6,$Q45=6),1,0),0))</f>
        <v/>
      </c>
      <c r="Y45" s="4" t="str">
        <f>IF(OR(H45="",Results!H9=""),"",IF(H45=Results!H9,1+IF(OR($O45=7,$P45=7,$Q45=7),1,0),0))</f>
        <v/>
      </c>
      <c r="Z45" s="4" t="str">
        <f>IF(OR(I45="",Results!I9=""),"",IF(I45=Results!I9,1+IF(OR($O45=8,$P45=8,$Q45=8),1,0),0))</f>
        <v/>
      </c>
      <c r="AA45" s="4" t="str">
        <f>IF(OR(J45="",Results!J9=""),"",IF(J45=Results!J9,1+IF(OR($O45=9,$P45=9,$Q45=9),1,0),0))</f>
        <v/>
      </c>
      <c r="AB45" s="4" t="str">
        <f>IF(OR(K45="",Results!K9=""),"",IF(K45=Results!K9,1+IF(OR($O45=10,$P45=10,$Q45=10),1,0),0))</f>
        <v/>
      </c>
      <c r="AC45" s="4" t="str">
        <f>IF(OR(L45="",Results!L9=""),"",IF(L45=Results!L9,1+IF(OR($O45=11,$P45=11,$Q45=11),1,0),0))</f>
        <v/>
      </c>
      <c r="AD45" s="4" t="str">
        <f>IF(OR(M45="",Results!M9=""),"",IF(M45=Results!M9,1+IF(OR($O45=12,$P45=12,$Q45=12),1,0),0))</f>
        <v/>
      </c>
      <c r="AE45" s="4" t="str">
        <f>IF(OR(N45="",Results!N9=""),"",IF(N45=Results!N9,1+IF(OR($O45=13,$P45=13,$Q45=13),1,0),0))</f>
        <v/>
      </c>
      <c r="AF45" s="11">
        <f t="shared" si="2"/>
        <v>0</v>
      </c>
      <c r="AG45" s="4" t="str">
        <f>IF(OR($R45="",Results!O9=""),"",ABS($R45-Results!O9))</f>
        <v/>
      </c>
      <c r="AH45" s="12">
        <v>24</v>
      </c>
      <c r="AI45" s="13" t="str">
        <f>IF(OR(B45="",Results!B9=""),"",IF(AND(B45=Results!B9,Results!B9&lt;&gt;Games!$C$57),1,0))</f>
        <v/>
      </c>
      <c r="AJ45" s="13" t="str">
        <f>IF(OR(C45="",Results!C9=""),"",IF(AND(C45=Results!C9,Results!C9&lt;&gt;Games!$C$58),1,0))</f>
        <v/>
      </c>
      <c r="AK45" s="13" t="str">
        <f>IF(OR(D45="",Results!D9=""),"",IF(AND(D45=Results!D9,Results!D9&lt;&gt;Games!$C$59),1,0))</f>
        <v/>
      </c>
      <c r="AL45" s="13" t="str">
        <f>IF(OR(E45="",Results!E9=""),"",IF(AND(E45=Results!E9,Results!E9&lt;&gt;Games!$C$60),1,0))</f>
        <v/>
      </c>
      <c r="AM45" s="13" t="str">
        <f>IF(OR(F45="",Results!F9=""),"",IF(AND(F45=Results!F9,Results!F9&lt;&gt;Games!$C$61),1,0))</f>
        <v/>
      </c>
      <c r="AN45" s="13" t="str">
        <f>IF(OR(G45="",Results!G9=""),"",IF(AND(G45=Results!G9,Results!G9&lt;&gt;Games!$C$62),1,0))</f>
        <v/>
      </c>
      <c r="AO45" s="13" t="str">
        <f>IF(OR(H45="",Results!H9=""),"",IF(AND(H45=Results!H9,Results!H9&lt;&gt;Games!$C$63),1,0))</f>
        <v/>
      </c>
      <c r="AP45" s="13" t="str">
        <f>IF(OR(I45="",Results!I9=""),"",IF(AND(I45=Results!I9,Results!I9&lt;&gt;Games!$C$64),1,0))</f>
        <v/>
      </c>
      <c r="AQ45" s="13" t="str">
        <f>IF(OR(J45="",Results!J9=""),"",IF(AND(J45=Results!J9,Results!J9&lt;&gt;Games!$C$65),1,0))</f>
        <v/>
      </c>
      <c r="AR45" s="13" t="str">
        <f>IF(OR(K45="",Results!K9=""),"",IF(AND(K45=Results!K9,Results!K9&lt;&gt;Games!$C$66),1,0))</f>
        <v/>
      </c>
      <c r="AS45" s="13" t="str">
        <f>IF(OR(L45="",Results!L9=""),"",IF(AND(L45=Results!L9,Results!L9&lt;&gt;Games!$C$67),1,0))</f>
        <v/>
      </c>
      <c r="AT45" s="13" t="str">
        <f>IF(OR(M45="",Results!M9=""),"",IF(AND(M45=Results!M9,Results!M9&lt;&gt;Games!$C$68),1,0))</f>
        <v/>
      </c>
      <c r="AU45" s="13" t="str">
        <f>IF(OR(N45="",Results!N9=""),"",IF(AND(N45=Results!N9,Results!N9&lt;&gt;Games!$C$69),1,0))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IF(OR(B46="",Results!B9=""),"",IF(B46=Results!B9,1+IF(OR($O46=1,$P46=1,$Q46=1),1,0),0))</f>
        <v/>
      </c>
      <c r="T46" s="4" t="str">
        <f>IF(OR(C46="",Results!C9=""),"",IF(C46=Results!C9,1+IF(OR($O46=2,$P46=2,$Q46=2),1,0),0))</f>
        <v/>
      </c>
      <c r="U46" s="4" t="str">
        <f>IF(OR(D46="",Results!D9=""),"",IF(D46=Results!D9,1+IF(OR($O46=3,$P46=3,$Q46=3),1,0),0))</f>
        <v/>
      </c>
      <c r="V46" s="4" t="str">
        <f>IF(OR(E46="",Results!E9=""),"",IF(E46=Results!E9,1+IF(OR($O46=4,$P46=4,$Q46=4),1,0),0))</f>
        <v/>
      </c>
      <c r="W46" s="4" t="str">
        <f>IF(OR(F46="",Results!F9=""),"",IF(F46=Results!F9,1+IF(OR($O46=5,$P46=5,$Q46=5),1,0),0))</f>
        <v/>
      </c>
      <c r="X46" s="4" t="str">
        <f>IF(OR(G46="",Results!G9=""),"",IF(G46=Results!G9,1+IF(OR($O46=6,$P46=6,$Q46=6),1,0),0))</f>
        <v/>
      </c>
      <c r="Y46" s="4" t="str">
        <f>IF(OR(H46="",Results!H9=""),"",IF(H46=Results!H9,1+IF(OR($O46=7,$P46=7,$Q46=7),1,0),0))</f>
        <v/>
      </c>
      <c r="Z46" s="4" t="str">
        <f>IF(OR(I46="",Results!I9=""),"",IF(I46=Results!I9,1+IF(OR($O46=8,$P46=8,$Q46=8),1,0),0))</f>
        <v/>
      </c>
      <c r="AA46" s="4" t="str">
        <f>IF(OR(J46="",Results!J9=""),"",IF(J46=Results!J9,1+IF(OR($O46=9,$P46=9,$Q46=9),1,0),0))</f>
        <v/>
      </c>
      <c r="AB46" s="4" t="str">
        <f>IF(OR(K46="",Results!K9=""),"",IF(K46=Results!K9,1+IF(OR($O46=10,$P46=10,$Q46=10),1,0),0))</f>
        <v/>
      </c>
      <c r="AC46" s="4" t="str">
        <f>IF(OR(L46="",Results!L9=""),"",IF(L46=Results!L9,1+IF(OR($O46=11,$P46=11,$Q46=11),1,0),0))</f>
        <v/>
      </c>
      <c r="AD46" s="4" t="str">
        <f>IF(OR(M46="",Results!M9=""),"",IF(M46=Results!M9,1+IF(OR($O46=12,$P46=12,$Q46=12),1,0),0))</f>
        <v/>
      </c>
      <c r="AE46" s="4" t="str">
        <f>IF(OR(N46="",Results!N9=""),"",IF(N46=Results!N9,1+IF(OR($O46=13,$P46=13,$Q46=13),1,0),0))</f>
        <v/>
      </c>
      <c r="AF46" s="11">
        <f t="shared" si="2"/>
        <v>0</v>
      </c>
      <c r="AG46" s="4" t="str">
        <f>IF(OR($R46="",Results!O9=""),"",ABS($R46-Results!O9))</f>
        <v/>
      </c>
      <c r="AH46" s="12">
        <v>36</v>
      </c>
      <c r="AI46" s="13" t="str">
        <f>IF(OR(B46="",Results!B9=""),"",IF(AND(B46=Results!B9,Results!B9&lt;&gt;Games!$C$57),1,0))</f>
        <v/>
      </c>
      <c r="AJ46" s="13" t="str">
        <f>IF(OR(C46="",Results!C9=""),"",IF(AND(C46=Results!C9,Results!C9&lt;&gt;Games!$C$58),1,0))</f>
        <v/>
      </c>
      <c r="AK46" s="13" t="str">
        <f>IF(OR(D46="",Results!D9=""),"",IF(AND(D46=Results!D9,Results!D9&lt;&gt;Games!$C$59),1,0))</f>
        <v/>
      </c>
      <c r="AL46" s="13" t="str">
        <f>IF(OR(E46="",Results!E9=""),"",IF(AND(E46=Results!E9,Results!E9&lt;&gt;Games!$C$60),1,0))</f>
        <v/>
      </c>
      <c r="AM46" s="13" t="str">
        <f>IF(OR(F46="",Results!F9=""),"",IF(AND(F46=Results!F9,Results!F9&lt;&gt;Games!$C$61),1,0))</f>
        <v/>
      </c>
      <c r="AN46" s="13" t="str">
        <f>IF(OR(G46="",Results!G9=""),"",IF(AND(G46=Results!G9,Results!G9&lt;&gt;Games!$C$62),1,0))</f>
        <v/>
      </c>
      <c r="AO46" s="13" t="str">
        <f>IF(OR(H46="",Results!H9=""),"",IF(AND(H46=Results!H9,Results!H9&lt;&gt;Games!$C$63),1,0))</f>
        <v/>
      </c>
      <c r="AP46" s="13" t="str">
        <f>IF(OR(I46="",Results!I9=""),"",IF(AND(I46=Results!I9,Results!I9&lt;&gt;Games!$C$64),1,0))</f>
        <v/>
      </c>
      <c r="AQ46" s="13" t="str">
        <f>IF(OR(J46="",Results!J9=""),"",IF(AND(J46=Results!J9,Results!J9&lt;&gt;Games!$C$65),1,0))</f>
        <v/>
      </c>
      <c r="AR46" s="13" t="str">
        <f>IF(OR(K46="",Results!K9=""),"",IF(AND(K46=Results!K9,Results!K9&lt;&gt;Games!$C$66),1,0))</f>
        <v/>
      </c>
      <c r="AS46" s="13" t="str">
        <f>IF(OR(L46="",Results!L9=""),"",IF(AND(L46=Results!L9,Results!L9&lt;&gt;Games!$C$67),1,0))</f>
        <v/>
      </c>
      <c r="AT46" s="13" t="str">
        <f>IF(OR(M46="",Results!M9=""),"",IF(AND(M46=Results!M9,Results!M9&lt;&gt;Games!$C$68),1,0))</f>
        <v/>
      </c>
      <c r="AU46" s="13" t="str">
        <f>IF(OR(N46="",Results!N9=""),"",IF(AND(N46=Results!N9,Results!N9&lt;&gt;Games!$C$69),1,0))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 t="str">
        <f>IF(OR(B47="",Results!B9=""),"",IF(B47=Results!B9,1+IF(OR($O47=1,$P47=1,$Q47=1),1,0),0))</f>
        <v/>
      </c>
      <c r="T47" s="4" t="str">
        <f>IF(OR(C47="",Results!C9=""),"",IF(C47=Results!C9,1+IF(OR($O47=2,$P47=2,$Q47=2),1,0),0))</f>
        <v/>
      </c>
      <c r="U47" s="4" t="str">
        <f>IF(OR(D47="",Results!D9=""),"",IF(D47=Results!D9,1+IF(OR($O47=3,$P47=3,$Q47=3),1,0),0))</f>
        <v/>
      </c>
      <c r="V47" s="4" t="str">
        <f>IF(OR(E47="",Results!E9=""),"",IF(E47=Results!E9,1+IF(OR($O47=4,$P47=4,$Q47=4),1,0),0))</f>
        <v/>
      </c>
      <c r="W47" s="4" t="str">
        <f>IF(OR(F47="",Results!F9=""),"",IF(F47=Results!F9,1+IF(OR($O47=5,$P47=5,$Q47=5),1,0),0))</f>
        <v/>
      </c>
      <c r="X47" s="4" t="str">
        <f>IF(OR(G47="",Results!G9=""),"",IF(G47=Results!G9,1+IF(OR($O47=6,$P47=6,$Q47=6),1,0),0))</f>
        <v/>
      </c>
      <c r="Y47" s="4" t="str">
        <f>IF(OR(H47="",Results!H9=""),"",IF(H47=Results!H9,1+IF(OR($O47=7,$P47=7,$Q47=7),1,0),0))</f>
        <v/>
      </c>
      <c r="Z47" s="4" t="str">
        <f>IF(OR(I47="",Results!I9=""),"",IF(I47=Results!I9,1+IF(OR($O47=8,$P47=8,$Q47=8),1,0),0))</f>
        <v/>
      </c>
      <c r="AA47" s="4" t="str">
        <f>IF(OR(J47="",Results!J9=""),"",IF(J47=Results!J9,1+IF(OR($O47=9,$P47=9,$Q47=9),1,0),0))</f>
        <v/>
      </c>
      <c r="AB47" s="4" t="str">
        <f>IF(OR(K47="",Results!K9=""),"",IF(K47=Results!K9,1+IF(OR($O47=10,$P47=10,$Q47=10),1,0),0))</f>
        <v/>
      </c>
      <c r="AC47" s="4" t="str">
        <f>IF(OR(L47="",Results!L9=""),"",IF(L47=Results!L9,1+IF(OR($O47=11,$P47=11,$Q47=11),1,0),0))</f>
        <v/>
      </c>
      <c r="AD47" s="4" t="str">
        <f>IF(OR(M47="",Results!M9=""),"",IF(M47=Results!M9,1+IF(OR($O47=12,$P47=12,$Q47=12),1,0),0))</f>
        <v/>
      </c>
      <c r="AE47" s="4" t="str">
        <f>IF(OR(N47="",Results!N9=""),"",IF(N47=Results!N9,1+IF(OR($O47=13,$P47=13,$Q47=13),1,0),0))</f>
        <v/>
      </c>
      <c r="AF47" s="11">
        <f t="shared" si="2"/>
        <v>0</v>
      </c>
      <c r="AG47" s="4" t="str">
        <f>IF(OR($R47="",Results!O9=""),"",ABS($R47-Results!O9))</f>
        <v/>
      </c>
      <c r="AH47" s="12">
        <v>25</v>
      </c>
      <c r="AI47" s="13" t="str">
        <f>IF(OR(B47="",Results!B9=""),"",IF(AND(B47=Results!B9,Results!B9&lt;&gt;Games!$C$57),1,0))</f>
        <v/>
      </c>
      <c r="AJ47" s="13" t="str">
        <f>IF(OR(C47="",Results!C9=""),"",IF(AND(C47=Results!C9,Results!C9&lt;&gt;Games!$C$58),1,0))</f>
        <v/>
      </c>
      <c r="AK47" s="13" t="str">
        <f>IF(OR(D47="",Results!D9=""),"",IF(AND(D47=Results!D9,Results!D9&lt;&gt;Games!$C$59),1,0))</f>
        <v/>
      </c>
      <c r="AL47" s="13" t="str">
        <f>IF(OR(E47="",Results!E9=""),"",IF(AND(E47=Results!E9,Results!E9&lt;&gt;Games!$C$60),1,0))</f>
        <v/>
      </c>
      <c r="AM47" s="13" t="str">
        <f>IF(OR(F47="",Results!F9=""),"",IF(AND(F47=Results!F9,Results!F9&lt;&gt;Games!$C$61),1,0))</f>
        <v/>
      </c>
      <c r="AN47" s="13" t="str">
        <f>IF(OR(G47="",Results!G9=""),"",IF(AND(G47=Results!G9,Results!G9&lt;&gt;Games!$C$62),1,0))</f>
        <v/>
      </c>
      <c r="AO47" s="13" t="str">
        <f>IF(OR(H47="",Results!H9=""),"",IF(AND(H47=Results!H9,Results!H9&lt;&gt;Games!$C$63),1,0))</f>
        <v/>
      </c>
      <c r="AP47" s="13" t="str">
        <f>IF(OR(I47="",Results!I9=""),"",IF(AND(I47=Results!I9,Results!I9&lt;&gt;Games!$C$64),1,0))</f>
        <v/>
      </c>
      <c r="AQ47" s="13" t="str">
        <f>IF(OR(J47="",Results!J9=""),"",IF(AND(J47=Results!J9,Results!J9&lt;&gt;Games!$C$65),1,0))</f>
        <v/>
      </c>
      <c r="AR47" s="13" t="str">
        <f>IF(OR(K47="",Results!K9=""),"",IF(AND(K47=Results!K9,Results!K9&lt;&gt;Games!$C$66),1,0))</f>
        <v/>
      </c>
      <c r="AS47" s="13" t="str">
        <f>IF(OR(L47="",Results!L9=""),"",IF(AND(L47=Results!L9,Results!L9&lt;&gt;Games!$C$67),1,0))</f>
        <v/>
      </c>
      <c r="AT47" s="13" t="str">
        <f>IF(OR(M47="",Results!M9=""),"",IF(AND(M47=Results!M9,Results!M9&lt;&gt;Games!$C$68),1,0))</f>
        <v/>
      </c>
      <c r="AU47" s="13" t="str">
        <f>IF(OR(N47="",Results!N9=""),"",IF(AND(N47=Results!N9,Results!N9&lt;&gt;Games!$C$69),1,0))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IF(OR(B48="",Results!B9=""),"",IF(B48=Results!B9,1+IF(OR($O48=1,$P48=1,$Q48=1),1,0),0))</f>
        <v/>
      </c>
      <c r="T48" s="4" t="str">
        <f>IF(OR(C48="",Results!C9=""),"",IF(C48=Results!C9,1+IF(OR($O48=2,$P48=2,$Q48=2),1,0),0))</f>
        <v/>
      </c>
      <c r="U48" s="4" t="str">
        <f>IF(OR(D48="",Results!D9=""),"",IF(D48=Results!D9,1+IF(OR($O48=3,$P48=3,$Q48=3),1,0),0))</f>
        <v/>
      </c>
      <c r="V48" s="4" t="str">
        <f>IF(OR(E48="",Results!E9=""),"",IF(E48=Results!E9,1+IF(OR($O48=4,$P48=4,$Q48=4),1,0),0))</f>
        <v/>
      </c>
      <c r="W48" s="4" t="str">
        <f>IF(OR(F48="",Results!F9=""),"",IF(F48=Results!F9,1+IF(OR($O48=5,$P48=5,$Q48=5),1,0),0))</f>
        <v/>
      </c>
      <c r="X48" s="4" t="str">
        <f>IF(OR(G48="",Results!G9=""),"",IF(G48=Results!G9,1+IF(OR($O48=6,$P48=6,$Q48=6),1,0),0))</f>
        <v/>
      </c>
      <c r="Y48" s="4" t="str">
        <f>IF(OR(H48="",Results!H9=""),"",IF(H48=Results!H9,1+IF(OR($O48=7,$P48=7,$Q48=7),1,0),0))</f>
        <v/>
      </c>
      <c r="Z48" s="4" t="str">
        <f>IF(OR(I48="",Results!I9=""),"",IF(I48=Results!I9,1+IF(OR($O48=8,$P48=8,$Q48=8),1,0),0))</f>
        <v/>
      </c>
      <c r="AA48" s="4" t="str">
        <f>IF(OR(J48="",Results!J9=""),"",IF(J48=Results!J9,1+IF(OR($O48=9,$P48=9,$Q48=9),1,0),0))</f>
        <v/>
      </c>
      <c r="AB48" s="4" t="str">
        <f>IF(OR(K48="",Results!K9=""),"",IF(K48=Results!K9,1+IF(OR($O48=10,$P48=10,$Q48=10),1,0),0))</f>
        <v/>
      </c>
      <c r="AC48" s="4" t="str">
        <f>IF(OR(L48="",Results!L9=""),"",IF(L48=Results!L9,1+IF(OR($O48=11,$P48=11,$Q48=11),1,0),0))</f>
        <v/>
      </c>
      <c r="AD48" s="4" t="str">
        <f>IF(OR(M48="",Results!M9=""),"",IF(M48=Results!M9,1+IF(OR($O48=12,$P48=12,$Q48=12),1,0),0))</f>
        <v/>
      </c>
      <c r="AE48" s="4" t="str">
        <f>IF(OR(N48="",Results!N9=""),"",IF(N48=Results!N9,1+IF(OR($O48=13,$P48=13,$Q48=13),1,0),0))</f>
        <v/>
      </c>
      <c r="AF48" s="11">
        <f t="shared" si="2"/>
        <v>0</v>
      </c>
      <c r="AG48" s="4" t="str">
        <f>IF(OR($R48="",Results!O9=""),"",ABS($R48-Results!O9))</f>
        <v/>
      </c>
      <c r="AH48" s="12">
        <v>56</v>
      </c>
      <c r="AI48" s="13" t="str">
        <f>IF(OR(B48="",Results!B9=""),"",IF(AND(B48=Results!B9,Results!B9&lt;&gt;Games!$C$57),1,0))</f>
        <v/>
      </c>
      <c r="AJ48" s="13" t="str">
        <f>IF(OR(C48="",Results!C9=""),"",IF(AND(C48=Results!C9,Results!C9&lt;&gt;Games!$C$58),1,0))</f>
        <v/>
      </c>
      <c r="AK48" s="13" t="str">
        <f>IF(OR(D48="",Results!D9=""),"",IF(AND(D48=Results!D9,Results!D9&lt;&gt;Games!$C$59),1,0))</f>
        <v/>
      </c>
      <c r="AL48" s="13" t="str">
        <f>IF(OR(E48="",Results!E9=""),"",IF(AND(E48=Results!E9,Results!E9&lt;&gt;Games!$C$60),1,0))</f>
        <v/>
      </c>
      <c r="AM48" s="13" t="str">
        <f>IF(OR(F48="",Results!F9=""),"",IF(AND(F48=Results!F9,Results!F9&lt;&gt;Games!$C$61),1,0))</f>
        <v/>
      </c>
      <c r="AN48" s="13" t="str">
        <f>IF(OR(G48="",Results!G9=""),"",IF(AND(G48=Results!G9,Results!G9&lt;&gt;Games!$C$62),1,0))</f>
        <v/>
      </c>
      <c r="AO48" s="13" t="str">
        <f>IF(OR(H48="",Results!H9=""),"",IF(AND(H48=Results!H9,Results!H9&lt;&gt;Games!$C$63),1,0))</f>
        <v/>
      </c>
      <c r="AP48" s="13" t="str">
        <f>IF(OR(I48="",Results!I9=""),"",IF(AND(I48=Results!I9,Results!I9&lt;&gt;Games!$C$64),1,0))</f>
        <v/>
      </c>
      <c r="AQ48" s="13" t="str">
        <f>IF(OR(J48="",Results!J9=""),"",IF(AND(J48=Results!J9,Results!J9&lt;&gt;Games!$C$65),1,0))</f>
        <v/>
      </c>
      <c r="AR48" s="13" t="str">
        <f>IF(OR(K48="",Results!K9=""),"",IF(AND(K48=Results!K9,Results!K9&lt;&gt;Games!$C$66),1,0))</f>
        <v/>
      </c>
      <c r="AS48" s="13" t="str">
        <f>IF(OR(L48="",Results!L9=""),"",IF(AND(L48=Results!L9,Results!L9&lt;&gt;Games!$C$67),1,0))</f>
        <v/>
      </c>
      <c r="AT48" s="13" t="str">
        <f>IF(OR(M48="",Results!M9=""),"",IF(AND(M48=Results!M9,Results!M9&lt;&gt;Games!$C$68),1,0))</f>
        <v/>
      </c>
      <c r="AU48" s="13" t="str">
        <f>IF(OR(N48="",Results!N9=""),"",IF(AND(N48=Results!N9,Results!N9&lt;&gt;Games!$C$69),1,0))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 t="str">
        <f>IF(OR(B49="",Results!B9=""),"",IF(B49=Results!B9,1+IF(OR($O49=1,$P49=1,$Q49=1),1,0),0))</f>
        <v/>
      </c>
      <c r="T49" s="4" t="str">
        <f>IF(OR(C49="",Results!C9=""),"",IF(C49=Results!C9,1+IF(OR($O49=2,$P49=2,$Q49=2),1,0),0))</f>
        <v/>
      </c>
      <c r="U49" s="4" t="str">
        <f>IF(OR(D49="",Results!D9=""),"",IF(D49=Results!D9,1+IF(OR($O49=3,$P49=3,$Q49=3),1,0),0))</f>
        <v/>
      </c>
      <c r="V49" s="4" t="str">
        <f>IF(OR(E49="",Results!E9=""),"",IF(E49=Results!E9,1+IF(OR($O49=4,$P49=4,$Q49=4),1,0),0))</f>
        <v/>
      </c>
      <c r="W49" s="4" t="str">
        <f>IF(OR(F49="",Results!F9=""),"",IF(F49=Results!F9,1+IF(OR($O49=5,$P49=5,$Q49=5),1,0),0))</f>
        <v/>
      </c>
      <c r="X49" s="4" t="str">
        <f>IF(OR(G49="",Results!G9=""),"",IF(G49=Results!G9,1+IF(OR($O49=6,$P49=6,$Q49=6),1,0),0))</f>
        <v/>
      </c>
      <c r="Y49" s="4" t="str">
        <f>IF(OR(H49="",Results!H9=""),"",IF(H49=Results!H9,1+IF(OR($O49=7,$P49=7,$Q49=7),1,0),0))</f>
        <v/>
      </c>
      <c r="Z49" s="4" t="str">
        <f>IF(OR(I49="",Results!I9=""),"",IF(I49=Results!I9,1+IF(OR($O49=8,$P49=8,$Q49=8),1,0),0))</f>
        <v/>
      </c>
      <c r="AA49" s="4" t="str">
        <f>IF(OR(J49="",Results!J9=""),"",IF(J49=Results!J9,1+IF(OR($O49=9,$P49=9,$Q49=9),1,0),0))</f>
        <v/>
      </c>
      <c r="AB49" s="4" t="str">
        <f>IF(OR(K49="",Results!K9=""),"",IF(K49=Results!K9,1+IF(OR($O49=10,$P49=10,$Q49=10),1,0),0))</f>
        <v/>
      </c>
      <c r="AC49" s="4" t="str">
        <f>IF(OR(L49="",Results!L9=""),"",IF(L49=Results!L9,1+IF(OR($O49=11,$P49=11,$Q49=11),1,0),0))</f>
        <v/>
      </c>
      <c r="AD49" s="4" t="str">
        <f>IF(OR(M49="",Results!M9=""),"",IF(M49=Results!M9,1+IF(OR($O49=12,$P49=12,$Q49=12),1,0),0))</f>
        <v/>
      </c>
      <c r="AE49" s="4" t="str">
        <f>IF(OR(N49="",Results!N9=""),"",IF(N49=Results!N9,1+IF(OR($O49=13,$P49=13,$Q49=13),1,0),0))</f>
        <v/>
      </c>
      <c r="AF49" s="11">
        <f t="shared" si="2"/>
        <v>0</v>
      </c>
      <c r="AG49" s="4" t="str">
        <f>IF(OR($R49="",Results!O9=""),"",ABS($R49-Results!O9))</f>
        <v/>
      </c>
      <c r="AH49" s="12">
        <v>34</v>
      </c>
      <c r="AI49" s="13" t="str">
        <f>IF(OR(B49="",Results!B9=""),"",IF(AND(B49=Results!B9,Results!B9&lt;&gt;Games!$C$57),1,0))</f>
        <v/>
      </c>
      <c r="AJ49" s="13" t="str">
        <f>IF(OR(C49="",Results!C9=""),"",IF(AND(C49=Results!C9,Results!C9&lt;&gt;Games!$C$58),1,0))</f>
        <v/>
      </c>
      <c r="AK49" s="13" t="str">
        <f>IF(OR(D49="",Results!D9=""),"",IF(AND(D49=Results!D9,Results!D9&lt;&gt;Games!$C$59),1,0))</f>
        <v/>
      </c>
      <c r="AL49" s="13" t="str">
        <f>IF(OR(E49="",Results!E9=""),"",IF(AND(E49=Results!E9,Results!E9&lt;&gt;Games!$C$60),1,0))</f>
        <v/>
      </c>
      <c r="AM49" s="13" t="str">
        <f>IF(OR(F49="",Results!F9=""),"",IF(AND(F49=Results!F9,Results!F9&lt;&gt;Games!$C$61),1,0))</f>
        <v/>
      </c>
      <c r="AN49" s="13" t="str">
        <f>IF(OR(G49="",Results!G9=""),"",IF(AND(G49=Results!G9,Results!G9&lt;&gt;Games!$C$62),1,0))</f>
        <v/>
      </c>
      <c r="AO49" s="13" t="str">
        <f>IF(OR(H49="",Results!H9=""),"",IF(AND(H49=Results!H9,Results!H9&lt;&gt;Games!$C$63),1,0))</f>
        <v/>
      </c>
      <c r="AP49" s="13" t="str">
        <f>IF(OR(I49="",Results!I9=""),"",IF(AND(I49=Results!I9,Results!I9&lt;&gt;Games!$C$64),1,0))</f>
        <v/>
      </c>
      <c r="AQ49" s="13" t="str">
        <f>IF(OR(J49="",Results!J9=""),"",IF(AND(J49=Results!J9,Results!J9&lt;&gt;Games!$C$65),1,0))</f>
        <v/>
      </c>
      <c r="AR49" s="13" t="str">
        <f>IF(OR(K49="",Results!K9=""),"",IF(AND(K49=Results!K9,Results!K9&lt;&gt;Games!$C$66),1,0))</f>
        <v/>
      </c>
      <c r="AS49" s="13" t="str">
        <f>IF(OR(L49="",Results!L9=""),"",IF(AND(L49=Results!L9,Results!L9&lt;&gt;Games!$C$67),1,0))</f>
        <v/>
      </c>
      <c r="AT49" s="13" t="str">
        <f>IF(OR(M49="",Results!M9=""),"",IF(AND(M49=Results!M9,Results!M9&lt;&gt;Games!$C$68),1,0))</f>
        <v/>
      </c>
      <c r="AU49" s="13" t="str">
        <f>IF(OR(N49="",Results!N9=""),"",IF(AND(N49=Results!N9,Results!N9&lt;&gt;Games!$C$69),1,0))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IF(OR(B50="",Results!B9=""),"",IF(B50=Results!B9,1+IF(OR($O50=1,$P50=1,$Q50=1),1,0),0))</f>
        <v/>
      </c>
      <c r="T50" s="4" t="str">
        <f>IF(OR(C50="",Results!C9=""),"",IF(C50=Results!C9,1+IF(OR($O50=2,$P50=2,$Q50=2),1,0),0))</f>
        <v/>
      </c>
      <c r="U50" s="4" t="str">
        <f>IF(OR(D50="",Results!D9=""),"",IF(D50=Results!D9,1+IF(OR($O50=3,$P50=3,$Q50=3),1,0),0))</f>
        <v/>
      </c>
      <c r="V50" s="4" t="str">
        <f>IF(OR(E50="",Results!E9=""),"",IF(E50=Results!E9,1+IF(OR($O50=4,$P50=4,$Q50=4),1,0),0))</f>
        <v/>
      </c>
      <c r="W50" s="4" t="str">
        <f>IF(OR(F50="",Results!F9=""),"",IF(F50=Results!F9,1+IF(OR($O50=5,$P50=5,$Q50=5),1,0),0))</f>
        <v/>
      </c>
      <c r="X50" s="4" t="str">
        <f>IF(OR(G50="",Results!G9=""),"",IF(G50=Results!G9,1+IF(OR($O50=6,$P50=6,$Q50=6),1,0),0))</f>
        <v/>
      </c>
      <c r="Y50" s="4" t="str">
        <f>IF(OR(H50="",Results!H9=""),"",IF(H50=Results!H9,1+IF(OR($O50=7,$P50=7,$Q50=7),1,0),0))</f>
        <v/>
      </c>
      <c r="Z50" s="4" t="str">
        <f>IF(OR(I50="",Results!I9=""),"",IF(I50=Results!I9,1+IF(OR($O50=8,$P50=8,$Q50=8),1,0),0))</f>
        <v/>
      </c>
      <c r="AA50" s="4" t="str">
        <f>IF(OR(J50="",Results!J9=""),"",IF(J50=Results!J9,1+IF(OR($O50=9,$P50=9,$Q50=9),1,0),0))</f>
        <v/>
      </c>
      <c r="AB50" s="4" t="str">
        <f>IF(OR(K50="",Results!K9=""),"",IF(K50=Results!K9,1+IF(OR($O50=10,$P50=10,$Q50=10),1,0),0))</f>
        <v/>
      </c>
      <c r="AC50" s="4" t="str">
        <f>IF(OR(L50="",Results!L9=""),"",IF(L50=Results!L9,1+IF(OR($O50=11,$P50=11,$Q50=11),1,0),0))</f>
        <v/>
      </c>
      <c r="AD50" s="4" t="str">
        <f>IF(OR(M50="",Results!M9=""),"",IF(M50=Results!M9,1+IF(OR($O50=12,$P50=12,$Q50=12),1,0),0))</f>
        <v/>
      </c>
      <c r="AE50" s="4" t="str">
        <f>IF(OR(N50="",Results!N9=""),"",IF(N50=Results!N9,1+IF(OR($O50=13,$P50=13,$Q50=13),1,0),0))</f>
        <v/>
      </c>
      <c r="AF50" s="11">
        <f t="shared" si="2"/>
        <v>0</v>
      </c>
      <c r="AG50" s="4" t="str">
        <f>IF(OR($R50="",Results!O9=""),"",ABS($R50-Results!O9))</f>
        <v/>
      </c>
      <c r="AH50" s="12">
        <v>40</v>
      </c>
      <c r="AI50" s="13" t="str">
        <f>IF(OR(B50="",Results!B9=""),"",IF(AND(B50=Results!B9,Results!B9&lt;&gt;Games!$C$57),1,0))</f>
        <v/>
      </c>
      <c r="AJ50" s="13" t="str">
        <f>IF(OR(C50="",Results!C9=""),"",IF(AND(C50=Results!C9,Results!C9&lt;&gt;Games!$C$58),1,0))</f>
        <v/>
      </c>
      <c r="AK50" s="13" t="str">
        <f>IF(OR(D50="",Results!D9=""),"",IF(AND(D50=Results!D9,Results!D9&lt;&gt;Games!$C$59),1,0))</f>
        <v/>
      </c>
      <c r="AL50" s="13" t="str">
        <f>IF(OR(E50="",Results!E9=""),"",IF(AND(E50=Results!E9,Results!E9&lt;&gt;Games!$C$60),1,0))</f>
        <v/>
      </c>
      <c r="AM50" s="13" t="str">
        <f>IF(OR(F50="",Results!F9=""),"",IF(AND(F50=Results!F9,Results!F9&lt;&gt;Games!$C$61),1,0))</f>
        <v/>
      </c>
      <c r="AN50" s="13" t="str">
        <f>IF(OR(G50="",Results!G9=""),"",IF(AND(G50=Results!G9,Results!G9&lt;&gt;Games!$C$62),1,0))</f>
        <v/>
      </c>
      <c r="AO50" s="13" t="str">
        <f>IF(OR(H50="",Results!H9=""),"",IF(AND(H50=Results!H9,Results!H9&lt;&gt;Games!$C$63),1,0))</f>
        <v/>
      </c>
      <c r="AP50" s="13" t="str">
        <f>IF(OR(I50="",Results!I9=""),"",IF(AND(I50=Results!I9,Results!I9&lt;&gt;Games!$C$64),1,0))</f>
        <v/>
      </c>
      <c r="AQ50" s="13" t="str">
        <f>IF(OR(J50="",Results!J9=""),"",IF(AND(J50=Results!J9,Results!J9&lt;&gt;Games!$C$65),1,0))</f>
        <v/>
      </c>
      <c r="AR50" s="13" t="str">
        <f>IF(OR(K50="",Results!K9=""),"",IF(AND(K50=Results!K9,Results!K9&lt;&gt;Games!$C$66),1,0))</f>
        <v/>
      </c>
      <c r="AS50" s="13" t="str">
        <f>IF(OR(L50="",Results!L9=""),"",IF(AND(L50=Results!L9,Results!L9&lt;&gt;Games!$C$67),1,0))</f>
        <v/>
      </c>
      <c r="AT50" s="13" t="str">
        <f>IF(OR(M50="",Results!M9=""),"",IF(AND(M50=Results!M9,Results!M9&lt;&gt;Games!$C$68),1,0))</f>
        <v/>
      </c>
      <c r="AU50" s="13" t="str">
        <f>IF(OR(N50="",Results!N9=""),"",IF(AND(N50=Results!N9,Results!N9&lt;&gt;Games!$C$69),1,0))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IF(OR(B51="",Results!B9=""),"",IF(B51=Results!B9,1+IF(OR($O51=1,$P51=1,$Q51=1),1,0),0))</f>
        <v/>
      </c>
      <c r="T51" s="4" t="str">
        <f>IF(OR(C51="",Results!C9=""),"",IF(C51=Results!C9,1+IF(OR($O51=2,$P51=2,$Q51=2),1,0),0))</f>
        <v/>
      </c>
      <c r="U51" s="4" t="str">
        <f>IF(OR(D51="",Results!D9=""),"",IF(D51=Results!D9,1+IF(OR($O51=3,$P51=3,$Q51=3),1,0),0))</f>
        <v/>
      </c>
      <c r="V51" s="4" t="str">
        <f>IF(OR(E51="",Results!E9=""),"",IF(E51=Results!E9,1+IF(OR($O51=4,$P51=4,$Q51=4),1,0),0))</f>
        <v/>
      </c>
      <c r="W51" s="4" t="str">
        <f>IF(OR(F51="",Results!F9=""),"",IF(F51=Results!F9,1+IF(OR($O51=5,$P51=5,$Q51=5),1,0),0))</f>
        <v/>
      </c>
      <c r="X51" s="4" t="str">
        <f>IF(OR(G51="",Results!G9=""),"",IF(G51=Results!G9,1+IF(OR($O51=6,$P51=6,$Q51=6),1,0),0))</f>
        <v/>
      </c>
      <c r="Y51" s="4" t="str">
        <f>IF(OR(H51="",Results!H9=""),"",IF(H51=Results!H9,1+IF(OR($O51=7,$P51=7,$Q51=7),1,0),0))</f>
        <v/>
      </c>
      <c r="Z51" s="4" t="str">
        <f>IF(OR(I51="",Results!I9=""),"",IF(I51=Results!I9,1+IF(OR($O51=8,$P51=8,$Q51=8),1,0),0))</f>
        <v/>
      </c>
      <c r="AA51" s="4" t="str">
        <f>IF(OR(J51="",Results!J9=""),"",IF(J51=Results!J9,1+IF(OR($O51=9,$P51=9,$Q51=9),1,0),0))</f>
        <v/>
      </c>
      <c r="AB51" s="4" t="str">
        <f>IF(OR(K51="",Results!K9=""),"",IF(K51=Results!K9,1+IF(OR($O51=10,$P51=10,$Q51=10),1,0),0))</f>
        <v/>
      </c>
      <c r="AC51" s="4" t="str">
        <f>IF(OR(L51="",Results!L9=""),"",IF(L51=Results!L9,1+IF(OR($O51=11,$P51=11,$Q51=11),1,0),0))</f>
        <v/>
      </c>
      <c r="AD51" s="4" t="str">
        <f>IF(OR(M51="",Results!M9=""),"",IF(M51=Results!M9,1+IF(OR($O51=12,$P51=12,$Q51=12),1,0),0))</f>
        <v/>
      </c>
      <c r="AE51" s="4" t="str">
        <f>IF(OR(N51="",Results!N9=""),"",IF(N51=Results!N9,1+IF(OR($O51=13,$P51=13,$Q51=13),1,0),0))</f>
        <v/>
      </c>
      <c r="AF51" s="11">
        <f t="shared" si="2"/>
        <v>0</v>
      </c>
      <c r="AG51" s="4" t="str">
        <f>IF(OR($R51="",Results!O9=""),"",ABS($R51-Results!O9))</f>
        <v/>
      </c>
      <c r="AH51" s="12">
        <v>42</v>
      </c>
      <c r="AI51" s="13" t="str">
        <f>IF(OR(B51="",Results!B9=""),"",IF(AND(B51=Results!B9,Results!B9&lt;&gt;Games!$C$57),1,0))</f>
        <v/>
      </c>
      <c r="AJ51" s="13" t="str">
        <f>IF(OR(C51="",Results!C9=""),"",IF(AND(C51=Results!C9,Results!C9&lt;&gt;Games!$C$58),1,0))</f>
        <v/>
      </c>
      <c r="AK51" s="13" t="str">
        <f>IF(OR(D51="",Results!D9=""),"",IF(AND(D51=Results!D9,Results!D9&lt;&gt;Games!$C$59),1,0))</f>
        <v/>
      </c>
      <c r="AL51" s="13" t="str">
        <f>IF(OR(E51="",Results!E9=""),"",IF(AND(E51=Results!E9,Results!E9&lt;&gt;Games!$C$60),1,0))</f>
        <v/>
      </c>
      <c r="AM51" s="13" t="str">
        <f>IF(OR(F51="",Results!F9=""),"",IF(AND(F51=Results!F9,Results!F9&lt;&gt;Games!$C$61),1,0))</f>
        <v/>
      </c>
      <c r="AN51" s="13" t="str">
        <f>IF(OR(G51="",Results!G9=""),"",IF(AND(G51=Results!G9,Results!G9&lt;&gt;Games!$C$62),1,0))</f>
        <v/>
      </c>
      <c r="AO51" s="13" t="str">
        <f>IF(OR(H51="",Results!H9=""),"",IF(AND(H51=Results!H9,Results!H9&lt;&gt;Games!$C$63),1,0))</f>
        <v/>
      </c>
      <c r="AP51" s="13" t="str">
        <f>IF(OR(I51="",Results!I9=""),"",IF(AND(I51=Results!I9,Results!I9&lt;&gt;Games!$C$64),1,0))</f>
        <v/>
      </c>
      <c r="AQ51" s="13" t="str">
        <f>IF(OR(J51="",Results!J9=""),"",IF(AND(J51=Results!J9,Results!J9&lt;&gt;Games!$C$65),1,0))</f>
        <v/>
      </c>
      <c r="AR51" s="13" t="str">
        <f>IF(OR(K51="",Results!K9=""),"",IF(AND(K51=Results!K9,Results!K9&lt;&gt;Games!$C$66),1,0))</f>
        <v/>
      </c>
      <c r="AS51" s="13" t="str">
        <f>IF(OR(L51="",Results!L9=""),"",IF(AND(L51=Results!L9,Results!L9&lt;&gt;Games!$C$67),1,0))</f>
        <v/>
      </c>
      <c r="AT51" s="13" t="str">
        <f>IF(OR(M51="",Results!M9=""),"",IF(AND(M51=Results!M9,Results!M9&lt;&gt;Games!$C$68),1,0))</f>
        <v/>
      </c>
      <c r="AU51" s="13" t="str">
        <f>IF(OR(N51="",Results!N9=""),"",IF(AND(N51=Results!N9,Results!N9&lt;&gt;Games!$C$69),1,0))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 t="str">
        <f>IF(OR(B52="",Results!B9=""),"",IF(B52=Results!B9,1+IF(OR($O52=1,$P52=1,$Q52=1),1,0),0))</f>
        <v/>
      </c>
      <c r="T52" s="4" t="str">
        <f>IF(OR(C52="",Results!C9=""),"",IF(C52=Results!C9,1+IF(OR($O52=2,$P52=2,$Q52=2),1,0),0))</f>
        <v/>
      </c>
      <c r="U52" s="4" t="str">
        <f>IF(OR(D52="",Results!D9=""),"",IF(D52=Results!D9,1+IF(OR($O52=3,$P52=3,$Q52=3),1,0),0))</f>
        <v/>
      </c>
      <c r="V52" s="4" t="str">
        <f>IF(OR(E52="",Results!E9=""),"",IF(E52=Results!E9,1+IF(OR($O52=4,$P52=4,$Q52=4),1,0),0))</f>
        <v/>
      </c>
      <c r="W52" s="4" t="str">
        <f>IF(OR(F52="",Results!F9=""),"",IF(F52=Results!F9,1+IF(OR($O52=5,$P52=5,$Q52=5),1,0),0))</f>
        <v/>
      </c>
      <c r="X52" s="4" t="str">
        <f>IF(OR(G52="",Results!G9=""),"",IF(G52=Results!G9,1+IF(OR($O52=6,$P52=6,$Q52=6),1,0),0))</f>
        <v/>
      </c>
      <c r="Y52" s="4" t="str">
        <f>IF(OR(H52="",Results!H9=""),"",IF(H52=Results!H9,1+IF(OR($O52=7,$P52=7,$Q52=7),1,0),0))</f>
        <v/>
      </c>
      <c r="Z52" s="4" t="str">
        <f>IF(OR(I52="",Results!I9=""),"",IF(I52=Results!I9,1+IF(OR($O52=8,$P52=8,$Q52=8),1,0),0))</f>
        <v/>
      </c>
      <c r="AA52" s="4" t="str">
        <f>IF(OR(J52="",Results!J9=""),"",IF(J52=Results!J9,1+IF(OR($O52=9,$P52=9,$Q52=9),1,0),0))</f>
        <v/>
      </c>
      <c r="AB52" s="4" t="str">
        <f>IF(OR(K52="",Results!K9=""),"",IF(K52=Results!K9,1+IF(OR($O52=10,$P52=10,$Q52=10),1,0),0))</f>
        <v/>
      </c>
      <c r="AC52" s="4" t="str">
        <f>IF(OR(L52="",Results!L9=""),"",IF(L52=Results!L9,1+IF(OR($O52=11,$P52=11,$Q52=11),1,0),0))</f>
        <v/>
      </c>
      <c r="AD52" s="4" t="str">
        <f>IF(OR(M52="",Results!M9=""),"",IF(M52=Results!M9,1+IF(OR($O52=12,$P52=12,$Q52=12),1,0),0))</f>
        <v/>
      </c>
      <c r="AE52" s="4" t="str">
        <f>IF(OR(N52="",Results!N9=""),"",IF(N52=Results!N9,1+IF(OR($O52=13,$P52=13,$Q52=13),1,0),0))</f>
        <v/>
      </c>
      <c r="AF52" s="11">
        <f t="shared" si="2"/>
        <v>0</v>
      </c>
      <c r="AG52" s="4" t="str">
        <f>IF(OR($R52="",Results!O9=""),"",ABS($R52-Results!O9))</f>
        <v/>
      </c>
      <c r="AH52" s="12">
        <v>27</v>
      </c>
      <c r="AI52" s="13" t="str">
        <f>IF(OR(B52="",Results!B9=""),"",IF(AND(B52=Results!B9,Results!B9&lt;&gt;Games!$C$57),1,0))</f>
        <v/>
      </c>
      <c r="AJ52" s="13" t="str">
        <f>IF(OR(C52="",Results!C9=""),"",IF(AND(C52=Results!C9,Results!C9&lt;&gt;Games!$C$58),1,0))</f>
        <v/>
      </c>
      <c r="AK52" s="13" t="str">
        <f>IF(OR(D52="",Results!D9=""),"",IF(AND(D52=Results!D9,Results!D9&lt;&gt;Games!$C$59),1,0))</f>
        <v/>
      </c>
      <c r="AL52" s="13" t="str">
        <f>IF(OR(E52="",Results!E9=""),"",IF(AND(E52=Results!E9,Results!E9&lt;&gt;Games!$C$60),1,0))</f>
        <v/>
      </c>
      <c r="AM52" s="13" t="str">
        <f>IF(OR(F52="",Results!F9=""),"",IF(AND(F52=Results!F9,Results!F9&lt;&gt;Games!$C$61),1,0))</f>
        <v/>
      </c>
      <c r="AN52" s="13" t="str">
        <f>IF(OR(G52="",Results!G9=""),"",IF(AND(G52=Results!G9,Results!G9&lt;&gt;Games!$C$62),1,0))</f>
        <v/>
      </c>
      <c r="AO52" s="13" t="str">
        <f>IF(OR(H52="",Results!H9=""),"",IF(AND(H52=Results!H9,Results!H9&lt;&gt;Games!$C$63),1,0))</f>
        <v/>
      </c>
      <c r="AP52" s="13" t="str">
        <f>IF(OR(I52="",Results!I9=""),"",IF(AND(I52=Results!I9,Results!I9&lt;&gt;Games!$C$64),1,0))</f>
        <v/>
      </c>
      <c r="AQ52" s="13" t="str">
        <f>IF(OR(J52="",Results!J9=""),"",IF(AND(J52=Results!J9,Results!J9&lt;&gt;Games!$C$65),1,0))</f>
        <v/>
      </c>
      <c r="AR52" s="13" t="str">
        <f>IF(OR(K52="",Results!K9=""),"",IF(AND(K52=Results!K9,Results!K9&lt;&gt;Games!$C$66),1,0))</f>
        <v/>
      </c>
      <c r="AS52" s="13" t="str">
        <f>IF(OR(L52="",Results!L9=""),"",IF(AND(L52=Results!L9,Results!L9&lt;&gt;Games!$C$67),1,0))</f>
        <v/>
      </c>
      <c r="AT52" s="13" t="str">
        <f>IF(OR(M52="",Results!M9=""),"",IF(AND(M52=Results!M9,Results!M9&lt;&gt;Games!$C$68),1,0))</f>
        <v/>
      </c>
      <c r="AU52" s="13" t="str">
        <f>IF(OR(N52="",Results!N9=""),"",IF(AND(N52=Results!N9,Results!N9&lt;&gt;Games!$C$69),1,0))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IF(OR(B53="",Results!B9=""),"",IF(B53=Results!B9,1+IF(OR($O53=1,$P53=1,$Q53=1),1,0),0))</f>
        <v/>
      </c>
      <c r="T53" s="4" t="str">
        <f>IF(OR(C53="",Results!C9=""),"",IF(C53=Results!C9,1+IF(OR($O53=2,$P53=2,$Q53=2),1,0),0))</f>
        <v/>
      </c>
      <c r="U53" s="4" t="str">
        <f>IF(OR(D53="",Results!D9=""),"",IF(D53=Results!D9,1+IF(OR($O53=3,$P53=3,$Q53=3),1,0),0))</f>
        <v/>
      </c>
      <c r="V53" s="4" t="str">
        <f>IF(OR(E53="",Results!E9=""),"",IF(E53=Results!E9,1+IF(OR($O53=4,$P53=4,$Q53=4),1,0),0))</f>
        <v/>
      </c>
      <c r="W53" s="4" t="str">
        <f>IF(OR(F53="",Results!F9=""),"",IF(F53=Results!F9,1+IF(OR($O53=5,$P53=5,$Q53=5),1,0),0))</f>
        <v/>
      </c>
      <c r="X53" s="4" t="str">
        <f>IF(OR(G53="",Results!G9=""),"",IF(G53=Results!G9,1+IF(OR($O53=6,$P53=6,$Q53=6),1,0),0))</f>
        <v/>
      </c>
      <c r="Y53" s="4" t="str">
        <f>IF(OR(H53="",Results!H9=""),"",IF(H53=Results!H9,1+IF(OR($O53=7,$P53=7,$Q53=7),1,0),0))</f>
        <v/>
      </c>
      <c r="Z53" s="4" t="str">
        <f>IF(OR(I53="",Results!I9=""),"",IF(I53=Results!I9,1+IF(OR($O53=8,$P53=8,$Q53=8),1,0),0))</f>
        <v/>
      </c>
      <c r="AA53" s="4" t="str">
        <f>IF(OR(J53="",Results!J9=""),"",IF(J53=Results!J9,1+IF(OR($O53=9,$P53=9,$Q53=9),1,0),0))</f>
        <v/>
      </c>
      <c r="AB53" s="4" t="str">
        <f>IF(OR(K53="",Results!K9=""),"",IF(K53=Results!K9,1+IF(OR($O53=10,$P53=10,$Q53=10),1,0),0))</f>
        <v/>
      </c>
      <c r="AC53" s="4" t="str">
        <f>IF(OR(L53="",Results!L9=""),"",IF(L53=Results!L9,1+IF(OR($O53=11,$P53=11,$Q53=11),1,0),0))</f>
        <v/>
      </c>
      <c r="AD53" s="4" t="str">
        <f>IF(OR(M53="",Results!M9=""),"",IF(M53=Results!M9,1+IF(OR($O53=12,$P53=12,$Q53=12),1,0),0))</f>
        <v/>
      </c>
      <c r="AE53" s="4" t="str">
        <f>IF(OR(N53="",Results!N9=""),"",IF(N53=Results!N9,1+IF(OR($O53=13,$P53=13,$Q53=13),1,0),0))</f>
        <v/>
      </c>
      <c r="AF53" s="11">
        <f t="shared" si="2"/>
        <v>0</v>
      </c>
      <c r="AG53" s="4" t="str">
        <f>IF(OR($R53="",Results!O9=""),"",ABS($R53-Results!O9))</f>
        <v/>
      </c>
      <c r="AH53" s="12">
        <v>35</v>
      </c>
      <c r="AI53" s="13" t="str">
        <f>IF(OR(B53="",Results!B9=""),"",IF(AND(B53=Results!B9,Results!B9&lt;&gt;Games!$C$57),1,0))</f>
        <v/>
      </c>
      <c r="AJ53" s="13" t="str">
        <f>IF(OR(C53="",Results!C9=""),"",IF(AND(C53=Results!C9,Results!C9&lt;&gt;Games!$C$58),1,0))</f>
        <v/>
      </c>
      <c r="AK53" s="13" t="str">
        <f>IF(OR(D53="",Results!D9=""),"",IF(AND(D53=Results!D9,Results!D9&lt;&gt;Games!$C$59),1,0))</f>
        <v/>
      </c>
      <c r="AL53" s="13" t="str">
        <f>IF(OR(E53="",Results!E9=""),"",IF(AND(E53=Results!E9,Results!E9&lt;&gt;Games!$C$60),1,0))</f>
        <v/>
      </c>
      <c r="AM53" s="13" t="str">
        <f>IF(OR(F53="",Results!F9=""),"",IF(AND(F53=Results!F9,Results!F9&lt;&gt;Games!$C$61),1,0))</f>
        <v/>
      </c>
      <c r="AN53" s="13" t="str">
        <f>IF(OR(G53="",Results!G9=""),"",IF(AND(G53=Results!G9,Results!G9&lt;&gt;Games!$C$62),1,0))</f>
        <v/>
      </c>
      <c r="AO53" s="13" t="str">
        <f>IF(OR(H53="",Results!H9=""),"",IF(AND(H53=Results!H9,Results!H9&lt;&gt;Games!$C$63),1,0))</f>
        <v/>
      </c>
      <c r="AP53" s="13" t="str">
        <f>IF(OR(I53="",Results!I9=""),"",IF(AND(I53=Results!I9,Results!I9&lt;&gt;Games!$C$64),1,0))</f>
        <v/>
      </c>
      <c r="AQ53" s="13" t="str">
        <f>IF(OR(J53="",Results!J9=""),"",IF(AND(J53=Results!J9,Results!J9&lt;&gt;Games!$C$65),1,0))</f>
        <v/>
      </c>
      <c r="AR53" s="13" t="str">
        <f>IF(OR(K53="",Results!K9=""),"",IF(AND(K53=Results!K9,Results!K9&lt;&gt;Games!$C$66),1,0))</f>
        <v/>
      </c>
      <c r="AS53" s="13" t="str">
        <f>IF(OR(L53="",Results!L9=""),"",IF(AND(L53=Results!L9,Results!L9&lt;&gt;Games!$C$67),1,0))</f>
        <v/>
      </c>
      <c r="AT53" s="13" t="str">
        <f>IF(OR(M53="",Results!M9=""),"",IF(AND(M53=Results!M9,Results!M9&lt;&gt;Games!$C$68),1,0))</f>
        <v/>
      </c>
      <c r="AU53" s="13" t="str">
        <f>IF(OR(N53="",Results!N9=""),"",IF(AND(N53=Results!N9,Results!N9&lt;&gt;Games!$C$69),1,0))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 t="str">
        <f>IF(OR(B54="",Results!B9=""),"",IF(B54=Results!B9,1+IF(OR($O54=1,$P54=1,$Q54=1),1,0),0))</f>
        <v/>
      </c>
      <c r="T54" s="4" t="str">
        <f>IF(OR(C54="",Results!C9=""),"",IF(C54=Results!C9,1+IF(OR($O54=2,$P54=2,$Q54=2),1,0),0))</f>
        <v/>
      </c>
      <c r="U54" s="4" t="str">
        <f>IF(OR(D54="",Results!D9=""),"",IF(D54=Results!D9,1+IF(OR($O54=3,$P54=3,$Q54=3),1,0),0))</f>
        <v/>
      </c>
      <c r="V54" s="4" t="str">
        <f>IF(OR(E54="",Results!E9=""),"",IF(E54=Results!E9,1+IF(OR($O54=4,$P54=4,$Q54=4),1,0),0))</f>
        <v/>
      </c>
      <c r="W54" s="4" t="str">
        <f>IF(OR(F54="",Results!F9=""),"",IF(F54=Results!F9,1+IF(OR($O54=5,$P54=5,$Q54=5),1,0),0))</f>
        <v/>
      </c>
      <c r="X54" s="4" t="str">
        <f>IF(OR(G54="",Results!G9=""),"",IF(G54=Results!G9,1+IF(OR($O54=6,$P54=6,$Q54=6),1,0),0))</f>
        <v/>
      </c>
      <c r="Y54" s="4" t="str">
        <f>IF(OR(H54="",Results!H9=""),"",IF(H54=Results!H9,1+IF(OR($O54=7,$P54=7,$Q54=7),1,0),0))</f>
        <v/>
      </c>
      <c r="Z54" s="4" t="str">
        <f>IF(OR(I54="",Results!I9=""),"",IF(I54=Results!I9,1+IF(OR($O54=8,$P54=8,$Q54=8),1,0),0))</f>
        <v/>
      </c>
      <c r="AA54" s="4" t="str">
        <f>IF(OR(J54="",Results!J9=""),"",IF(J54=Results!J9,1+IF(OR($O54=9,$P54=9,$Q54=9),1,0),0))</f>
        <v/>
      </c>
      <c r="AB54" s="4" t="str">
        <f>IF(OR(K54="",Results!K9=""),"",IF(K54=Results!K9,1+IF(OR($O54=10,$P54=10,$Q54=10),1,0),0))</f>
        <v/>
      </c>
      <c r="AC54" s="4" t="str">
        <f>IF(OR(L54="",Results!L9=""),"",IF(L54=Results!L9,1+IF(OR($O54=11,$P54=11,$Q54=11),1,0),0))</f>
        <v/>
      </c>
      <c r="AD54" s="4" t="str">
        <f>IF(OR(M54="",Results!M9=""),"",IF(M54=Results!M9,1+IF(OR($O54=12,$P54=12,$Q54=12),1,0),0))</f>
        <v/>
      </c>
      <c r="AE54" s="4" t="str">
        <f>IF(OR(N54="",Results!N9=""),"",IF(N54=Results!N9,1+IF(OR($O54=13,$P54=13,$Q54=13),1,0),0))</f>
        <v/>
      </c>
      <c r="AF54" s="11">
        <f t="shared" si="2"/>
        <v>0</v>
      </c>
      <c r="AG54" s="4" t="str">
        <f>IF(OR($R54="",Results!O9=""),"",ABS($R54-Results!O9))</f>
        <v/>
      </c>
      <c r="AH54" s="12">
        <v>43</v>
      </c>
      <c r="AI54" s="13" t="str">
        <f>IF(OR(B54="",Results!B9=""),"",IF(AND(B54=Results!B9,Results!B9&lt;&gt;Games!$C$57),1,0))</f>
        <v/>
      </c>
      <c r="AJ54" s="13" t="str">
        <f>IF(OR(C54="",Results!C9=""),"",IF(AND(C54=Results!C9,Results!C9&lt;&gt;Games!$C$58),1,0))</f>
        <v/>
      </c>
      <c r="AK54" s="13" t="str">
        <f>IF(OR(D54="",Results!D9=""),"",IF(AND(D54=Results!D9,Results!D9&lt;&gt;Games!$C$59),1,0))</f>
        <v/>
      </c>
      <c r="AL54" s="13" t="str">
        <f>IF(OR(E54="",Results!E9=""),"",IF(AND(E54=Results!E9,Results!E9&lt;&gt;Games!$C$60),1,0))</f>
        <v/>
      </c>
      <c r="AM54" s="13" t="str">
        <f>IF(OR(F54="",Results!F9=""),"",IF(AND(F54=Results!F9,Results!F9&lt;&gt;Games!$C$61),1,0))</f>
        <v/>
      </c>
      <c r="AN54" s="13" t="str">
        <f>IF(OR(G54="",Results!G9=""),"",IF(AND(G54=Results!G9,Results!G9&lt;&gt;Games!$C$62),1,0))</f>
        <v/>
      </c>
      <c r="AO54" s="13" t="str">
        <f>IF(OR(H54="",Results!H9=""),"",IF(AND(H54=Results!H9,Results!H9&lt;&gt;Games!$C$63),1,0))</f>
        <v/>
      </c>
      <c r="AP54" s="13" t="str">
        <f>IF(OR(I54="",Results!I9=""),"",IF(AND(I54=Results!I9,Results!I9&lt;&gt;Games!$C$64),1,0))</f>
        <v/>
      </c>
      <c r="AQ54" s="13" t="str">
        <f>IF(OR(J54="",Results!J9=""),"",IF(AND(J54=Results!J9,Results!J9&lt;&gt;Games!$C$65),1,0))</f>
        <v/>
      </c>
      <c r="AR54" s="13" t="str">
        <f>IF(OR(K54="",Results!K9=""),"",IF(AND(K54=Results!K9,Results!K9&lt;&gt;Games!$C$66),1,0))</f>
        <v/>
      </c>
      <c r="AS54" s="13" t="str">
        <f>IF(OR(L54="",Results!L9=""),"",IF(AND(L54=Results!L9,Results!L9&lt;&gt;Games!$C$67),1,0))</f>
        <v/>
      </c>
      <c r="AT54" s="13" t="str">
        <f>IF(OR(M54="",Results!M9=""),"",IF(AND(M54=Results!M9,Results!M9&lt;&gt;Games!$C$68),1,0))</f>
        <v/>
      </c>
      <c r="AU54" s="13" t="str">
        <f>IF(OR(N54="",Results!N9=""),"",IF(AND(N54=Results!N9,Results!N9&lt;&gt;Games!$C$69),1,0))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IF(OR(B55="",Results!B9=""),"",IF(B55=Results!B9,1+IF(OR($O55=1,$P55=1,$Q55=1),1,0),0))</f>
        <v/>
      </c>
      <c r="T55" s="4" t="str">
        <f>IF(OR(C55="",Results!C9=""),"",IF(C55=Results!C9,1+IF(OR($O55=2,$P55=2,$Q55=2),1,0),0))</f>
        <v/>
      </c>
      <c r="U55" s="4" t="str">
        <f>IF(OR(D55="",Results!D9=""),"",IF(D55=Results!D9,1+IF(OR($O55=3,$P55=3,$Q55=3),1,0),0))</f>
        <v/>
      </c>
      <c r="V55" s="4" t="str">
        <f>IF(OR(E55="",Results!E9=""),"",IF(E55=Results!E9,1+IF(OR($O55=4,$P55=4,$Q55=4),1,0),0))</f>
        <v/>
      </c>
      <c r="W55" s="4" t="str">
        <f>IF(OR(F55="",Results!F9=""),"",IF(F55=Results!F9,1+IF(OR($O55=5,$P55=5,$Q55=5),1,0),0))</f>
        <v/>
      </c>
      <c r="X55" s="4" t="str">
        <f>IF(OR(G55="",Results!G9=""),"",IF(G55=Results!G9,1+IF(OR($O55=6,$P55=6,$Q55=6),1,0),0))</f>
        <v/>
      </c>
      <c r="Y55" s="4" t="str">
        <f>IF(OR(H55="",Results!H9=""),"",IF(H55=Results!H9,1+IF(OR($O55=7,$P55=7,$Q55=7),1,0),0))</f>
        <v/>
      </c>
      <c r="Z55" s="4" t="str">
        <f>IF(OR(I55="",Results!I9=""),"",IF(I55=Results!I9,1+IF(OR($O55=8,$P55=8,$Q55=8),1,0),0))</f>
        <v/>
      </c>
      <c r="AA55" s="4" t="str">
        <f>IF(OR(J55="",Results!J9=""),"",IF(J55=Results!J9,1+IF(OR($O55=9,$P55=9,$Q55=9),1,0),0))</f>
        <v/>
      </c>
      <c r="AB55" s="4" t="str">
        <f>IF(OR(K55="",Results!K9=""),"",IF(K55=Results!K9,1+IF(OR($O55=10,$P55=10,$Q55=10),1,0),0))</f>
        <v/>
      </c>
      <c r="AC55" s="4" t="str">
        <f>IF(OR(L55="",Results!L9=""),"",IF(L55=Results!L9,1+IF(OR($O55=11,$P55=11,$Q55=11),1,0),0))</f>
        <v/>
      </c>
      <c r="AD55" s="4" t="str">
        <f>IF(OR(M55="",Results!M9=""),"",IF(M55=Results!M9,1+IF(OR($O55=12,$P55=12,$Q55=12),1,0),0))</f>
        <v/>
      </c>
      <c r="AE55" s="4" t="str">
        <f>IF(OR(N55="",Results!N9=""),"",IF(N55=Results!N9,1+IF(OR($O55=13,$P55=13,$Q55=13),1,0),0))</f>
        <v/>
      </c>
      <c r="AF55" s="11">
        <f t="shared" si="2"/>
        <v>0</v>
      </c>
      <c r="AG55" s="4" t="str">
        <f>IF(OR($R55="",Results!O9=""),"",ABS($R55-Results!O9))</f>
        <v/>
      </c>
      <c r="AH55" s="12">
        <v>44</v>
      </c>
      <c r="AI55" s="13" t="str">
        <f>IF(OR(B55="",Results!B9=""),"",IF(AND(B55=Results!B9,Results!B9&lt;&gt;Games!$C$57),1,0))</f>
        <v/>
      </c>
      <c r="AJ55" s="13" t="str">
        <f>IF(OR(C55="",Results!C9=""),"",IF(AND(C55=Results!C9,Results!C9&lt;&gt;Games!$C$58),1,0))</f>
        <v/>
      </c>
      <c r="AK55" s="13" t="str">
        <f>IF(OR(D55="",Results!D9=""),"",IF(AND(D55=Results!D9,Results!D9&lt;&gt;Games!$C$59),1,0))</f>
        <v/>
      </c>
      <c r="AL55" s="13" t="str">
        <f>IF(OR(E55="",Results!E9=""),"",IF(AND(E55=Results!E9,Results!E9&lt;&gt;Games!$C$60),1,0))</f>
        <v/>
      </c>
      <c r="AM55" s="13" t="str">
        <f>IF(OR(F55="",Results!F9=""),"",IF(AND(F55=Results!F9,Results!F9&lt;&gt;Games!$C$61),1,0))</f>
        <v/>
      </c>
      <c r="AN55" s="13" t="str">
        <f>IF(OR(G55="",Results!G9=""),"",IF(AND(G55=Results!G9,Results!G9&lt;&gt;Games!$C$62),1,0))</f>
        <v/>
      </c>
      <c r="AO55" s="13" t="str">
        <f>IF(OR(H55="",Results!H9=""),"",IF(AND(H55=Results!H9,Results!H9&lt;&gt;Games!$C$63),1,0))</f>
        <v/>
      </c>
      <c r="AP55" s="13" t="str">
        <f>IF(OR(I55="",Results!I9=""),"",IF(AND(I55=Results!I9,Results!I9&lt;&gt;Games!$C$64),1,0))</f>
        <v/>
      </c>
      <c r="AQ55" s="13" t="str">
        <f>IF(OR(J55="",Results!J9=""),"",IF(AND(J55=Results!J9,Results!J9&lt;&gt;Games!$C$65),1,0))</f>
        <v/>
      </c>
      <c r="AR55" s="13" t="str">
        <f>IF(OR(K55="",Results!K9=""),"",IF(AND(K55=Results!K9,Results!K9&lt;&gt;Games!$C$66),1,0))</f>
        <v/>
      </c>
      <c r="AS55" s="13" t="str">
        <f>IF(OR(L55="",Results!L9=""),"",IF(AND(L55=Results!L9,Results!L9&lt;&gt;Games!$C$67),1,0))</f>
        <v/>
      </c>
      <c r="AT55" s="13" t="str">
        <f>IF(OR(M55="",Results!M9=""),"",IF(AND(M55=Results!M9,Results!M9&lt;&gt;Games!$C$68),1,0))</f>
        <v/>
      </c>
      <c r="AU55" s="13" t="str">
        <f>IF(OR(N55="",Results!N9=""),"",IF(AND(N55=Results!N9,Results!N9&lt;&gt;Games!$C$69),1,0))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IF(OR(B56="",Results!B9=""),"",IF(B56=Results!B9,1+IF(OR($O56=1,$P56=1,$Q56=1),1,0),0))</f>
        <v/>
      </c>
      <c r="T56" s="4" t="str">
        <f>IF(OR(C56="",Results!C9=""),"",IF(C56=Results!C9,1+IF(OR($O56=2,$P56=2,$Q56=2),1,0),0))</f>
        <v/>
      </c>
      <c r="U56" s="4" t="str">
        <f>IF(OR(D56="",Results!D9=""),"",IF(D56=Results!D9,1+IF(OR($O56=3,$P56=3,$Q56=3),1,0),0))</f>
        <v/>
      </c>
      <c r="V56" s="4" t="str">
        <f>IF(OR(E56="",Results!E9=""),"",IF(E56=Results!E9,1+IF(OR($O56=4,$P56=4,$Q56=4),1,0),0))</f>
        <v/>
      </c>
      <c r="W56" s="4" t="str">
        <f>IF(OR(F56="",Results!F9=""),"",IF(F56=Results!F9,1+IF(OR($O56=5,$P56=5,$Q56=5),1,0),0))</f>
        <v/>
      </c>
      <c r="X56" s="4" t="str">
        <f>IF(OR(G56="",Results!G9=""),"",IF(G56=Results!G9,1+IF(OR($O56=6,$P56=6,$Q56=6),1,0),0))</f>
        <v/>
      </c>
      <c r="Y56" s="4" t="str">
        <f>IF(OR(H56="",Results!H9=""),"",IF(H56=Results!H9,1+IF(OR($O56=7,$P56=7,$Q56=7),1,0),0))</f>
        <v/>
      </c>
      <c r="Z56" s="4" t="str">
        <f>IF(OR(I56="",Results!I9=""),"",IF(I56=Results!I9,1+IF(OR($O56=8,$P56=8,$Q56=8),1,0),0))</f>
        <v/>
      </c>
      <c r="AA56" s="4" t="str">
        <f>IF(OR(J56="",Results!J9=""),"",IF(J56=Results!J9,1+IF(OR($O56=9,$P56=9,$Q56=9),1,0),0))</f>
        <v/>
      </c>
      <c r="AB56" s="4" t="str">
        <f>IF(OR(K56="",Results!K9=""),"",IF(K56=Results!K9,1+IF(OR($O56=10,$P56=10,$Q56=10),1,0),0))</f>
        <v/>
      </c>
      <c r="AC56" s="4" t="str">
        <f>IF(OR(L56="",Results!L9=""),"",IF(L56=Results!L9,1+IF(OR($O56=11,$P56=11,$Q56=11),1,0),0))</f>
        <v/>
      </c>
      <c r="AD56" s="4" t="str">
        <f>IF(OR(M56="",Results!M9=""),"",IF(M56=Results!M9,1+IF(OR($O56=12,$P56=12,$Q56=12),1,0),0))</f>
        <v/>
      </c>
      <c r="AE56" s="4" t="str">
        <f>IF(OR(N56="",Results!N9=""),"",IF(N56=Results!N9,1+IF(OR($O56=13,$P56=13,$Q56=13),1,0),0))</f>
        <v/>
      </c>
      <c r="AF56" s="11">
        <f t="shared" si="2"/>
        <v>0</v>
      </c>
      <c r="AG56" s="4" t="str">
        <f>IF(OR($R56="",Results!O9=""),"",ABS($R56-Results!O9))</f>
        <v/>
      </c>
      <c r="AH56" s="12">
        <v>59</v>
      </c>
      <c r="AI56" s="13" t="str">
        <f>IF(OR(B56="",Results!B9=""),"",IF(AND(B56=Results!B9,Results!B9&lt;&gt;Games!$C$57),1,0))</f>
        <v/>
      </c>
      <c r="AJ56" s="13" t="str">
        <f>IF(OR(C56="",Results!C9=""),"",IF(AND(C56=Results!C9,Results!C9&lt;&gt;Games!$C$58),1,0))</f>
        <v/>
      </c>
      <c r="AK56" s="13" t="str">
        <f>IF(OR(D56="",Results!D9=""),"",IF(AND(D56=Results!D9,Results!D9&lt;&gt;Games!$C$59),1,0))</f>
        <v/>
      </c>
      <c r="AL56" s="13" t="str">
        <f>IF(OR(E56="",Results!E9=""),"",IF(AND(E56=Results!E9,Results!E9&lt;&gt;Games!$C$60),1,0))</f>
        <v/>
      </c>
      <c r="AM56" s="13" t="str">
        <f>IF(OR(F56="",Results!F9=""),"",IF(AND(F56=Results!F9,Results!F9&lt;&gt;Games!$C$61),1,0))</f>
        <v/>
      </c>
      <c r="AN56" s="13" t="str">
        <f>IF(OR(G56="",Results!G9=""),"",IF(AND(G56=Results!G9,Results!G9&lt;&gt;Games!$C$62),1,0))</f>
        <v/>
      </c>
      <c r="AO56" s="13" t="str">
        <f>IF(OR(H56="",Results!H9=""),"",IF(AND(H56=Results!H9,Results!H9&lt;&gt;Games!$C$63),1,0))</f>
        <v/>
      </c>
      <c r="AP56" s="13" t="str">
        <f>IF(OR(I56="",Results!I9=""),"",IF(AND(I56=Results!I9,Results!I9&lt;&gt;Games!$C$64),1,0))</f>
        <v/>
      </c>
      <c r="AQ56" s="13" t="str">
        <f>IF(OR(J56="",Results!J9=""),"",IF(AND(J56=Results!J9,Results!J9&lt;&gt;Games!$C$65),1,0))</f>
        <v/>
      </c>
      <c r="AR56" s="13" t="str">
        <f>IF(OR(K56="",Results!K9=""),"",IF(AND(K56=Results!K9,Results!K9&lt;&gt;Games!$C$66),1,0))</f>
        <v/>
      </c>
      <c r="AS56" s="13" t="str">
        <f>IF(OR(L56="",Results!L9=""),"",IF(AND(L56=Results!L9,Results!L9&lt;&gt;Games!$C$67),1,0))</f>
        <v/>
      </c>
      <c r="AT56" s="13" t="str">
        <f>IF(OR(M56="",Results!M9=""),"",IF(AND(M56=Results!M9,Results!M9&lt;&gt;Games!$C$68),1,0))</f>
        <v/>
      </c>
      <c r="AU56" s="13" t="str">
        <f>IF(OR(N56="",Results!N9=""),"",IF(AND(N56=Results!N9,Results!N9&lt;&gt;Games!$C$69),1,0))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tr">
        <f>IF(OR(B57="",Results!B9=""),"",IF(B57=Results!B9,1+IF(OR($O57=1,$P57=1,$Q57=1),1,0),0))</f>
        <v/>
      </c>
      <c r="T57" s="4" t="str">
        <f>IF(OR(C57="",Results!C9=""),"",IF(C57=Results!C9,1+IF(OR($O57=2,$P57=2,$Q57=2),1,0),0))</f>
        <v/>
      </c>
      <c r="U57" s="4" t="str">
        <f>IF(OR(D57="",Results!D9=""),"",IF(D57=Results!D9,1+IF(OR($O57=3,$P57=3,$Q57=3),1,0),0))</f>
        <v/>
      </c>
      <c r="V57" s="4" t="str">
        <f>IF(OR(E57="",Results!E9=""),"",IF(E57=Results!E9,1+IF(OR($O57=4,$P57=4,$Q57=4),1,0),0))</f>
        <v/>
      </c>
      <c r="W57" s="4" t="str">
        <f>IF(OR(F57="",Results!F9=""),"",IF(F57=Results!F9,1+IF(OR($O57=5,$P57=5,$Q57=5),1,0),0))</f>
        <v/>
      </c>
      <c r="X57" s="4" t="str">
        <f>IF(OR(G57="",Results!G9=""),"",IF(G57=Results!G9,1+IF(OR($O57=6,$P57=6,$Q57=6),1,0),0))</f>
        <v/>
      </c>
      <c r="Y57" s="4" t="str">
        <f>IF(OR(H57="",Results!H9=""),"",IF(H57=Results!H9,1+IF(OR($O57=7,$P57=7,$Q57=7),1,0),0))</f>
        <v/>
      </c>
      <c r="Z57" s="4" t="str">
        <f>IF(OR(I57="",Results!I9=""),"",IF(I57=Results!I9,1+IF(OR($O57=8,$P57=8,$Q57=8),1,0),0))</f>
        <v/>
      </c>
      <c r="AA57" s="4" t="str">
        <f>IF(OR(J57="",Results!J9=""),"",IF(J57=Results!J9,1+IF(OR($O57=9,$P57=9,$Q57=9),1,0),0))</f>
        <v/>
      </c>
      <c r="AB57" s="4" t="str">
        <f>IF(OR(K57="",Results!K9=""),"",IF(K57=Results!K9,1+IF(OR($O57=10,$P57=10,$Q57=10),1,0),0))</f>
        <v/>
      </c>
      <c r="AC57" s="4" t="str">
        <f>IF(OR(L57="",Results!L9=""),"",IF(L57=Results!L9,1+IF(OR($O57=11,$P57=11,$Q57=11),1,0),0))</f>
        <v/>
      </c>
      <c r="AD57" s="4" t="str">
        <f>IF(OR(M57="",Results!M9=""),"",IF(M57=Results!M9,1+IF(OR($O57=12,$P57=12,$Q57=12),1,0),0))</f>
        <v/>
      </c>
      <c r="AE57" s="4" t="str">
        <f>IF(OR(N57="",Results!N9=""),"",IF(N57=Results!N9,1+IF(OR($O57=13,$P57=13,$Q57=13),1,0),0))</f>
        <v/>
      </c>
      <c r="AF57" s="11">
        <f t="shared" si="2"/>
        <v>0</v>
      </c>
      <c r="AG57" s="4" t="str">
        <f>IF(OR($R57="",Results!O9=""),"",ABS($R57-Results!O9))</f>
        <v/>
      </c>
      <c r="AH57" s="12">
        <v>28</v>
      </c>
      <c r="AI57" s="13" t="str">
        <f>IF(OR(B57="",Results!B9=""),"",IF(AND(B57=Results!B9,Results!B9&lt;&gt;Games!$C$57),1,0))</f>
        <v/>
      </c>
      <c r="AJ57" s="13" t="str">
        <f>IF(OR(C57="",Results!C9=""),"",IF(AND(C57=Results!C9,Results!C9&lt;&gt;Games!$C$58),1,0))</f>
        <v/>
      </c>
      <c r="AK57" s="13" t="str">
        <f>IF(OR(D57="",Results!D9=""),"",IF(AND(D57=Results!D9,Results!D9&lt;&gt;Games!$C$59),1,0))</f>
        <v/>
      </c>
      <c r="AL57" s="13" t="str">
        <f>IF(OR(E57="",Results!E9=""),"",IF(AND(E57=Results!E9,Results!E9&lt;&gt;Games!$C$60),1,0))</f>
        <v/>
      </c>
      <c r="AM57" s="13" t="str">
        <f>IF(OR(F57="",Results!F9=""),"",IF(AND(F57=Results!F9,Results!F9&lt;&gt;Games!$C$61),1,0))</f>
        <v/>
      </c>
      <c r="AN57" s="13" t="str">
        <f>IF(OR(G57="",Results!G9=""),"",IF(AND(G57=Results!G9,Results!G9&lt;&gt;Games!$C$62),1,0))</f>
        <v/>
      </c>
      <c r="AO57" s="13" t="str">
        <f>IF(OR(H57="",Results!H9=""),"",IF(AND(H57=Results!H9,Results!H9&lt;&gt;Games!$C$63),1,0))</f>
        <v/>
      </c>
      <c r="AP57" s="13" t="str">
        <f>IF(OR(I57="",Results!I9=""),"",IF(AND(I57=Results!I9,Results!I9&lt;&gt;Games!$C$64),1,0))</f>
        <v/>
      </c>
      <c r="AQ57" s="13" t="str">
        <f>IF(OR(J57="",Results!J9=""),"",IF(AND(J57=Results!J9,Results!J9&lt;&gt;Games!$C$65),1,0))</f>
        <v/>
      </c>
      <c r="AR57" s="13" t="str">
        <f>IF(OR(K57="",Results!K9=""),"",IF(AND(K57=Results!K9,Results!K9&lt;&gt;Games!$C$66),1,0))</f>
        <v/>
      </c>
      <c r="AS57" s="13" t="str">
        <f>IF(OR(L57="",Results!L9=""),"",IF(AND(L57=Results!L9,Results!L9&lt;&gt;Games!$C$67),1,0))</f>
        <v/>
      </c>
      <c r="AT57" s="13" t="str">
        <f>IF(OR(M57="",Results!M9=""),"",IF(AND(M57=Results!M9,Results!M9&lt;&gt;Games!$C$68),1,0))</f>
        <v/>
      </c>
      <c r="AU57" s="13" t="str">
        <f>IF(OR(N57="",Results!N9=""),"",IF(AND(N57=Results!N9,Results!N9&lt;&gt;Games!$C$69),1,0))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 t="str">
        <f>IF(OR(B58="",Results!B9=""),"",IF(B58=Results!B9,1+IF(OR($O58=1,$P58=1,$Q58=1),1,0),0))</f>
        <v/>
      </c>
      <c r="T58" s="4" t="str">
        <f>IF(OR(C58="",Results!C9=""),"",IF(C58=Results!C9,1+IF(OR($O58=2,$P58=2,$Q58=2),1,0),0))</f>
        <v/>
      </c>
      <c r="U58" s="4" t="str">
        <f>IF(OR(D58="",Results!D9=""),"",IF(D58=Results!D9,1+IF(OR($O58=3,$P58=3,$Q58=3),1,0),0))</f>
        <v/>
      </c>
      <c r="V58" s="4" t="str">
        <f>IF(OR(E58="",Results!E9=""),"",IF(E58=Results!E9,1+IF(OR($O58=4,$P58=4,$Q58=4),1,0),0))</f>
        <v/>
      </c>
      <c r="W58" s="4" t="str">
        <f>IF(OR(F58="",Results!F9=""),"",IF(F58=Results!F9,1+IF(OR($O58=5,$P58=5,$Q58=5),1,0),0))</f>
        <v/>
      </c>
      <c r="X58" s="4" t="str">
        <f>IF(OR(G58="",Results!G9=""),"",IF(G58=Results!G9,1+IF(OR($O58=6,$P58=6,$Q58=6),1,0),0))</f>
        <v/>
      </c>
      <c r="Y58" s="4" t="str">
        <f>IF(OR(H58="",Results!H9=""),"",IF(H58=Results!H9,1+IF(OR($O58=7,$P58=7,$Q58=7),1,0),0))</f>
        <v/>
      </c>
      <c r="Z58" s="4" t="str">
        <f>IF(OR(I58="",Results!I9=""),"",IF(I58=Results!I9,1+IF(OR($O58=8,$P58=8,$Q58=8),1,0),0))</f>
        <v/>
      </c>
      <c r="AA58" s="4" t="str">
        <f>IF(OR(J58="",Results!J9=""),"",IF(J58=Results!J9,1+IF(OR($O58=9,$P58=9,$Q58=9),1,0),0))</f>
        <v/>
      </c>
      <c r="AB58" s="4" t="str">
        <f>IF(OR(K58="",Results!K9=""),"",IF(K58=Results!K9,1+IF(OR($O58=10,$P58=10,$Q58=10),1,0),0))</f>
        <v/>
      </c>
      <c r="AC58" s="4" t="str">
        <f>IF(OR(L58="",Results!L9=""),"",IF(L58=Results!L9,1+IF(OR($O58=11,$P58=11,$Q58=11),1,0),0))</f>
        <v/>
      </c>
      <c r="AD58" s="4" t="str">
        <f>IF(OR(M58="",Results!M9=""),"",IF(M58=Results!M9,1+IF(OR($O58=12,$P58=12,$Q58=12),1,0),0))</f>
        <v/>
      </c>
      <c r="AE58" s="4" t="str">
        <f>IF(OR(N58="",Results!N9=""),"",IF(N58=Results!N9,1+IF(OR($O58=13,$P58=13,$Q58=13),1,0),0))</f>
        <v/>
      </c>
      <c r="AF58" s="11">
        <f t="shared" si="2"/>
        <v>0</v>
      </c>
      <c r="AG58" s="4" t="str">
        <f>IF(OR($R58="",Results!O9=""),"",ABS($R58-Results!O9))</f>
        <v/>
      </c>
      <c r="AH58" s="12">
        <v>29</v>
      </c>
      <c r="AI58" s="13" t="str">
        <f>IF(OR(B58="",Results!B9=""),"",IF(AND(B58=Results!B9,Results!B9&lt;&gt;Games!$C$57),1,0))</f>
        <v/>
      </c>
      <c r="AJ58" s="13" t="str">
        <f>IF(OR(C58="",Results!C9=""),"",IF(AND(C58=Results!C9,Results!C9&lt;&gt;Games!$C$58),1,0))</f>
        <v/>
      </c>
      <c r="AK58" s="13" t="str">
        <f>IF(OR(D58="",Results!D9=""),"",IF(AND(D58=Results!D9,Results!D9&lt;&gt;Games!$C$59),1,0))</f>
        <v/>
      </c>
      <c r="AL58" s="13" t="str">
        <f>IF(OR(E58="",Results!E9=""),"",IF(AND(E58=Results!E9,Results!E9&lt;&gt;Games!$C$60),1,0))</f>
        <v/>
      </c>
      <c r="AM58" s="13" t="str">
        <f>IF(OR(F58="",Results!F9=""),"",IF(AND(F58=Results!F9,Results!F9&lt;&gt;Games!$C$61),1,0))</f>
        <v/>
      </c>
      <c r="AN58" s="13" t="str">
        <f>IF(OR(G58="",Results!G9=""),"",IF(AND(G58=Results!G9,Results!G9&lt;&gt;Games!$C$62),1,0))</f>
        <v/>
      </c>
      <c r="AO58" s="13" t="str">
        <f>IF(OR(H58="",Results!H9=""),"",IF(AND(H58=Results!H9,Results!H9&lt;&gt;Games!$C$63),1,0))</f>
        <v/>
      </c>
      <c r="AP58" s="13" t="str">
        <f>IF(OR(I58="",Results!I9=""),"",IF(AND(I58=Results!I9,Results!I9&lt;&gt;Games!$C$64),1,0))</f>
        <v/>
      </c>
      <c r="AQ58" s="13" t="str">
        <f>IF(OR(J58="",Results!J9=""),"",IF(AND(J58=Results!J9,Results!J9&lt;&gt;Games!$C$65),1,0))</f>
        <v/>
      </c>
      <c r="AR58" s="13" t="str">
        <f>IF(OR(K58="",Results!K9=""),"",IF(AND(K58=Results!K9,Results!K9&lt;&gt;Games!$C$66),1,0))</f>
        <v/>
      </c>
      <c r="AS58" s="13" t="str">
        <f>IF(OR(L58="",Results!L9=""),"",IF(AND(L58=Results!L9,Results!L9&lt;&gt;Games!$C$67),1,0))</f>
        <v/>
      </c>
      <c r="AT58" s="13" t="str">
        <f>IF(OR(M58="",Results!M9=""),"",IF(AND(M58=Results!M9,Results!M9&lt;&gt;Games!$C$68),1,0))</f>
        <v/>
      </c>
      <c r="AU58" s="13" t="str">
        <f>IF(OR(N58="",Results!N9=""),"",IF(AND(N58=Results!N9,Results!N9&lt;&gt;Games!$C$69),1,0))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IF(OR(B59="",Results!B9=""),"",IF(B59=Results!B9,1+IF(OR($O59=1,$P59=1,$Q59=1),1,0),0))</f>
        <v/>
      </c>
      <c r="T59" s="4" t="str">
        <f>IF(OR(C59="",Results!C9=""),"",IF(C59=Results!C9,1+IF(OR($O59=2,$P59=2,$Q59=2),1,0),0))</f>
        <v/>
      </c>
      <c r="U59" s="4" t="str">
        <f>IF(OR(D59="",Results!D9=""),"",IF(D59=Results!D9,1+IF(OR($O59=3,$P59=3,$Q59=3),1,0),0))</f>
        <v/>
      </c>
      <c r="V59" s="4" t="str">
        <f>IF(OR(E59="",Results!E9=""),"",IF(E59=Results!E9,1+IF(OR($O59=4,$P59=4,$Q59=4),1,0),0))</f>
        <v/>
      </c>
      <c r="W59" s="4" t="str">
        <f>IF(OR(F59="",Results!F9=""),"",IF(F59=Results!F9,1+IF(OR($O59=5,$P59=5,$Q59=5),1,0),0))</f>
        <v/>
      </c>
      <c r="X59" s="4" t="str">
        <f>IF(OR(G59="",Results!G9=""),"",IF(G59=Results!G9,1+IF(OR($O59=6,$P59=6,$Q59=6),1,0),0))</f>
        <v/>
      </c>
      <c r="Y59" s="4" t="str">
        <f>IF(OR(H59="",Results!H9=""),"",IF(H59=Results!H9,1+IF(OR($O59=7,$P59=7,$Q59=7),1,0),0))</f>
        <v/>
      </c>
      <c r="Z59" s="4" t="str">
        <f>IF(OR(I59="",Results!I9=""),"",IF(I59=Results!I9,1+IF(OR($O59=8,$P59=8,$Q59=8),1,0),0))</f>
        <v/>
      </c>
      <c r="AA59" s="4" t="str">
        <f>IF(OR(J59="",Results!J9=""),"",IF(J59=Results!J9,1+IF(OR($O59=9,$P59=9,$Q59=9),1,0),0))</f>
        <v/>
      </c>
      <c r="AB59" s="4" t="str">
        <f>IF(OR(K59="",Results!K9=""),"",IF(K59=Results!K9,1+IF(OR($O59=10,$P59=10,$Q59=10),1,0),0))</f>
        <v/>
      </c>
      <c r="AC59" s="4" t="str">
        <f>IF(OR(L59="",Results!L9=""),"",IF(L59=Results!L9,1+IF(OR($O59=11,$P59=11,$Q59=11),1,0),0))</f>
        <v/>
      </c>
      <c r="AD59" s="4" t="str">
        <f>IF(OR(M59="",Results!M9=""),"",IF(M59=Results!M9,1+IF(OR($O59=12,$P59=12,$Q59=12),1,0),0))</f>
        <v/>
      </c>
      <c r="AE59" s="4" t="str">
        <f>IF(OR(N59="",Results!N9=""),"",IF(N59=Results!N9,1+IF(OR($O59=13,$P59=13,$Q59=13),1,0),0))</f>
        <v/>
      </c>
      <c r="AF59" s="11">
        <f t="shared" si="2"/>
        <v>0</v>
      </c>
      <c r="AG59" s="4" t="str">
        <f>IF(OR($R59="",Results!O9=""),"",ABS($R59-Results!O9))</f>
        <v/>
      </c>
      <c r="AH59" s="12">
        <v>51</v>
      </c>
      <c r="AI59" s="13" t="str">
        <f>IF(OR(B59="",Results!B9=""),"",IF(AND(B59=Results!B9,Results!B9&lt;&gt;Games!$C$57),1,0))</f>
        <v/>
      </c>
      <c r="AJ59" s="13" t="str">
        <f>IF(OR(C59="",Results!C9=""),"",IF(AND(C59=Results!C9,Results!C9&lt;&gt;Games!$C$58),1,0))</f>
        <v/>
      </c>
      <c r="AK59" s="13" t="str">
        <f>IF(OR(D59="",Results!D9=""),"",IF(AND(D59=Results!D9,Results!D9&lt;&gt;Games!$C$59),1,0))</f>
        <v/>
      </c>
      <c r="AL59" s="13" t="str">
        <f>IF(OR(E59="",Results!E9=""),"",IF(AND(E59=Results!E9,Results!E9&lt;&gt;Games!$C$60),1,0))</f>
        <v/>
      </c>
      <c r="AM59" s="13" t="str">
        <f>IF(OR(F59="",Results!F9=""),"",IF(AND(F59=Results!F9,Results!F9&lt;&gt;Games!$C$61),1,0))</f>
        <v/>
      </c>
      <c r="AN59" s="13" t="str">
        <f>IF(OR(G59="",Results!G9=""),"",IF(AND(G59=Results!G9,Results!G9&lt;&gt;Games!$C$62),1,0))</f>
        <v/>
      </c>
      <c r="AO59" s="13" t="str">
        <f>IF(OR(H59="",Results!H9=""),"",IF(AND(H59=Results!H9,Results!H9&lt;&gt;Games!$C$63),1,0))</f>
        <v/>
      </c>
      <c r="AP59" s="13" t="str">
        <f>IF(OR(I59="",Results!I9=""),"",IF(AND(I59=Results!I9,Results!I9&lt;&gt;Games!$C$64),1,0))</f>
        <v/>
      </c>
      <c r="AQ59" s="13" t="str">
        <f>IF(OR(J59="",Results!J9=""),"",IF(AND(J59=Results!J9,Results!J9&lt;&gt;Games!$C$65),1,0))</f>
        <v/>
      </c>
      <c r="AR59" s="13" t="str">
        <f>IF(OR(K59="",Results!K9=""),"",IF(AND(K59=Results!K9,Results!K9&lt;&gt;Games!$C$66),1,0))</f>
        <v/>
      </c>
      <c r="AS59" s="13" t="str">
        <f>IF(OR(L59="",Results!L9=""),"",IF(AND(L59=Results!L9,Results!L9&lt;&gt;Games!$C$67),1,0))</f>
        <v/>
      </c>
      <c r="AT59" s="13" t="str">
        <f>IF(OR(M59="",Results!M9=""),"",IF(AND(M59=Results!M9,Results!M9&lt;&gt;Games!$C$68),1,0))</f>
        <v/>
      </c>
      <c r="AU59" s="13" t="str">
        <f>IF(OR(N59="",Results!N9=""),"",IF(AND(N59=Results!N9,Results!N9&lt;&gt;Games!$C$69),1,0))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IF(OR(B60="",Results!B9=""),"",IF(B60=Results!B9,1+IF(OR($O60=1,$P60=1,$Q60=1),1,0),0))</f>
        <v/>
      </c>
      <c r="T60" s="4" t="str">
        <f>IF(OR(C60="",Results!C9=""),"",IF(C60=Results!C9,1+IF(OR($O60=2,$P60=2,$Q60=2),1,0),0))</f>
        <v/>
      </c>
      <c r="U60" s="4" t="str">
        <f>IF(OR(D60="",Results!D9=""),"",IF(D60=Results!D9,1+IF(OR($O60=3,$P60=3,$Q60=3),1,0),0))</f>
        <v/>
      </c>
      <c r="V60" s="4" t="str">
        <f>IF(OR(E60="",Results!E9=""),"",IF(E60=Results!E9,1+IF(OR($O60=4,$P60=4,$Q60=4),1,0),0))</f>
        <v/>
      </c>
      <c r="W60" s="4" t="str">
        <f>IF(OR(F60="",Results!F9=""),"",IF(F60=Results!F9,1+IF(OR($O60=5,$P60=5,$Q60=5),1,0),0))</f>
        <v/>
      </c>
      <c r="X60" s="4" t="str">
        <f>IF(OR(G60="",Results!G9=""),"",IF(G60=Results!G9,1+IF(OR($O60=6,$P60=6,$Q60=6),1,0),0))</f>
        <v/>
      </c>
      <c r="Y60" s="4" t="str">
        <f>IF(OR(H60="",Results!H9=""),"",IF(H60=Results!H9,1+IF(OR($O60=7,$P60=7,$Q60=7),1,0),0))</f>
        <v/>
      </c>
      <c r="Z60" s="4" t="str">
        <f>IF(OR(I60="",Results!I9=""),"",IF(I60=Results!I9,1+IF(OR($O60=8,$P60=8,$Q60=8),1,0),0))</f>
        <v/>
      </c>
      <c r="AA60" s="4" t="str">
        <f>IF(OR(J60="",Results!J9=""),"",IF(J60=Results!J9,1+IF(OR($O60=9,$P60=9,$Q60=9),1,0),0))</f>
        <v/>
      </c>
      <c r="AB60" s="4" t="str">
        <f>IF(OR(K60="",Results!K9=""),"",IF(K60=Results!K9,1+IF(OR($O60=10,$P60=10,$Q60=10),1,0),0))</f>
        <v/>
      </c>
      <c r="AC60" s="4" t="str">
        <f>IF(OR(L60="",Results!L9=""),"",IF(L60=Results!L9,1+IF(OR($O60=11,$P60=11,$Q60=11),1,0),0))</f>
        <v/>
      </c>
      <c r="AD60" s="4" t="str">
        <f>IF(OR(M60="",Results!M9=""),"",IF(M60=Results!M9,1+IF(OR($O60=12,$P60=12,$Q60=12),1,0),0))</f>
        <v/>
      </c>
      <c r="AE60" s="4" t="str">
        <f>IF(OR(N60="",Results!N9=""),"",IF(N60=Results!N9,1+IF(OR($O60=13,$P60=13,$Q60=13),1,0),0))</f>
        <v/>
      </c>
      <c r="AF60" s="11">
        <f t="shared" si="2"/>
        <v>0</v>
      </c>
      <c r="AG60" s="4" t="str">
        <f>IF(OR($R60="",Results!O9=""),"",ABS($R60-Results!O9))</f>
        <v/>
      </c>
      <c r="AH60" s="12">
        <v>45</v>
      </c>
      <c r="AI60" s="13" t="str">
        <f>IF(OR(B60="",Results!B9=""),"",IF(AND(B60=Results!B9,Results!B9&lt;&gt;Games!$C$57),1,0))</f>
        <v/>
      </c>
      <c r="AJ60" s="13" t="str">
        <f>IF(OR(C60="",Results!C9=""),"",IF(AND(C60=Results!C9,Results!C9&lt;&gt;Games!$C$58),1,0))</f>
        <v/>
      </c>
      <c r="AK60" s="13" t="str">
        <f>IF(OR(D60="",Results!D9=""),"",IF(AND(D60=Results!D9,Results!D9&lt;&gt;Games!$C$59),1,0))</f>
        <v/>
      </c>
      <c r="AL60" s="13" t="str">
        <f>IF(OR(E60="",Results!E9=""),"",IF(AND(E60=Results!E9,Results!E9&lt;&gt;Games!$C$60),1,0))</f>
        <v/>
      </c>
      <c r="AM60" s="13" t="str">
        <f>IF(OR(F60="",Results!F9=""),"",IF(AND(F60=Results!F9,Results!F9&lt;&gt;Games!$C$61),1,0))</f>
        <v/>
      </c>
      <c r="AN60" s="13" t="str">
        <f>IF(OR(G60="",Results!G9=""),"",IF(AND(G60=Results!G9,Results!G9&lt;&gt;Games!$C$62),1,0))</f>
        <v/>
      </c>
      <c r="AO60" s="13" t="str">
        <f>IF(OR(H60="",Results!H9=""),"",IF(AND(H60=Results!H9,Results!H9&lt;&gt;Games!$C$63),1,0))</f>
        <v/>
      </c>
      <c r="AP60" s="13" t="str">
        <f>IF(OR(I60="",Results!I9=""),"",IF(AND(I60=Results!I9,Results!I9&lt;&gt;Games!$C$64),1,0))</f>
        <v/>
      </c>
      <c r="AQ60" s="13" t="str">
        <f>IF(OR(J60="",Results!J9=""),"",IF(AND(J60=Results!J9,Results!J9&lt;&gt;Games!$C$65),1,0))</f>
        <v/>
      </c>
      <c r="AR60" s="13" t="str">
        <f>IF(OR(K60="",Results!K9=""),"",IF(AND(K60=Results!K9,Results!K9&lt;&gt;Games!$C$66),1,0))</f>
        <v/>
      </c>
      <c r="AS60" s="13" t="str">
        <f>IF(OR(L60="",Results!L9=""),"",IF(AND(L60=Results!L9,Results!L9&lt;&gt;Games!$C$67),1,0))</f>
        <v/>
      </c>
      <c r="AT60" s="13" t="str">
        <f>IF(OR(M60="",Results!M9=""),"",IF(AND(M60=Results!M9,Results!M9&lt;&gt;Games!$C$68),1,0))</f>
        <v/>
      </c>
      <c r="AU60" s="13" t="str">
        <f>IF(OR(N60="",Results!N9=""),"",IF(AND(N60=Results!N9,Results!N9&lt;&gt;Games!$C$69),1,0))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 t="str">
        <f>IF(OR(B61="",Results!B9=""),"",IF(B61=Results!B9,1+IF(OR($O61=1,$P61=1,$Q61=1),1,0),0))</f>
        <v/>
      </c>
      <c r="T61" s="4" t="str">
        <f>IF(OR(C61="",Results!C9=""),"",IF(C61=Results!C9,1+IF(OR($O61=2,$P61=2,$Q61=2),1,0),0))</f>
        <v/>
      </c>
      <c r="U61" s="4" t="str">
        <f>IF(OR(D61="",Results!D9=""),"",IF(D61=Results!D9,1+IF(OR($O61=3,$P61=3,$Q61=3),1,0),0))</f>
        <v/>
      </c>
      <c r="V61" s="4" t="str">
        <f>IF(OR(E61="",Results!E9=""),"",IF(E61=Results!E9,1+IF(OR($O61=4,$P61=4,$Q61=4),1,0),0))</f>
        <v/>
      </c>
      <c r="W61" s="4" t="str">
        <f>IF(OR(F61="",Results!F9=""),"",IF(F61=Results!F9,1+IF(OR($O61=5,$P61=5,$Q61=5),1,0),0))</f>
        <v/>
      </c>
      <c r="X61" s="4" t="str">
        <f>IF(OR(G61="",Results!G9=""),"",IF(G61=Results!G9,1+IF(OR($O61=6,$P61=6,$Q61=6),1,0),0))</f>
        <v/>
      </c>
      <c r="Y61" s="4" t="str">
        <f>IF(OR(H61="",Results!H9=""),"",IF(H61=Results!H9,1+IF(OR($O61=7,$P61=7,$Q61=7),1,0),0))</f>
        <v/>
      </c>
      <c r="Z61" s="4" t="str">
        <f>IF(OR(I61="",Results!I9=""),"",IF(I61=Results!I9,1+IF(OR($O61=8,$P61=8,$Q61=8),1,0),0))</f>
        <v/>
      </c>
      <c r="AA61" s="4" t="str">
        <f>IF(OR(J61="",Results!J9=""),"",IF(J61=Results!J9,1+IF(OR($O61=9,$P61=9,$Q61=9),1,0),0))</f>
        <v/>
      </c>
      <c r="AB61" s="4" t="str">
        <f>IF(OR(K61="",Results!K9=""),"",IF(K61=Results!K9,1+IF(OR($O61=10,$P61=10,$Q61=10),1,0),0))</f>
        <v/>
      </c>
      <c r="AC61" s="4" t="str">
        <f>IF(OR(L61="",Results!L9=""),"",IF(L61=Results!L9,1+IF(OR($O61=11,$P61=11,$Q61=11),1,0),0))</f>
        <v/>
      </c>
      <c r="AD61" s="4" t="str">
        <f>IF(OR(M61="",Results!M9=""),"",IF(M61=Results!M9,1+IF(OR($O61=12,$P61=12,$Q61=12),1,0),0))</f>
        <v/>
      </c>
      <c r="AE61" s="4" t="str">
        <f>IF(OR(N61="",Results!N9=""),"",IF(N61=Results!N9,1+IF(OR($O61=13,$P61=13,$Q61=13),1,0),0))</f>
        <v/>
      </c>
      <c r="AF61" s="11">
        <f t="shared" si="2"/>
        <v>0</v>
      </c>
      <c r="AG61" s="4" t="str">
        <f>IF(OR($R61="",Results!O9=""),"",ABS($R61-Results!O9))</f>
        <v/>
      </c>
      <c r="AH61" s="12">
        <v>30</v>
      </c>
      <c r="AI61" s="13" t="str">
        <f>IF(OR(B61="",Results!B9=""),"",IF(AND(B61=Results!B9,Results!B9&lt;&gt;Games!$C$57),1,0))</f>
        <v/>
      </c>
      <c r="AJ61" s="13" t="str">
        <f>IF(OR(C61="",Results!C9=""),"",IF(AND(C61=Results!C9,Results!C9&lt;&gt;Games!$C$58),1,0))</f>
        <v/>
      </c>
      <c r="AK61" s="13" t="str">
        <f>IF(OR(D61="",Results!D9=""),"",IF(AND(D61=Results!D9,Results!D9&lt;&gt;Games!$C$59),1,0))</f>
        <v/>
      </c>
      <c r="AL61" s="13" t="str">
        <f>IF(OR(E61="",Results!E9=""),"",IF(AND(E61=Results!E9,Results!E9&lt;&gt;Games!$C$60),1,0))</f>
        <v/>
      </c>
      <c r="AM61" s="13" t="str">
        <f>IF(OR(F61="",Results!F9=""),"",IF(AND(F61=Results!F9,Results!F9&lt;&gt;Games!$C$61),1,0))</f>
        <v/>
      </c>
      <c r="AN61" s="13" t="str">
        <f>IF(OR(G61="",Results!G9=""),"",IF(AND(G61=Results!G9,Results!G9&lt;&gt;Games!$C$62),1,0))</f>
        <v/>
      </c>
      <c r="AO61" s="13" t="str">
        <f>IF(OR(H61="",Results!H9=""),"",IF(AND(H61=Results!H9,Results!H9&lt;&gt;Games!$C$63),1,0))</f>
        <v/>
      </c>
      <c r="AP61" s="13" t="str">
        <f>IF(OR(I61="",Results!I9=""),"",IF(AND(I61=Results!I9,Results!I9&lt;&gt;Games!$C$64),1,0))</f>
        <v/>
      </c>
      <c r="AQ61" s="13" t="str">
        <f>IF(OR(J61="",Results!J9=""),"",IF(AND(J61=Results!J9,Results!J9&lt;&gt;Games!$C$65),1,0))</f>
        <v/>
      </c>
      <c r="AR61" s="13" t="str">
        <f>IF(OR(K61="",Results!K9=""),"",IF(AND(K61=Results!K9,Results!K9&lt;&gt;Games!$C$66),1,0))</f>
        <v/>
      </c>
      <c r="AS61" s="13" t="str">
        <f>IF(OR(L61="",Results!L9=""),"",IF(AND(L61=Results!L9,Results!L9&lt;&gt;Games!$C$67),1,0))</f>
        <v/>
      </c>
      <c r="AT61" s="13" t="str">
        <f>IF(OR(M61="",Results!M9=""),"",IF(AND(M61=Results!M9,Results!M9&lt;&gt;Games!$C$68),1,0))</f>
        <v/>
      </c>
      <c r="AU61" s="13" t="str">
        <f>IF(OR(N61="",Results!N9=""),"",IF(AND(N61=Results!N9,Results!N9&lt;&gt;Games!$C$69),1,0))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IF(OR(B62="",Results!B9=""),"",IF(B62=Results!B9,1+IF(OR($O62=1,$P62=1,$Q62=1),1,0),0))</f>
        <v/>
      </c>
      <c r="T62" s="4" t="str">
        <f>IF(OR(C62="",Results!C9=""),"",IF(C62=Results!C9,1+IF(OR($O62=2,$P62=2,$Q62=2),1,0),0))</f>
        <v/>
      </c>
      <c r="U62" s="4" t="str">
        <f>IF(OR(D62="",Results!D9=""),"",IF(D62=Results!D9,1+IF(OR($O62=3,$P62=3,$Q62=3),1,0),0))</f>
        <v/>
      </c>
      <c r="V62" s="4" t="str">
        <f>IF(OR(E62="",Results!E9=""),"",IF(E62=Results!E9,1+IF(OR($O62=4,$P62=4,$Q62=4),1,0),0))</f>
        <v/>
      </c>
      <c r="W62" s="4" t="str">
        <f>IF(OR(F62="",Results!F9=""),"",IF(F62=Results!F9,1+IF(OR($O62=5,$P62=5,$Q62=5),1,0),0))</f>
        <v/>
      </c>
      <c r="X62" s="4" t="str">
        <f>IF(OR(G62="",Results!G9=""),"",IF(G62=Results!G9,1+IF(OR($O62=6,$P62=6,$Q62=6),1,0),0))</f>
        <v/>
      </c>
      <c r="Y62" s="4" t="str">
        <f>IF(OR(H62="",Results!H9=""),"",IF(H62=Results!H9,1+IF(OR($O62=7,$P62=7,$Q62=7),1,0),0))</f>
        <v/>
      </c>
      <c r="Z62" s="4" t="str">
        <f>IF(OR(I62="",Results!I9=""),"",IF(I62=Results!I9,1+IF(OR($O62=8,$P62=8,$Q62=8),1,0),0))</f>
        <v/>
      </c>
      <c r="AA62" s="4" t="str">
        <f>IF(OR(J62="",Results!J9=""),"",IF(J62=Results!J9,1+IF(OR($O62=9,$P62=9,$Q62=9),1,0),0))</f>
        <v/>
      </c>
      <c r="AB62" s="4" t="str">
        <f>IF(OR(K62="",Results!K9=""),"",IF(K62=Results!K9,1+IF(OR($O62=10,$P62=10,$Q62=10),1,0),0))</f>
        <v/>
      </c>
      <c r="AC62" s="4" t="str">
        <f>IF(OR(L62="",Results!L9=""),"",IF(L62=Results!L9,1+IF(OR($O62=11,$P62=11,$Q62=11),1,0),0))</f>
        <v/>
      </c>
      <c r="AD62" s="4" t="str">
        <f>IF(OR(M62="",Results!M9=""),"",IF(M62=Results!M9,1+IF(OR($O62=12,$P62=12,$Q62=12),1,0),0))</f>
        <v/>
      </c>
      <c r="AE62" s="4" t="str">
        <f>IF(OR(N62="",Results!N9=""),"",IF(N62=Results!N9,1+IF(OR($O62=13,$P62=13,$Q62=13),1,0),0))</f>
        <v/>
      </c>
      <c r="AF62" s="11">
        <f t="shared" si="2"/>
        <v>0</v>
      </c>
      <c r="AG62" s="4" t="str">
        <f>IF(OR($R62="",Results!O9=""),"",ABS($R62-Results!O9))</f>
        <v/>
      </c>
      <c r="AH62" s="12">
        <v>31</v>
      </c>
      <c r="AI62" s="13" t="str">
        <f>IF(OR(B62="",Results!B9=""),"",IF(AND(B62=Results!B9,Results!B9&lt;&gt;Games!$C$57),1,0))</f>
        <v/>
      </c>
      <c r="AJ62" s="13" t="str">
        <f>IF(OR(C62="",Results!C9=""),"",IF(AND(C62=Results!C9,Results!C9&lt;&gt;Games!$C$58),1,0))</f>
        <v/>
      </c>
      <c r="AK62" s="13" t="str">
        <f>IF(OR(D62="",Results!D9=""),"",IF(AND(D62=Results!D9,Results!D9&lt;&gt;Games!$C$59),1,0))</f>
        <v/>
      </c>
      <c r="AL62" s="13" t="str">
        <f>IF(OR(E62="",Results!E9=""),"",IF(AND(E62=Results!E9,Results!E9&lt;&gt;Games!$C$60),1,0))</f>
        <v/>
      </c>
      <c r="AM62" s="13" t="str">
        <f>IF(OR(F62="",Results!F9=""),"",IF(AND(F62=Results!F9,Results!F9&lt;&gt;Games!$C$61),1,0))</f>
        <v/>
      </c>
      <c r="AN62" s="13" t="str">
        <f>IF(OR(G62="",Results!G9=""),"",IF(AND(G62=Results!G9,Results!G9&lt;&gt;Games!$C$62),1,0))</f>
        <v/>
      </c>
      <c r="AO62" s="13" t="str">
        <f>IF(OR(H62="",Results!H9=""),"",IF(AND(H62=Results!H9,Results!H9&lt;&gt;Games!$C$63),1,0))</f>
        <v/>
      </c>
      <c r="AP62" s="13" t="str">
        <f>IF(OR(I62="",Results!I9=""),"",IF(AND(I62=Results!I9,Results!I9&lt;&gt;Games!$C$64),1,0))</f>
        <v/>
      </c>
      <c r="AQ62" s="13" t="str">
        <f>IF(OR(J62="",Results!J9=""),"",IF(AND(J62=Results!J9,Results!J9&lt;&gt;Games!$C$65),1,0))</f>
        <v/>
      </c>
      <c r="AR62" s="13" t="str">
        <f>IF(OR(K62="",Results!K9=""),"",IF(AND(K62=Results!K9,Results!K9&lt;&gt;Games!$C$66),1,0))</f>
        <v/>
      </c>
      <c r="AS62" s="13" t="str">
        <f>IF(OR(L62="",Results!L9=""),"",IF(AND(L62=Results!L9,Results!L9&lt;&gt;Games!$C$67),1,0))</f>
        <v/>
      </c>
      <c r="AT62" s="13" t="str">
        <f>IF(OR(M62="",Results!M9=""),"",IF(AND(M62=Results!M9,Results!M9&lt;&gt;Games!$C$68),1,0))</f>
        <v/>
      </c>
      <c r="AU62" s="13" t="str">
        <f>IF(OR(N62="",Results!N9=""),"",IF(AND(N62=Results!N9,Results!N9&lt;&gt;Games!$C$69),1,0))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 t="str">
        <f>IF(OR(B63="",Results!B9=""),"",IF(B63=Results!B9,1+IF(OR($O63=1,$P63=1,$Q63=1),1,0),0))</f>
        <v/>
      </c>
      <c r="T63" s="4" t="str">
        <f>IF(OR(C63="",Results!C9=""),"",IF(C63=Results!C9,1+IF(OR($O63=2,$P63=2,$Q63=2),1,0),0))</f>
        <v/>
      </c>
      <c r="U63" s="4" t="str">
        <f>IF(OR(D63="",Results!D9=""),"",IF(D63=Results!D9,1+IF(OR($O63=3,$P63=3,$Q63=3),1,0),0))</f>
        <v/>
      </c>
      <c r="V63" s="4" t="str">
        <f>IF(OR(E63="",Results!E9=""),"",IF(E63=Results!E9,1+IF(OR($O63=4,$P63=4,$Q63=4),1,0),0))</f>
        <v/>
      </c>
      <c r="W63" s="4" t="str">
        <f>IF(OR(F63="",Results!F9=""),"",IF(F63=Results!F9,1+IF(OR($O63=5,$P63=5,$Q63=5),1,0),0))</f>
        <v/>
      </c>
      <c r="X63" s="4" t="str">
        <f>IF(OR(G63="",Results!G9=""),"",IF(G63=Results!G9,1+IF(OR($O63=6,$P63=6,$Q63=6),1,0),0))</f>
        <v/>
      </c>
      <c r="Y63" s="4" t="str">
        <f>IF(OR(H63="",Results!H9=""),"",IF(H63=Results!H9,1+IF(OR($O63=7,$P63=7,$Q63=7),1,0),0))</f>
        <v/>
      </c>
      <c r="Z63" s="4" t="str">
        <f>IF(OR(I63="",Results!I9=""),"",IF(I63=Results!I9,1+IF(OR($O63=8,$P63=8,$Q63=8),1,0),0))</f>
        <v/>
      </c>
      <c r="AA63" s="4" t="str">
        <f>IF(OR(J63="",Results!J9=""),"",IF(J63=Results!J9,1+IF(OR($O63=9,$P63=9,$Q63=9),1,0),0))</f>
        <v/>
      </c>
      <c r="AB63" s="4" t="str">
        <f>IF(OR(K63="",Results!K9=""),"",IF(K63=Results!K9,1+IF(OR($O63=10,$P63=10,$Q63=10),1,0),0))</f>
        <v/>
      </c>
      <c r="AC63" s="4" t="str">
        <f>IF(OR(L63="",Results!L9=""),"",IF(L63=Results!L9,1+IF(OR($O63=11,$P63=11,$Q63=11),1,0),0))</f>
        <v/>
      </c>
      <c r="AD63" s="4" t="str">
        <f>IF(OR(M63="",Results!M9=""),"",IF(M63=Results!M9,1+IF(OR($O63=12,$P63=12,$Q63=12),1,0),0))</f>
        <v/>
      </c>
      <c r="AE63" s="4" t="str">
        <f>IF(OR(N63="",Results!N9=""),"",IF(N63=Results!N9,1+IF(OR($O63=13,$P63=13,$Q63=13),1,0),0))</f>
        <v/>
      </c>
      <c r="AF63" s="11">
        <f t="shared" si="2"/>
        <v>0</v>
      </c>
      <c r="AG63" s="4" t="str">
        <f>IF(OR($R63="",Results!O9=""),"",ABS($R63-Results!O9))</f>
        <v/>
      </c>
      <c r="AH63" s="12">
        <v>32</v>
      </c>
      <c r="AI63" s="13" t="str">
        <f>IF(OR(B63="",Results!B9=""),"",IF(AND(B63=Results!B9,Results!B9&lt;&gt;Games!$C$57),1,0))</f>
        <v/>
      </c>
      <c r="AJ63" s="13" t="str">
        <f>IF(OR(C63="",Results!C9=""),"",IF(AND(C63=Results!C9,Results!C9&lt;&gt;Games!$C$58),1,0))</f>
        <v/>
      </c>
      <c r="AK63" s="13" t="str">
        <f>IF(OR(D63="",Results!D9=""),"",IF(AND(D63=Results!D9,Results!D9&lt;&gt;Games!$C$59),1,0))</f>
        <v/>
      </c>
      <c r="AL63" s="13" t="str">
        <f>IF(OR(E63="",Results!E9=""),"",IF(AND(E63=Results!E9,Results!E9&lt;&gt;Games!$C$60),1,0))</f>
        <v/>
      </c>
      <c r="AM63" s="13" t="str">
        <f>IF(OR(F63="",Results!F9=""),"",IF(AND(F63=Results!F9,Results!F9&lt;&gt;Games!$C$61),1,0))</f>
        <v/>
      </c>
      <c r="AN63" s="13" t="str">
        <f>IF(OR(G63="",Results!G9=""),"",IF(AND(G63=Results!G9,Results!G9&lt;&gt;Games!$C$62),1,0))</f>
        <v/>
      </c>
      <c r="AO63" s="13" t="str">
        <f>IF(OR(H63="",Results!H9=""),"",IF(AND(H63=Results!H9,Results!H9&lt;&gt;Games!$C$63),1,0))</f>
        <v/>
      </c>
      <c r="AP63" s="13" t="str">
        <f>IF(OR(I63="",Results!I9=""),"",IF(AND(I63=Results!I9,Results!I9&lt;&gt;Games!$C$64),1,0))</f>
        <v/>
      </c>
      <c r="AQ63" s="13" t="str">
        <f>IF(OR(J63="",Results!J9=""),"",IF(AND(J63=Results!J9,Results!J9&lt;&gt;Games!$C$65),1,0))</f>
        <v/>
      </c>
      <c r="AR63" s="13" t="str">
        <f>IF(OR(K63="",Results!K9=""),"",IF(AND(K63=Results!K9,Results!K9&lt;&gt;Games!$C$66),1,0))</f>
        <v/>
      </c>
      <c r="AS63" s="13" t="str">
        <f>IF(OR(L63="",Results!L9=""),"",IF(AND(L63=Results!L9,Results!L9&lt;&gt;Games!$C$67),1,0))</f>
        <v/>
      </c>
      <c r="AT63" s="13" t="str">
        <f>IF(OR(M63="",Results!M9=""),"",IF(AND(M63=Results!M9,Results!M9&lt;&gt;Games!$C$68),1,0))</f>
        <v/>
      </c>
      <c r="AU63" s="13" t="str">
        <f>IF(OR(N63="",Results!N9=""),"",IF(AND(N63=Results!N9,Results!N9&lt;&gt;Games!$C$69),1,0))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 t="str">
        <f>IF(OR(B64="",Results!B9=""),"",IF(B64=Results!B9,1+IF(OR($O64=1,$P64=1,$Q64=1),1,0),0))</f>
        <v/>
      </c>
      <c r="T64" s="4" t="str">
        <f>IF(OR(C64="",Results!C9=""),"",IF(C64=Results!C9,1+IF(OR($O64=2,$P64=2,$Q64=2),1,0),0))</f>
        <v/>
      </c>
      <c r="U64" s="4" t="str">
        <f>IF(OR(D64="",Results!D9=""),"",IF(D64=Results!D9,1+IF(OR($O64=3,$P64=3,$Q64=3),1,0),0))</f>
        <v/>
      </c>
      <c r="V64" s="4" t="str">
        <f>IF(OR(E64="",Results!E9=""),"",IF(E64=Results!E9,1+IF(OR($O64=4,$P64=4,$Q64=4),1,0),0))</f>
        <v/>
      </c>
      <c r="W64" s="4" t="str">
        <f>IF(OR(F64="",Results!F9=""),"",IF(F64=Results!F9,1+IF(OR($O64=5,$P64=5,$Q64=5),1,0),0))</f>
        <v/>
      </c>
      <c r="X64" s="4" t="str">
        <f>IF(OR(G64="",Results!G9=""),"",IF(G64=Results!G9,1+IF(OR($O64=6,$P64=6,$Q64=6),1,0),0))</f>
        <v/>
      </c>
      <c r="Y64" s="4" t="str">
        <f>IF(OR(H64="",Results!H9=""),"",IF(H64=Results!H9,1+IF(OR($O64=7,$P64=7,$Q64=7),1,0),0))</f>
        <v/>
      </c>
      <c r="Z64" s="4" t="str">
        <f>IF(OR(I64="",Results!I9=""),"",IF(I64=Results!I9,1+IF(OR($O64=8,$P64=8,$Q64=8),1,0),0))</f>
        <v/>
      </c>
      <c r="AA64" s="4" t="str">
        <f>IF(OR(J64="",Results!J9=""),"",IF(J64=Results!J9,1+IF(OR($O64=9,$P64=9,$Q64=9),1,0),0))</f>
        <v/>
      </c>
      <c r="AB64" s="4" t="str">
        <f>IF(OR(K64="",Results!K9=""),"",IF(K64=Results!K9,1+IF(OR($O64=10,$P64=10,$Q64=10),1,0),0))</f>
        <v/>
      </c>
      <c r="AC64" s="4" t="str">
        <f>IF(OR(L64="",Results!L9=""),"",IF(L64=Results!L9,1+IF(OR($O64=11,$P64=11,$Q64=11),1,0),0))</f>
        <v/>
      </c>
      <c r="AD64" s="4" t="str">
        <f>IF(OR(M64="",Results!M9=""),"",IF(M64=Results!M9,1+IF(OR($O64=12,$P64=12,$Q64=12),1,0),0))</f>
        <v/>
      </c>
      <c r="AE64" s="4" t="str">
        <f>IF(OR(N64="",Results!N9=""),"",IF(N64=Results!N9,1+IF(OR($O64=13,$P64=13,$Q64=13),1,0),0))</f>
        <v/>
      </c>
      <c r="AF64" s="11">
        <f t="shared" si="2"/>
        <v>0</v>
      </c>
      <c r="AG64" s="4" t="str">
        <f>IF(OR($R64="",Results!O9=""),"",ABS($R64-Results!O9))</f>
        <v/>
      </c>
      <c r="AH64" s="12">
        <v>46</v>
      </c>
      <c r="AI64" s="13" t="str">
        <f>IF(OR(B64="",Results!B9=""),"",IF(AND(B64=Results!B9,Results!B9&lt;&gt;Games!$C$57),1,0))</f>
        <v/>
      </c>
      <c r="AJ64" s="13" t="str">
        <f>IF(OR(C64="",Results!C9=""),"",IF(AND(C64=Results!C9,Results!C9&lt;&gt;Games!$C$58),1,0))</f>
        <v/>
      </c>
      <c r="AK64" s="13" t="str">
        <f>IF(OR(D64="",Results!D9=""),"",IF(AND(D64=Results!D9,Results!D9&lt;&gt;Games!$C$59),1,0))</f>
        <v/>
      </c>
      <c r="AL64" s="13" t="str">
        <f>IF(OR(E64="",Results!E9=""),"",IF(AND(E64=Results!E9,Results!E9&lt;&gt;Games!$C$60),1,0))</f>
        <v/>
      </c>
      <c r="AM64" s="13" t="str">
        <f>IF(OR(F64="",Results!F9=""),"",IF(AND(F64=Results!F9,Results!F9&lt;&gt;Games!$C$61),1,0))</f>
        <v/>
      </c>
      <c r="AN64" s="13" t="str">
        <f>IF(OR(G64="",Results!G9=""),"",IF(AND(G64=Results!G9,Results!G9&lt;&gt;Games!$C$62),1,0))</f>
        <v/>
      </c>
      <c r="AO64" s="13" t="str">
        <f>IF(OR(H64="",Results!H9=""),"",IF(AND(H64=Results!H9,Results!H9&lt;&gt;Games!$C$63),1,0))</f>
        <v/>
      </c>
      <c r="AP64" s="13" t="str">
        <f>IF(OR(I64="",Results!I9=""),"",IF(AND(I64=Results!I9,Results!I9&lt;&gt;Games!$C$64),1,0))</f>
        <v/>
      </c>
      <c r="AQ64" s="13" t="str">
        <f>IF(OR(J64="",Results!J9=""),"",IF(AND(J64=Results!J9,Results!J9&lt;&gt;Games!$C$65),1,0))</f>
        <v/>
      </c>
      <c r="AR64" s="13" t="str">
        <f>IF(OR(K64="",Results!K9=""),"",IF(AND(K64=Results!K9,Results!K9&lt;&gt;Games!$C$66),1,0))</f>
        <v/>
      </c>
      <c r="AS64" s="13" t="str">
        <f>IF(OR(L64="",Results!L9=""),"",IF(AND(L64=Results!L9,Results!L9&lt;&gt;Games!$C$67),1,0))</f>
        <v/>
      </c>
      <c r="AT64" s="13" t="str">
        <f>IF(OR(M64="",Results!M9=""),"",IF(AND(M64=Results!M9,Results!M9&lt;&gt;Games!$C$68),1,0))</f>
        <v/>
      </c>
      <c r="AU64" s="13" t="str">
        <f>IF(OR(N64="",Results!N9=""),"",IF(AND(N64=Results!N9,Results!N9&lt;&gt;Games!$C$69),1,0))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IF(OR(B65="",Results!B9=""),"",IF(B65=Results!B9,1+IF(OR($O65=1,$P65=1,$Q65=1),1,0),0))</f>
        <v/>
      </c>
      <c r="T65" s="4" t="str">
        <f>IF(OR(C65="",Results!C9=""),"",IF(C65=Results!C9,1+IF(OR($O65=2,$P65=2,$Q65=2),1,0),0))</f>
        <v/>
      </c>
      <c r="U65" s="4" t="str">
        <f>IF(OR(D65="",Results!D9=""),"",IF(D65=Results!D9,1+IF(OR($O65=3,$P65=3,$Q65=3),1,0),0))</f>
        <v/>
      </c>
      <c r="V65" s="4" t="str">
        <f>IF(OR(E65="",Results!E9=""),"",IF(E65=Results!E9,1+IF(OR($O65=4,$P65=4,$Q65=4),1,0),0))</f>
        <v/>
      </c>
      <c r="W65" s="4" t="str">
        <f>IF(OR(F65="",Results!F9=""),"",IF(F65=Results!F9,1+IF(OR($O65=5,$P65=5,$Q65=5),1,0),0))</f>
        <v/>
      </c>
      <c r="X65" s="4" t="str">
        <f>IF(OR(G65="",Results!G9=""),"",IF(G65=Results!G9,1+IF(OR($O65=6,$P65=6,$Q65=6),1,0),0))</f>
        <v/>
      </c>
      <c r="Y65" s="4" t="str">
        <f>IF(OR(H65="",Results!H9=""),"",IF(H65=Results!H9,1+IF(OR($O65=7,$P65=7,$Q65=7),1,0),0))</f>
        <v/>
      </c>
      <c r="Z65" s="4" t="str">
        <f>IF(OR(I65="",Results!I9=""),"",IF(I65=Results!I9,1+IF(OR($O65=8,$P65=8,$Q65=8),1,0),0))</f>
        <v/>
      </c>
      <c r="AA65" s="4" t="str">
        <f>IF(OR(J65="",Results!J9=""),"",IF(J65=Results!J9,1+IF(OR($O65=9,$P65=9,$Q65=9),1,0),0))</f>
        <v/>
      </c>
      <c r="AB65" s="4" t="str">
        <f>IF(OR(K65="",Results!K9=""),"",IF(K65=Results!K9,1+IF(OR($O65=10,$P65=10,$Q65=10),1,0),0))</f>
        <v/>
      </c>
      <c r="AC65" s="4" t="str">
        <f>IF(OR(L65="",Results!L9=""),"",IF(L65=Results!L9,1+IF(OR($O65=11,$P65=11,$Q65=11),1,0),0))</f>
        <v/>
      </c>
      <c r="AD65" s="4" t="str">
        <f>IF(OR(M65="",Results!M9=""),"",IF(M65=Results!M9,1+IF(OR($O65=12,$P65=12,$Q65=12),1,0),0))</f>
        <v/>
      </c>
      <c r="AE65" s="4" t="str">
        <f>IF(OR(N65="",Results!N9=""),"",IF(N65=Results!N9,1+IF(OR($O65=13,$P65=13,$Q65=13),1,0),0))</f>
        <v/>
      </c>
      <c r="AF65" s="11">
        <f t="shared" si="2"/>
        <v>0</v>
      </c>
      <c r="AG65" s="4" t="str">
        <f>IF(OR($R65="",Results!O9=""),"",ABS($R65-Results!O9))</f>
        <v/>
      </c>
      <c r="AH65" s="12">
        <v>33</v>
      </c>
      <c r="AI65" s="13" t="str">
        <f>IF(OR(B65="",Results!B9=""),"",IF(AND(B65=Results!B9,Results!B9&lt;&gt;Games!$C$57),1,0))</f>
        <v/>
      </c>
      <c r="AJ65" s="13" t="str">
        <f>IF(OR(C65="",Results!C9=""),"",IF(AND(C65=Results!C9,Results!C9&lt;&gt;Games!$C$58),1,0))</f>
        <v/>
      </c>
      <c r="AK65" s="13" t="str">
        <f>IF(OR(D65="",Results!D9=""),"",IF(AND(D65=Results!D9,Results!D9&lt;&gt;Games!$C$59),1,0))</f>
        <v/>
      </c>
      <c r="AL65" s="13" t="str">
        <f>IF(OR(E65="",Results!E9=""),"",IF(AND(E65=Results!E9,Results!E9&lt;&gt;Games!$C$60),1,0))</f>
        <v/>
      </c>
      <c r="AM65" s="13" t="str">
        <f>IF(OR(F65="",Results!F9=""),"",IF(AND(F65=Results!F9,Results!F9&lt;&gt;Games!$C$61),1,0))</f>
        <v/>
      </c>
      <c r="AN65" s="13" t="str">
        <f>IF(OR(G65="",Results!G9=""),"",IF(AND(G65=Results!G9,Results!G9&lt;&gt;Games!$C$62),1,0))</f>
        <v/>
      </c>
      <c r="AO65" s="13" t="str">
        <f>IF(OR(H65="",Results!H9=""),"",IF(AND(H65=Results!H9,Results!H9&lt;&gt;Games!$C$63),1,0))</f>
        <v/>
      </c>
      <c r="AP65" s="13" t="str">
        <f>IF(OR(I65="",Results!I9=""),"",IF(AND(I65=Results!I9,Results!I9&lt;&gt;Games!$C$64),1,0))</f>
        <v/>
      </c>
      <c r="AQ65" s="13" t="str">
        <f>IF(OR(J65="",Results!J9=""),"",IF(AND(J65=Results!J9,Results!J9&lt;&gt;Games!$C$65),1,0))</f>
        <v/>
      </c>
      <c r="AR65" s="13" t="str">
        <f>IF(OR(K65="",Results!K9=""),"",IF(AND(K65=Results!K9,Results!K9&lt;&gt;Games!$C$66),1,0))</f>
        <v/>
      </c>
      <c r="AS65" s="13" t="str">
        <f>IF(OR(L65="",Results!L9=""),"",IF(AND(L65=Results!L9,Results!L9&lt;&gt;Games!$C$67),1,0))</f>
        <v/>
      </c>
      <c r="AT65" s="13" t="str">
        <f>IF(OR(M65="",Results!M9=""),"",IF(AND(M65=Results!M9,Results!M9&lt;&gt;Games!$C$68),1,0))</f>
        <v/>
      </c>
      <c r="AU65" s="13" t="str">
        <f>IF(OR(N65="",Results!N9=""),"",IF(AND(N65=Results!N9,Results!N9&lt;&gt;Games!$C$69),1,0))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6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600-000001000000}">
          <x14:formula1>
            <xm:f>Games!$C$57:$D$57</xm:f>
          </x14:formula1>
          <x14:formula2>
            <xm:f>0</xm:f>
          </x14:formula2>
          <xm:sqref>B6:B65</xm:sqref>
        </x14:dataValidation>
        <x14:dataValidation type="list" allowBlank="1" xr:uid="{00000000-0002-0000-0600-000002000000}">
          <x14:formula1>
            <xm:f>Games!$C$58:$D$58</xm:f>
          </x14:formula1>
          <x14:formula2>
            <xm:f>0</xm:f>
          </x14:formula2>
          <xm:sqref>C6:C65</xm:sqref>
        </x14:dataValidation>
        <x14:dataValidation type="list" allowBlank="1" xr:uid="{00000000-0002-0000-0600-000003000000}">
          <x14:formula1>
            <xm:f>Games!$C$59:$D$59</xm:f>
          </x14:formula1>
          <x14:formula2>
            <xm:f>0</xm:f>
          </x14:formula2>
          <xm:sqref>D6:D65</xm:sqref>
        </x14:dataValidation>
        <x14:dataValidation type="list" allowBlank="1" xr:uid="{00000000-0002-0000-0600-000004000000}">
          <x14:formula1>
            <xm:f>Games!$C$60:$D$60</xm:f>
          </x14:formula1>
          <x14:formula2>
            <xm:f>0</xm:f>
          </x14:formula2>
          <xm:sqref>E6:E65</xm:sqref>
        </x14:dataValidation>
        <x14:dataValidation type="list" allowBlank="1" xr:uid="{00000000-0002-0000-0600-000005000000}">
          <x14:formula1>
            <xm:f>Games!$C$61:$D$61</xm:f>
          </x14:formula1>
          <x14:formula2>
            <xm:f>0</xm:f>
          </x14:formula2>
          <xm:sqref>F6:F65</xm:sqref>
        </x14:dataValidation>
        <x14:dataValidation type="list" allowBlank="1" xr:uid="{00000000-0002-0000-0600-000006000000}">
          <x14:formula1>
            <xm:f>Games!$C$62:$D$62</xm:f>
          </x14:formula1>
          <x14:formula2>
            <xm:f>0</xm:f>
          </x14:formula2>
          <xm:sqref>G6:G65</xm:sqref>
        </x14:dataValidation>
        <x14:dataValidation type="list" allowBlank="1" xr:uid="{00000000-0002-0000-0600-000007000000}">
          <x14:formula1>
            <xm:f>Games!$C$63:$D$63</xm:f>
          </x14:formula1>
          <x14:formula2>
            <xm:f>0</xm:f>
          </x14:formula2>
          <xm:sqref>H6:H65</xm:sqref>
        </x14:dataValidation>
        <x14:dataValidation type="list" allowBlank="1" xr:uid="{00000000-0002-0000-0600-000008000000}">
          <x14:formula1>
            <xm:f>Games!$C$64:$D$64</xm:f>
          </x14:formula1>
          <x14:formula2>
            <xm:f>0</xm:f>
          </x14:formula2>
          <xm:sqref>I6:I65</xm:sqref>
        </x14:dataValidation>
        <x14:dataValidation type="list" allowBlank="1" xr:uid="{00000000-0002-0000-0600-000009000000}">
          <x14:formula1>
            <xm:f>Games!$C$65:$D$65</xm:f>
          </x14:formula1>
          <x14:formula2>
            <xm:f>0</xm:f>
          </x14:formula2>
          <xm:sqref>J6:J65</xm:sqref>
        </x14:dataValidation>
        <x14:dataValidation type="list" allowBlank="1" xr:uid="{00000000-0002-0000-0600-00000A000000}">
          <x14:formula1>
            <xm:f>Games!$C$66:$D$66</xm:f>
          </x14:formula1>
          <x14:formula2>
            <xm:f>0</xm:f>
          </x14:formula2>
          <xm:sqref>K6:K65</xm:sqref>
        </x14:dataValidation>
        <x14:dataValidation type="list" allowBlank="1" xr:uid="{00000000-0002-0000-0600-00000B000000}">
          <x14:formula1>
            <xm:f>Games!$C$67:$D$67</xm:f>
          </x14:formula1>
          <x14:formula2>
            <xm:f>0</xm:f>
          </x14:formula2>
          <xm:sqref>L6:L65</xm:sqref>
        </x14:dataValidation>
        <x14:dataValidation type="list" allowBlank="1" xr:uid="{00000000-0002-0000-0600-00000C000000}">
          <x14:formula1>
            <xm:f>Games!$C$68:$D$68</xm:f>
          </x14:formula1>
          <x14:formula2>
            <xm:f>0</xm:f>
          </x14:formula2>
          <xm:sqref>M6:M65</xm:sqref>
        </x14:dataValidation>
        <x14:dataValidation type="list" allowBlank="1" xr:uid="{00000000-0002-0000-0600-00000D000000}">
          <x14:formula1>
            <xm:f>Games!$C$69:$D$69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319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1&amp;CHAR(10)&amp;Games!C70&amp;" vs "&amp;Games!D70</f>
        <v xml:space="preserve">1
 vs </v>
      </c>
      <c r="C4" s="10" t="str">
        <f>2&amp;CHAR(10)&amp;Games!C71&amp;" vs "&amp;Games!D71</f>
        <v xml:space="preserve">2
 vs </v>
      </c>
      <c r="D4" s="10" t="str">
        <f>3&amp;CHAR(10)&amp;Games!C72&amp;" vs "&amp;Games!D72</f>
        <v xml:space="preserve">3
 vs </v>
      </c>
      <c r="E4" s="10" t="str">
        <f>4&amp;CHAR(10)&amp;Games!C73&amp;" vs "&amp;Games!D73</f>
        <v xml:space="preserve">4
 vs </v>
      </c>
      <c r="F4" s="10" t="str">
        <f>5&amp;CHAR(10)&amp;Games!C74&amp;" vs "&amp;Games!D74</f>
        <v xml:space="preserve">5
 vs </v>
      </c>
      <c r="G4" s="10" t="str">
        <f>6&amp;CHAR(10)&amp;Games!C75&amp;" vs "&amp;Games!D75</f>
        <v xml:space="preserve">6
 vs </v>
      </c>
      <c r="H4" s="10" t="str">
        <f>7&amp;CHAR(10)&amp;Games!C76&amp;" vs "&amp;Games!D76</f>
        <v xml:space="preserve">7
 vs </v>
      </c>
      <c r="I4" s="10" t="str">
        <f>8&amp;CHAR(10)&amp;Games!C77&amp;" vs "&amp;Games!D77</f>
        <v xml:space="preserve">8
 vs </v>
      </c>
      <c r="J4" s="10" t="str">
        <f>9&amp;CHAR(10)&amp;Games!C78&amp;" vs "&amp;Games!D78</f>
        <v xml:space="preserve">9
 vs </v>
      </c>
      <c r="K4" s="10" t="str">
        <f>10&amp;CHAR(10)&amp;Games!C79&amp;" vs "&amp;Games!D79</f>
        <v xml:space="preserve">10
 vs </v>
      </c>
      <c r="L4" s="10" t="str">
        <f>11&amp;CHAR(10)&amp;Games!C80&amp;" vs "&amp;Games!D80</f>
        <v xml:space="preserve">11
 vs </v>
      </c>
      <c r="M4" s="10" t="str">
        <f>12&amp;CHAR(10)&amp;Games!C81&amp;" vs "&amp;Games!D81</f>
        <v xml:space="preserve">12
 vs </v>
      </c>
      <c r="N4" s="10" t="str">
        <f>13&amp;CHAR(10)&amp;Games!C82&amp;" vs "&amp;Games!D82</f>
        <v xml:space="preserve">13
 vs 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 t="str">
        <f>IF(OR(B6="",Results!B10=""),"",IF(B6=Results!B10,1+IF(OR($O6=1,$P6=1,$Q6=1),1,0),0))</f>
        <v/>
      </c>
      <c r="T6" s="4" t="str">
        <f>IF(OR(C6="",Results!C10=""),"",IF(C6=Results!C10,1+IF(OR($O6=2,$P6=2,$Q6=2),1,0),0))</f>
        <v/>
      </c>
      <c r="U6" s="4" t="str">
        <f>IF(OR(D6="",Results!D10=""),"",IF(D6=Results!D10,1+IF(OR($O6=3,$P6=3,$Q6=3),1,0),0))</f>
        <v/>
      </c>
      <c r="V6" s="4" t="str">
        <f>IF(OR(E6="",Results!E10=""),"",IF(E6=Results!E10,1+IF(OR($O6=4,$P6=4,$Q6=4),1,0),0))</f>
        <v/>
      </c>
      <c r="W6" s="4" t="str">
        <f>IF(OR(F6="",Results!F10=""),"",IF(F6=Results!F10,1+IF(OR($O6=5,$P6=5,$Q6=5),1,0),0))</f>
        <v/>
      </c>
      <c r="X6" s="4" t="str">
        <f>IF(OR(G6="",Results!G10=""),"",IF(G6=Results!G10,1+IF(OR($O6=6,$P6=6,$Q6=6),1,0),0))</f>
        <v/>
      </c>
      <c r="Y6" s="4" t="str">
        <f>IF(OR(H6="",Results!H10=""),"",IF(H6=Results!H10,1+IF(OR($O6=7,$P6=7,$Q6=7),1,0),0))</f>
        <v/>
      </c>
      <c r="Z6" s="4" t="str">
        <f>IF(OR(I6="",Results!I10=""),"",IF(I6=Results!I10,1+IF(OR($O6=8,$P6=8,$Q6=8),1,0),0))</f>
        <v/>
      </c>
      <c r="AA6" s="4" t="str">
        <f>IF(OR(J6="",Results!J10=""),"",IF(J6=Results!J10,1+IF(OR($O6=9,$P6=9,$Q6=9),1,0),0))</f>
        <v/>
      </c>
      <c r="AB6" s="4" t="str">
        <f>IF(OR(K6="",Results!K10=""),"",IF(K6=Results!K10,1+IF(OR($O6=10,$P6=10,$Q6=10),1,0),0))</f>
        <v/>
      </c>
      <c r="AC6" s="4" t="str">
        <f>IF(OR(L6="",Results!L10=""),"",IF(L6=Results!L10,1+IF(OR($O6=11,$P6=11,$Q6=11),1,0),0))</f>
        <v/>
      </c>
      <c r="AD6" s="4" t="str">
        <f>IF(OR(M6="",Results!M10=""),"",IF(M6=Results!M10,1+IF(OR($O6=12,$P6=12,$Q6=12),1,0),0))</f>
        <v/>
      </c>
      <c r="AE6" s="4" t="str">
        <f>IF(OR(N6="",Results!N10=""),"",IF(N6=Results!N10,1+IF(OR($O6=13,$P6=13,$Q6=13),1,0),0))</f>
        <v/>
      </c>
      <c r="AF6" s="11">
        <f t="shared" ref="AF6:AF37" si="0">SUM(S6:AE6)</f>
        <v>0</v>
      </c>
      <c r="AG6" s="4" t="str">
        <f>IF(OR($R6="",Results!O10=""),"",ABS($R6-Results!O10))</f>
        <v/>
      </c>
      <c r="AH6" s="12">
        <v>2</v>
      </c>
      <c r="AI6" s="13" t="str">
        <f>IF(OR(B6="",Results!B10=""),"",IF(AND(B6=Results!B10,Results!B10&lt;&gt;Games!$C$70),1,0))</f>
        <v/>
      </c>
      <c r="AJ6" s="13" t="str">
        <f>IF(OR(C6="",Results!C10=""),"",IF(AND(C6=Results!C10,Results!C10&lt;&gt;Games!$C$71),1,0))</f>
        <v/>
      </c>
      <c r="AK6" s="13" t="str">
        <f>IF(OR(D6="",Results!D10=""),"",IF(AND(D6=Results!D10,Results!D10&lt;&gt;Games!$C$72),1,0))</f>
        <v/>
      </c>
      <c r="AL6" s="13" t="str">
        <f>IF(OR(E6="",Results!E10=""),"",IF(AND(E6=Results!E10,Results!E10&lt;&gt;Games!$C$73),1,0))</f>
        <v/>
      </c>
      <c r="AM6" s="13" t="str">
        <f>IF(OR(F6="",Results!F10=""),"",IF(AND(F6=Results!F10,Results!F10&lt;&gt;Games!$C$74),1,0))</f>
        <v/>
      </c>
      <c r="AN6" s="13" t="str">
        <f>IF(OR(G6="",Results!G10=""),"",IF(AND(G6=Results!G10,Results!G10&lt;&gt;Games!$C$75),1,0))</f>
        <v/>
      </c>
      <c r="AO6" s="13" t="str">
        <f>IF(OR(H6="",Results!H10=""),"",IF(AND(H6=Results!H10,Results!H10&lt;&gt;Games!$C$76),1,0))</f>
        <v/>
      </c>
      <c r="AP6" s="13" t="str">
        <f>IF(OR(I6="",Results!I10=""),"",IF(AND(I6=Results!I10,Results!I10&lt;&gt;Games!$C$77),1,0))</f>
        <v/>
      </c>
      <c r="AQ6" s="13" t="str">
        <f>IF(OR(J6="",Results!J10=""),"",IF(AND(J6=Results!J10,Results!J10&lt;&gt;Games!$C$78),1,0))</f>
        <v/>
      </c>
      <c r="AR6" s="13" t="str">
        <f>IF(OR(K6="",Results!K10=""),"",IF(AND(K6=Results!K10,Results!K10&lt;&gt;Games!$C$79),1,0))</f>
        <v/>
      </c>
      <c r="AS6" s="13" t="str">
        <f>IF(OR(L6="",Results!L10=""),"",IF(AND(L6=Results!L10,Results!L10&lt;&gt;Games!$C$80),1,0))</f>
        <v/>
      </c>
      <c r="AT6" s="13" t="str">
        <f>IF(OR(M6="",Results!M10=""),"",IF(AND(M6=Results!M10,Results!M10&lt;&gt;Games!$C$81),1,0))</f>
        <v/>
      </c>
      <c r="AU6" s="13" t="str">
        <f>IF(OR(N6="",Results!N10=""),"",IF(AND(N6=Results!N10,Results!N10&lt;&gt;Games!$C$82),1,0))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IF(OR(B7="",Results!B10=""),"",IF(B7=Results!B10,1+IF(OR($O7=1,$P7=1,$Q7=1),1,0),0))</f>
        <v/>
      </c>
      <c r="T7" s="4" t="str">
        <f>IF(OR(C7="",Results!C10=""),"",IF(C7=Results!C10,1+IF(OR($O7=2,$P7=2,$Q7=2),1,0),0))</f>
        <v/>
      </c>
      <c r="U7" s="4" t="str">
        <f>IF(OR(D7="",Results!D10=""),"",IF(D7=Results!D10,1+IF(OR($O7=3,$P7=3,$Q7=3),1,0),0))</f>
        <v/>
      </c>
      <c r="V7" s="4" t="str">
        <f>IF(OR(E7="",Results!E10=""),"",IF(E7=Results!E10,1+IF(OR($O7=4,$P7=4,$Q7=4),1,0),0))</f>
        <v/>
      </c>
      <c r="W7" s="4" t="str">
        <f>IF(OR(F7="",Results!F10=""),"",IF(F7=Results!F10,1+IF(OR($O7=5,$P7=5,$Q7=5),1,0),0))</f>
        <v/>
      </c>
      <c r="X7" s="4" t="str">
        <f>IF(OR(G7="",Results!G10=""),"",IF(G7=Results!G10,1+IF(OR($O7=6,$P7=6,$Q7=6),1,0),0))</f>
        <v/>
      </c>
      <c r="Y7" s="4" t="str">
        <f>IF(OR(H7="",Results!H10=""),"",IF(H7=Results!H10,1+IF(OR($O7=7,$P7=7,$Q7=7),1,0),0))</f>
        <v/>
      </c>
      <c r="Z7" s="4" t="str">
        <f>IF(OR(I7="",Results!I10=""),"",IF(I7=Results!I10,1+IF(OR($O7=8,$P7=8,$Q7=8),1,0),0))</f>
        <v/>
      </c>
      <c r="AA7" s="4" t="str">
        <f>IF(OR(J7="",Results!J10=""),"",IF(J7=Results!J10,1+IF(OR($O7=9,$P7=9,$Q7=9),1,0),0))</f>
        <v/>
      </c>
      <c r="AB7" s="4" t="str">
        <f>IF(OR(K7="",Results!K10=""),"",IF(K7=Results!K10,1+IF(OR($O7=10,$P7=10,$Q7=10),1,0),0))</f>
        <v/>
      </c>
      <c r="AC7" s="4" t="str">
        <f>IF(OR(L7="",Results!L10=""),"",IF(L7=Results!L10,1+IF(OR($O7=11,$P7=11,$Q7=11),1,0),0))</f>
        <v/>
      </c>
      <c r="AD7" s="4" t="str">
        <f>IF(OR(M7="",Results!M10=""),"",IF(M7=Results!M10,1+IF(OR($O7=12,$P7=12,$Q7=12),1,0),0))</f>
        <v/>
      </c>
      <c r="AE7" s="4" t="str">
        <f>IF(OR(N7="",Results!N10=""),"",IF(N7=Results!N10,1+IF(OR($O7=13,$P7=13,$Q7=13),1,0),0))</f>
        <v/>
      </c>
      <c r="AF7" s="11">
        <f t="shared" si="0"/>
        <v>0</v>
      </c>
      <c r="AG7" s="4" t="str">
        <f>IF(OR($R7="",Results!O10=""),"",ABS($R7-Results!O10))</f>
        <v/>
      </c>
      <c r="AH7" s="12">
        <v>53</v>
      </c>
      <c r="AI7" s="13" t="str">
        <f>IF(OR(B7="",Results!B10=""),"",IF(AND(B7=Results!B10,Results!B10&lt;&gt;Games!$C$70),1,0))</f>
        <v/>
      </c>
      <c r="AJ7" s="13" t="str">
        <f>IF(OR(C7="",Results!C10=""),"",IF(AND(C7=Results!C10,Results!C10&lt;&gt;Games!$C$71),1,0))</f>
        <v/>
      </c>
      <c r="AK7" s="13" t="str">
        <f>IF(OR(D7="",Results!D10=""),"",IF(AND(D7=Results!D10,Results!D10&lt;&gt;Games!$C$72),1,0))</f>
        <v/>
      </c>
      <c r="AL7" s="13" t="str">
        <f>IF(OR(E7="",Results!E10=""),"",IF(AND(E7=Results!E10,Results!E10&lt;&gt;Games!$C$73),1,0))</f>
        <v/>
      </c>
      <c r="AM7" s="13" t="str">
        <f>IF(OR(F7="",Results!F10=""),"",IF(AND(F7=Results!F10,Results!F10&lt;&gt;Games!$C$74),1,0))</f>
        <v/>
      </c>
      <c r="AN7" s="13" t="str">
        <f>IF(OR(G7="",Results!G10=""),"",IF(AND(G7=Results!G10,Results!G10&lt;&gt;Games!$C$75),1,0))</f>
        <v/>
      </c>
      <c r="AO7" s="13" t="str">
        <f>IF(OR(H7="",Results!H10=""),"",IF(AND(H7=Results!H10,Results!H10&lt;&gt;Games!$C$76),1,0))</f>
        <v/>
      </c>
      <c r="AP7" s="13" t="str">
        <f>IF(OR(I7="",Results!I10=""),"",IF(AND(I7=Results!I10,Results!I10&lt;&gt;Games!$C$77),1,0))</f>
        <v/>
      </c>
      <c r="AQ7" s="13" t="str">
        <f>IF(OR(J7="",Results!J10=""),"",IF(AND(J7=Results!J10,Results!J10&lt;&gt;Games!$C$78),1,0))</f>
        <v/>
      </c>
      <c r="AR7" s="13" t="str">
        <f>IF(OR(K7="",Results!K10=""),"",IF(AND(K7=Results!K10,Results!K10&lt;&gt;Games!$C$79),1,0))</f>
        <v/>
      </c>
      <c r="AS7" s="13" t="str">
        <f>IF(OR(L7="",Results!L10=""),"",IF(AND(L7=Results!L10,Results!L10&lt;&gt;Games!$C$80),1,0))</f>
        <v/>
      </c>
      <c r="AT7" s="13" t="str">
        <f>IF(OR(M7="",Results!M10=""),"",IF(AND(M7=Results!M10,Results!M10&lt;&gt;Games!$C$81),1,0))</f>
        <v/>
      </c>
      <c r="AU7" s="13" t="str">
        <f>IF(OR(N7="",Results!N10=""),"",IF(AND(N7=Results!N10,Results!N10&lt;&gt;Games!$C$82),1,0))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" t="str">
        <f>IF(OR(B8="",Results!B10=""),"",IF(B8=Results!B10,1+IF(OR($O8=1,$P8=1,$Q8=1),1,0),0))</f>
        <v/>
      </c>
      <c r="T8" s="4" t="str">
        <f>IF(OR(C8="",Results!C10=""),"",IF(C8=Results!C10,1+IF(OR($O8=2,$P8=2,$Q8=2),1,0),0))</f>
        <v/>
      </c>
      <c r="U8" s="4" t="str">
        <f>IF(OR(D8="",Results!D10=""),"",IF(D8=Results!D10,1+IF(OR($O8=3,$P8=3,$Q8=3),1,0),0))</f>
        <v/>
      </c>
      <c r="V8" s="4" t="str">
        <f>IF(OR(E8="",Results!E10=""),"",IF(E8=Results!E10,1+IF(OR($O8=4,$P8=4,$Q8=4),1,0),0))</f>
        <v/>
      </c>
      <c r="W8" s="4" t="str">
        <f>IF(OR(F8="",Results!F10=""),"",IF(F8=Results!F10,1+IF(OR($O8=5,$P8=5,$Q8=5),1,0),0))</f>
        <v/>
      </c>
      <c r="X8" s="4" t="str">
        <f>IF(OR(G8="",Results!G10=""),"",IF(G8=Results!G10,1+IF(OR($O8=6,$P8=6,$Q8=6),1,0),0))</f>
        <v/>
      </c>
      <c r="Y8" s="4" t="str">
        <f>IF(OR(H8="",Results!H10=""),"",IF(H8=Results!H10,1+IF(OR($O8=7,$P8=7,$Q8=7),1,0),0))</f>
        <v/>
      </c>
      <c r="Z8" s="4" t="str">
        <f>IF(OR(I8="",Results!I10=""),"",IF(I8=Results!I10,1+IF(OR($O8=8,$P8=8,$Q8=8),1,0),0))</f>
        <v/>
      </c>
      <c r="AA8" s="4" t="str">
        <f>IF(OR(J8="",Results!J10=""),"",IF(J8=Results!J10,1+IF(OR($O8=9,$P8=9,$Q8=9),1,0),0))</f>
        <v/>
      </c>
      <c r="AB8" s="4" t="str">
        <f>IF(OR(K8="",Results!K10=""),"",IF(K8=Results!K10,1+IF(OR($O8=10,$P8=10,$Q8=10),1,0),0))</f>
        <v/>
      </c>
      <c r="AC8" s="4" t="str">
        <f>IF(OR(L8="",Results!L10=""),"",IF(L8=Results!L10,1+IF(OR($O8=11,$P8=11,$Q8=11),1,0),0))</f>
        <v/>
      </c>
      <c r="AD8" s="4" t="str">
        <f>IF(OR(M8="",Results!M10=""),"",IF(M8=Results!M10,1+IF(OR($O8=12,$P8=12,$Q8=12),1,0),0))</f>
        <v/>
      </c>
      <c r="AE8" s="4" t="str">
        <f>IF(OR(N8="",Results!N10=""),"",IF(N8=Results!N10,1+IF(OR($O8=13,$P8=13,$Q8=13),1,0),0))</f>
        <v/>
      </c>
      <c r="AF8" s="11">
        <f t="shared" si="0"/>
        <v>0</v>
      </c>
      <c r="AG8" s="4" t="str">
        <f>IF(OR($R8="",Results!O10=""),"",ABS($R8-Results!O10))</f>
        <v/>
      </c>
      <c r="AH8" s="12">
        <v>61</v>
      </c>
      <c r="AI8" s="13" t="str">
        <f>IF(OR(B8="",Results!B10=""),"",IF(AND(B8=Results!B10,Results!B10&lt;&gt;Games!$C$70),1,0))</f>
        <v/>
      </c>
      <c r="AJ8" s="13" t="str">
        <f>IF(OR(C8="",Results!C10=""),"",IF(AND(C8=Results!C10,Results!C10&lt;&gt;Games!$C$71),1,0))</f>
        <v/>
      </c>
      <c r="AK8" s="13" t="str">
        <f>IF(OR(D8="",Results!D10=""),"",IF(AND(D8=Results!D10,Results!D10&lt;&gt;Games!$C$72),1,0))</f>
        <v/>
      </c>
      <c r="AL8" s="13" t="str">
        <f>IF(OR(E8="",Results!E10=""),"",IF(AND(E8=Results!E10,Results!E10&lt;&gt;Games!$C$73),1,0))</f>
        <v/>
      </c>
      <c r="AM8" s="13" t="str">
        <f>IF(OR(F8="",Results!F10=""),"",IF(AND(F8=Results!F10,Results!F10&lt;&gt;Games!$C$74),1,0))</f>
        <v/>
      </c>
      <c r="AN8" s="13" t="str">
        <f>IF(OR(G8="",Results!G10=""),"",IF(AND(G8=Results!G10,Results!G10&lt;&gt;Games!$C$75),1,0))</f>
        <v/>
      </c>
      <c r="AO8" s="13" t="str">
        <f>IF(OR(H8="",Results!H10=""),"",IF(AND(H8=Results!H10,Results!H10&lt;&gt;Games!$C$76),1,0))</f>
        <v/>
      </c>
      <c r="AP8" s="13" t="str">
        <f>IF(OR(I8="",Results!I10=""),"",IF(AND(I8=Results!I10,Results!I10&lt;&gt;Games!$C$77),1,0))</f>
        <v/>
      </c>
      <c r="AQ8" s="13" t="str">
        <f>IF(OR(J8="",Results!J10=""),"",IF(AND(J8=Results!J10,Results!J10&lt;&gt;Games!$C$78),1,0))</f>
        <v/>
      </c>
      <c r="AR8" s="13" t="str">
        <f>IF(OR(K8="",Results!K10=""),"",IF(AND(K8=Results!K10,Results!K10&lt;&gt;Games!$C$79),1,0))</f>
        <v/>
      </c>
      <c r="AS8" s="13" t="str">
        <f>IF(OR(L8="",Results!L10=""),"",IF(AND(L8=Results!L10,Results!L10&lt;&gt;Games!$C$80),1,0))</f>
        <v/>
      </c>
      <c r="AT8" s="13" t="str">
        <f>IF(OR(M8="",Results!M10=""),"",IF(AND(M8=Results!M10,Results!M10&lt;&gt;Games!$C$81),1,0))</f>
        <v/>
      </c>
      <c r="AU8" s="13" t="str">
        <f>IF(OR(N8="",Results!N10=""),"",IF(AND(N8=Results!N10,Results!N10&lt;&gt;Games!$C$82),1,0))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IF(OR(B9="",Results!B10=""),"",IF(B9=Results!B10,1+IF(OR($O9=1,$P9=1,$Q9=1),1,0),0))</f>
        <v/>
      </c>
      <c r="T9" s="4" t="str">
        <f>IF(OR(C9="",Results!C10=""),"",IF(C9=Results!C10,1+IF(OR($O9=2,$P9=2,$Q9=2),1,0),0))</f>
        <v/>
      </c>
      <c r="U9" s="4" t="str">
        <f>IF(OR(D9="",Results!D10=""),"",IF(D9=Results!D10,1+IF(OR($O9=3,$P9=3,$Q9=3),1,0),0))</f>
        <v/>
      </c>
      <c r="V9" s="4" t="str">
        <f>IF(OR(E9="",Results!E10=""),"",IF(E9=Results!E10,1+IF(OR($O9=4,$P9=4,$Q9=4),1,0),0))</f>
        <v/>
      </c>
      <c r="W9" s="4" t="str">
        <f>IF(OR(F9="",Results!F10=""),"",IF(F9=Results!F10,1+IF(OR($O9=5,$P9=5,$Q9=5),1,0),0))</f>
        <v/>
      </c>
      <c r="X9" s="4" t="str">
        <f>IF(OR(G9="",Results!G10=""),"",IF(G9=Results!G10,1+IF(OR($O9=6,$P9=6,$Q9=6),1,0),0))</f>
        <v/>
      </c>
      <c r="Y9" s="4" t="str">
        <f>IF(OR(H9="",Results!H10=""),"",IF(H9=Results!H10,1+IF(OR($O9=7,$P9=7,$Q9=7),1,0),0))</f>
        <v/>
      </c>
      <c r="Z9" s="4" t="str">
        <f>IF(OR(I9="",Results!I10=""),"",IF(I9=Results!I10,1+IF(OR($O9=8,$P9=8,$Q9=8),1,0),0))</f>
        <v/>
      </c>
      <c r="AA9" s="4" t="str">
        <f>IF(OR(J9="",Results!J10=""),"",IF(J9=Results!J10,1+IF(OR($O9=9,$P9=9,$Q9=9),1,0),0))</f>
        <v/>
      </c>
      <c r="AB9" s="4" t="str">
        <f>IF(OR(K9="",Results!K10=""),"",IF(K9=Results!K10,1+IF(OR($O9=10,$P9=10,$Q9=10),1,0),0))</f>
        <v/>
      </c>
      <c r="AC9" s="4" t="str">
        <f>IF(OR(L9="",Results!L10=""),"",IF(L9=Results!L10,1+IF(OR($O9=11,$P9=11,$Q9=11),1,0),0))</f>
        <v/>
      </c>
      <c r="AD9" s="4" t="str">
        <f>IF(OR(M9="",Results!M10=""),"",IF(M9=Results!M10,1+IF(OR($O9=12,$P9=12,$Q9=12),1,0),0))</f>
        <v/>
      </c>
      <c r="AE9" s="4" t="str">
        <f>IF(OR(N9="",Results!N10=""),"",IF(N9=Results!N10,1+IF(OR($O9=13,$P9=13,$Q9=13),1,0),0))</f>
        <v/>
      </c>
      <c r="AF9" s="11">
        <f t="shared" si="0"/>
        <v>0</v>
      </c>
      <c r="AG9" s="4" t="str">
        <f>IF(OR($R9="",Results!O10=""),"",ABS($R9-Results!O10))</f>
        <v/>
      </c>
      <c r="AH9" s="12">
        <v>41</v>
      </c>
      <c r="AI9" s="13" t="str">
        <f>IF(OR(B9="",Results!B10=""),"",IF(AND(B9=Results!B10,Results!B10&lt;&gt;Games!$C$70),1,0))</f>
        <v/>
      </c>
      <c r="AJ9" s="13" t="str">
        <f>IF(OR(C9="",Results!C10=""),"",IF(AND(C9=Results!C10,Results!C10&lt;&gt;Games!$C$71),1,0))</f>
        <v/>
      </c>
      <c r="AK9" s="13" t="str">
        <f>IF(OR(D9="",Results!D10=""),"",IF(AND(D9=Results!D10,Results!D10&lt;&gt;Games!$C$72),1,0))</f>
        <v/>
      </c>
      <c r="AL9" s="13" t="str">
        <f>IF(OR(E9="",Results!E10=""),"",IF(AND(E9=Results!E10,Results!E10&lt;&gt;Games!$C$73),1,0))</f>
        <v/>
      </c>
      <c r="AM9" s="13" t="str">
        <f>IF(OR(F9="",Results!F10=""),"",IF(AND(F9=Results!F10,Results!F10&lt;&gt;Games!$C$74),1,0))</f>
        <v/>
      </c>
      <c r="AN9" s="13" t="str">
        <f>IF(OR(G9="",Results!G10=""),"",IF(AND(G9=Results!G10,Results!G10&lt;&gt;Games!$C$75),1,0))</f>
        <v/>
      </c>
      <c r="AO9" s="13" t="str">
        <f>IF(OR(H9="",Results!H10=""),"",IF(AND(H9=Results!H10,Results!H10&lt;&gt;Games!$C$76),1,0))</f>
        <v/>
      </c>
      <c r="AP9" s="13" t="str">
        <f>IF(OR(I9="",Results!I10=""),"",IF(AND(I9=Results!I10,Results!I10&lt;&gt;Games!$C$77),1,0))</f>
        <v/>
      </c>
      <c r="AQ9" s="13" t="str">
        <f>IF(OR(J9="",Results!J10=""),"",IF(AND(J9=Results!J10,Results!J10&lt;&gt;Games!$C$78),1,0))</f>
        <v/>
      </c>
      <c r="AR9" s="13" t="str">
        <f>IF(OR(K9="",Results!K10=""),"",IF(AND(K9=Results!K10,Results!K10&lt;&gt;Games!$C$79),1,0))</f>
        <v/>
      </c>
      <c r="AS9" s="13" t="str">
        <f>IF(OR(L9="",Results!L10=""),"",IF(AND(L9=Results!L10,Results!L10&lt;&gt;Games!$C$80),1,0))</f>
        <v/>
      </c>
      <c r="AT9" s="13" t="str">
        <f>IF(OR(M9="",Results!M10=""),"",IF(AND(M9=Results!M10,Results!M10&lt;&gt;Games!$C$81),1,0))</f>
        <v/>
      </c>
      <c r="AU9" s="13" t="str">
        <f>IF(OR(N9="",Results!N10=""),"",IF(AND(N9=Results!N10,Results!N10&lt;&gt;Games!$C$82),1,0))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tr">
        <f>IF(OR(B10="",Results!B10=""),"",IF(B10=Results!B10,1+IF(OR($O10=1,$P10=1,$Q10=1),1,0),0))</f>
        <v/>
      </c>
      <c r="T10" s="4" t="str">
        <f>IF(OR(C10="",Results!C10=""),"",IF(C10=Results!C10,1+IF(OR($O10=2,$P10=2,$Q10=2),1,0),0))</f>
        <v/>
      </c>
      <c r="U10" s="4" t="str">
        <f>IF(OR(D10="",Results!D10=""),"",IF(D10=Results!D10,1+IF(OR($O10=3,$P10=3,$Q10=3),1,0),0))</f>
        <v/>
      </c>
      <c r="V10" s="4" t="str">
        <f>IF(OR(E10="",Results!E10=""),"",IF(E10=Results!E10,1+IF(OR($O10=4,$P10=4,$Q10=4),1,0),0))</f>
        <v/>
      </c>
      <c r="W10" s="4" t="str">
        <f>IF(OR(F10="",Results!F10=""),"",IF(F10=Results!F10,1+IF(OR($O10=5,$P10=5,$Q10=5),1,0),0))</f>
        <v/>
      </c>
      <c r="X10" s="4" t="str">
        <f>IF(OR(G10="",Results!G10=""),"",IF(G10=Results!G10,1+IF(OR($O10=6,$P10=6,$Q10=6),1,0),0))</f>
        <v/>
      </c>
      <c r="Y10" s="4" t="str">
        <f>IF(OR(H10="",Results!H10=""),"",IF(H10=Results!H10,1+IF(OR($O10=7,$P10=7,$Q10=7),1,0),0))</f>
        <v/>
      </c>
      <c r="Z10" s="4" t="str">
        <f>IF(OR(I10="",Results!I10=""),"",IF(I10=Results!I10,1+IF(OR($O10=8,$P10=8,$Q10=8),1,0),0))</f>
        <v/>
      </c>
      <c r="AA10" s="4" t="str">
        <f>IF(OR(J10="",Results!J10=""),"",IF(J10=Results!J10,1+IF(OR($O10=9,$P10=9,$Q10=9),1,0),0))</f>
        <v/>
      </c>
      <c r="AB10" s="4" t="str">
        <f>IF(OR(K10="",Results!K10=""),"",IF(K10=Results!K10,1+IF(OR($O10=10,$P10=10,$Q10=10),1,0),0))</f>
        <v/>
      </c>
      <c r="AC10" s="4" t="str">
        <f>IF(OR(L10="",Results!L10=""),"",IF(L10=Results!L10,1+IF(OR($O10=11,$P10=11,$Q10=11),1,0),0))</f>
        <v/>
      </c>
      <c r="AD10" s="4" t="str">
        <f>IF(OR(M10="",Results!M10=""),"",IF(M10=Results!M10,1+IF(OR($O10=12,$P10=12,$Q10=12),1,0),0))</f>
        <v/>
      </c>
      <c r="AE10" s="4" t="str">
        <f>IF(OR(N10="",Results!N10=""),"",IF(N10=Results!N10,1+IF(OR($O10=13,$P10=13,$Q10=13),1,0),0))</f>
        <v/>
      </c>
      <c r="AF10" s="11">
        <f t="shared" si="0"/>
        <v>0</v>
      </c>
      <c r="AG10" s="4" t="str">
        <f>IF(OR($R10="",Results!O10=""),"",ABS($R10-Results!O10))</f>
        <v/>
      </c>
      <c r="AH10" s="12">
        <v>3</v>
      </c>
      <c r="AI10" s="13" t="str">
        <f>IF(OR(B10="",Results!B10=""),"",IF(AND(B10=Results!B10,Results!B10&lt;&gt;Games!$C$70),1,0))</f>
        <v/>
      </c>
      <c r="AJ10" s="13" t="str">
        <f>IF(OR(C10="",Results!C10=""),"",IF(AND(C10=Results!C10,Results!C10&lt;&gt;Games!$C$71),1,0))</f>
        <v/>
      </c>
      <c r="AK10" s="13" t="str">
        <f>IF(OR(D10="",Results!D10=""),"",IF(AND(D10=Results!D10,Results!D10&lt;&gt;Games!$C$72),1,0))</f>
        <v/>
      </c>
      <c r="AL10" s="13" t="str">
        <f>IF(OR(E10="",Results!E10=""),"",IF(AND(E10=Results!E10,Results!E10&lt;&gt;Games!$C$73),1,0))</f>
        <v/>
      </c>
      <c r="AM10" s="13" t="str">
        <f>IF(OR(F10="",Results!F10=""),"",IF(AND(F10=Results!F10,Results!F10&lt;&gt;Games!$C$74),1,0))</f>
        <v/>
      </c>
      <c r="AN10" s="13" t="str">
        <f>IF(OR(G10="",Results!G10=""),"",IF(AND(G10=Results!G10,Results!G10&lt;&gt;Games!$C$75),1,0))</f>
        <v/>
      </c>
      <c r="AO10" s="13" t="str">
        <f>IF(OR(H10="",Results!H10=""),"",IF(AND(H10=Results!H10,Results!H10&lt;&gt;Games!$C$76),1,0))</f>
        <v/>
      </c>
      <c r="AP10" s="13" t="str">
        <f>IF(OR(I10="",Results!I10=""),"",IF(AND(I10=Results!I10,Results!I10&lt;&gt;Games!$C$77),1,0))</f>
        <v/>
      </c>
      <c r="AQ10" s="13" t="str">
        <f>IF(OR(J10="",Results!J10=""),"",IF(AND(J10=Results!J10,Results!J10&lt;&gt;Games!$C$78),1,0))</f>
        <v/>
      </c>
      <c r="AR10" s="13" t="str">
        <f>IF(OR(K10="",Results!K10=""),"",IF(AND(K10=Results!K10,Results!K10&lt;&gt;Games!$C$79),1,0))</f>
        <v/>
      </c>
      <c r="AS10" s="13" t="str">
        <f>IF(OR(L10="",Results!L10=""),"",IF(AND(L10=Results!L10,Results!L10&lt;&gt;Games!$C$80),1,0))</f>
        <v/>
      </c>
      <c r="AT10" s="13" t="str">
        <f>IF(OR(M10="",Results!M10=""),"",IF(AND(M10=Results!M10,Results!M10&lt;&gt;Games!$C$81),1,0))</f>
        <v/>
      </c>
      <c r="AU10" s="13" t="str">
        <f>IF(OR(N10="",Results!N10=""),"",IF(AND(N10=Results!N10,Results!N10&lt;&gt;Games!$C$82),1,0))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IF(OR(B11="",Results!B10=""),"",IF(B11=Results!B10,1+IF(OR($O11=1,$P11=1,$Q11=1),1,0),0))</f>
        <v/>
      </c>
      <c r="T11" s="4" t="str">
        <f>IF(OR(C11="",Results!C10=""),"",IF(C11=Results!C10,1+IF(OR($O11=2,$P11=2,$Q11=2),1,0),0))</f>
        <v/>
      </c>
      <c r="U11" s="4" t="str">
        <f>IF(OR(D11="",Results!D10=""),"",IF(D11=Results!D10,1+IF(OR($O11=3,$P11=3,$Q11=3),1,0),0))</f>
        <v/>
      </c>
      <c r="V11" s="4" t="str">
        <f>IF(OR(E11="",Results!E10=""),"",IF(E11=Results!E10,1+IF(OR($O11=4,$P11=4,$Q11=4),1,0),0))</f>
        <v/>
      </c>
      <c r="W11" s="4" t="str">
        <f>IF(OR(F11="",Results!F10=""),"",IF(F11=Results!F10,1+IF(OR($O11=5,$P11=5,$Q11=5),1,0),0))</f>
        <v/>
      </c>
      <c r="X11" s="4" t="str">
        <f>IF(OR(G11="",Results!G10=""),"",IF(G11=Results!G10,1+IF(OR($O11=6,$P11=6,$Q11=6),1,0),0))</f>
        <v/>
      </c>
      <c r="Y11" s="4" t="str">
        <f>IF(OR(H11="",Results!H10=""),"",IF(H11=Results!H10,1+IF(OR($O11=7,$P11=7,$Q11=7),1,0),0))</f>
        <v/>
      </c>
      <c r="Z11" s="4" t="str">
        <f>IF(OR(I11="",Results!I10=""),"",IF(I11=Results!I10,1+IF(OR($O11=8,$P11=8,$Q11=8),1,0),0))</f>
        <v/>
      </c>
      <c r="AA11" s="4" t="str">
        <f>IF(OR(J11="",Results!J10=""),"",IF(J11=Results!J10,1+IF(OR($O11=9,$P11=9,$Q11=9),1,0),0))</f>
        <v/>
      </c>
      <c r="AB11" s="4" t="str">
        <f>IF(OR(K11="",Results!K10=""),"",IF(K11=Results!K10,1+IF(OR($O11=10,$P11=10,$Q11=10),1,0),0))</f>
        <v/>
      </c>
      <c r="AC11" s="4" t="str">
        <f>IF(OR(L11="",Results!L10=""),"",IF(L11=Results!L10,1+IF(OR($O11=11,$P11=11,$Q11=11),1,0),0))</f>
        <v/>
      </c>
      <c r="AD11" s="4" t="str">
        <f>IF(OR(M11="",Results!M10=""),"",IF(M11=Results!M10,1+IF(OR($O11=12,$P11=12,$Q11=12),1,0),0))</f>
        <v/>
      </c>
      <c r="AE11" s="4" t="str">
        <f>IF(OR(N11="",Results!N10=""),"",IF(N11=Results!N10,1+IF(OR($O11=13,$P11=13,$Q11=13),1,0),0))</f>
        <v/>
      </c>
      <c r="AF11" s="11">
        <f t="shared" si="0"/>
        <v>0</v>
      </c>
      <c r="AG11" s="4" t="str">
        <f>IF(OR($R11="",Results!O10=""),"",ABS($R11-Results!O10))</f>
        <v/>
      </c>
      <c r="AH11" s="12">
        <v>58</v>
      </c>
      <c r="AI11" s="13" t="str">
        <f>IF(OR(B11="",Results!B10=""),"",IF(AND(B11=Results!B10,Results!B10&lt;&gt;Games!$C$70),1,0))</f>
        <v/>
      </c>
      <c r="AJ11" s="13" t="str">
        <f>IF(OR(C11="",Results!C10=""),"",IF(AND(C11=Results!C10,Results!C10&lt;&gt;Games!$C$71),1,0))</f>
        <v/>
      </c>
      <c r="AK11" s="13" t="str">
        <f>IF(OR(D11="",Results!D10=""),"",IF(AND(D11=Results!D10,Results!D10&lt;&gt;Games!$C$72),1,0))</f>
        <v/>
      </c>
      <c r="AL11" s="13" t="str">
        <f>IF(OR(E11="",Results!E10=""),"",IF(AND(E11=Results!E10,Results!E10&lt;&gt;Games!$C$73),1,0))</f>
        <v/>
      </c>
      <c r="AM11" s="13" t="str">
        <f>IF(OR(F11="",Results!F10=""),"",IF(AND(F11=Results!F10,Results!F10&lt;&gt;Games!$C$74),1,0))</f>
        <v/>
      </c>
      <c r="AN11" s="13" t="str">
        <f>IF(OR(G11="",Results!G10=""),"",IF(AND(G11=Results!G10,Results!G10&lt;&gt;Games!$C$75),1,0))</f>
        <v/>
      </c>
      <c r="AO11" s="13" t="str">
        <f>IF(OR(H11="",Results!H10=""),"",IF(AND(H11=Results!H10,Results!H10&lt;&gt;Games!$C$76),1,0))</f>
        <v/>
      </c>
      <c r="AP11" s="13" t="str">
        <f>IF(OR(I11="",Results!I10=""),"",IF(AND(I11=Results!I10,Results!I10&lt;&gt;Games!$C$77),1,0))</f>
        <v/>
      </c>
      <c r="AQ11" s="13" t="str">
        <f>IF(OR(J11="",Results!J10=""),"",IF(AND(J11=Results!J10,Results!J10&lt;&gt;Games!$C$78),1,0))</f>
        <v/>
      </c>
      <c r="AR11" s="13" t="str">
        <f>IF(OR(K11="",Results!K10=""),"",IF(AND(K11=Results!K10,Results!K10&lt;&gt;Games!$C$79),1,0))</f>
        <v/>
      </c>
      <c r="AS11" s="13" t="str">
        <f>IF(OR(L11="",Results!L10=""),"",IF(AND(L11=Results!L10,Results!L10&lt;&gt;Games!$C$80),1,0))</f>
        <v/>
      </c>
      <c r="AT11" s="13" t="str">
        <f>IF(OR(M11="",Results!M10=""),"",IF(AND(M11=Results!M10,Results!M10&lt;&gt;Games!$C$81),1,0))</f>
        <v/>
      </c>
      <c r="AU11" s="13" t="str">
        <f>IF(OR(N11="",Results!N10=""),"",IF(AND(N11=Results!N10,Results!N10&lt;&gt;Games!$C$82),1,0))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 t="str">
        <f>IF(OR(B12="",Results!B10=""),"",IF(B12=Results!B10,1+IF(OR($O12=1,$P12=1,$Q12=1),1,0),0))</f>
        <v/>
      </c>
      <c r="T12" s="4" t="str">
        <f>IF(OR(C12="",Results!C10=""),"",IF(C12=Results!C10,1+IF(OR($O12=2,$P12=2,$Q12=2),1,0),0))</f>
        <v/>
      </c>
      <c r="U12" s="4" t="str">
        <f>IF(OR(D12="",Results!D10=""),"",IF(D12=Results!D10,1+IF(OR($O12=3,$P12=3,$Q12=3),1,0),0))</f>
        <v/>
      </c>
      <c r="V12" s="4" t="str">
        <f>IF(OR(E12="",Results!E10=""),"",IF(E12=Results!E10,1+IF(OR($O12=4,$P12=4,$Q12=4),1,0),0))</f>
        <v/>
      </c>
      <c r="W12" s="4" t="str">
        <f>IF(OR(F12="",Results!F10=""),"",IF(F12=Results!F10,1+IF(OR($O12=5,$P12=5,$Q12=5),1,0),0))</f>
        <v/>
      </c>
      <c r="X12" s="4" t="str">
        <f>IF(OR(G12="",Results!G10=""),"",IF(G12=Results!G10,1+IF(OR($O12=6,$P12=6,$Q12=6),1,0),0))</f>
        <v/>
      </c>
      <c r="Y12" s="4" t="str">
        <f>IF(OR(H12="",Results!H10=""),"",IF(H12=Results!H10,1+IF(OR($O12=7,$P12=7,$Q12=7),1,0),0))</f>
        <v/>
      </c>
      <c r="Z12" s="4" t="str">
        <f>IF(OR(I12="",Results!I10=""),"",IF(I12=Results!I10,1+IF(OR($O12=8,$P12=8,$Q12=8),1,0),0))</f>
        <v/>
      </c>
      <c r="AA12" s="4" t="str">
        <f>IF(OR(J12="",Results!J10=""),"",IF(J12=Results!J10,1+IF(OR($O12=9,$P12=9,$Q12=9),1,0),0))</f>
        <v/>
      </c>
      <c r="AB12" s="4" t="str">
        <f>IF(OR(K12="",Results!K10=""),"",IF(K12=Results!K10,1+IF(OR($O12=10,$P12=10,$Q12=10),1,0),0))</f>
        <v/>
      </c>
      <c r="AC12" s="4" t="str">
        <f>IF(OR(L12="",Results!L10=""),"",IF(L12=Results!L10,1+IF(OR($O12=11,$P12=11,$Q12=11),1,0),0))</f>
        <v/>
      </c>
      <c r="AD12" s="4" t="str">
        <f>IF(OR(M12="",Results!M10=""),"",IF(M12=Results!M10,1+IF(OR($O12=12,$P12=12,$Q12=12),1,0),0))</f>
        <v/>
      </c>
      <c r="AE12" s="4" t="str">
        <f>IF(OR(N12="",Results!N10=""),"",IF(N12=Results!N10,1+IF(OR($O12=13,$P12=13,$Q12=13),1,0),0))</f>
        <v/>
      </c>
      <c r="AF12" s="11">
        <f t="shared" si="0"/>
        <v>0</v>
      </c>
      <c r="AG12" s="4" t="str">
        <f>IF(OR($R12="",Results!O10=""),"",ABS($R12-Results!O10))</f>
        <v/>
      </c>
      <c r="AH12" s="12">
        <v>4</v>
      </c>
      <c r="AI12" s="13" t="str">
        <f>IF(OR(B12="",Results!B10=""),"",IF(AND(B12=Results!B10,Results!B10&lt;&gt;Games!$C$70),1,0))</f>
        <v/>
      </c>
      <c r="AJ12" s="13" t="str">
        <f>IF(OR(C12="",Results!C10=""),"",IF(AND(C12=Results!C10,Results!C10&lt;&gt;Games!$C$71),1,0))</f>
        <v/>
      </c>
      <c r="AK12" s="13" t="str">
        <f>IF(OR(D12="",Results!D10=""),"",IF(AND(D12=Results!D10,Results!D10&lt;&gt;Games!$C$72),1,0))</f>
        <v/>
      </c>
      <c r="AL12" s="13" t="str">
        <f>IF(OR(E12="",Results!E10=""),"",IF(AND(E12=Results!E10,Results!E10&lt;&gt;Games!$C$73),1,0))</f>
        <v/>
      </c>
      <c r="AM12" s="13" t="str">
        <f>IF(OR(F12="",Results!F10=""),"",IF(AND(F12=Results!F10,Results!F10&lt;&gt;Games!$C$74),1,0))</f>
        <v/>
      </c>
      <c r="AN12" s="13" t="str">
        <f>IF(OR(G12="",Results!G10=""),"",IF(AND(G12=Results!G10,Results!G10&lt;&gt;Games!$C$75),1,0))</f>
        <v/>
      </c>
      <c r="AO12" s="13" t="str">
        <f>IF(OR(H12="",Results!H10=""),"",IF(AND(H12=Results!H10,Results!H10&lt;&gt;Games!$C$76),1,0))</f>
        <v/>
      </c>
      <c r="AP12" s="13" t="str">
        <f>IF(OR(I12="",Results!I10=""),"",IF(AND(I12=Results!I10,Results!I10&lt;&gt;Games!$C$77),1,0))</f>
        <v/>
      </c>
      <c r="AQ12" s="13" t="str">
        <f>IF(OR(J12="",Results!J10=""),"",IF(AND(J12=Results!J10,Results!J10&lt;&gt;Games!$C$78),1,0))</f>
        <v/>
      </c>
      <c r="AR12" s="13" t="str">
        <f>IF(OR(K12="",Results!K10=""),"",IF(AND(K12=Results!K10,Results!K10&lt;&gt;Games!$C$79),1,0))</f>
        <v/>
      </c>
      <c r="AS12" s="13" t="str">
        <f>IF(OR(L12="",Results!L10=""),"",IF(AND(L12=Results!L10,Results!L10&lt;&gt;Games!$C$80),1,0))</f>
        <v/>
      </c>
      <c r="AT12" s="13" t="str">
        <f>IF(OR(M12="",Results!M10=""),"",IF(AND(M12=Results!M10,Results!M10&lt;&gt;Games!$C$81),1,0))</f>
        <v/>
      </c>
      <c r="AU12" s="13" t="str">
        <f>IF(OR(N12="",Results!N10=""),"",IF(AND(N12=Results!N10,Results!N10&lt;&gt;Games!$C$82),1,0))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IF(OR(B13="",Results!B10=""),"",IF(B13=Results!B10,1+IF(OR($O13=1,$P13=1,$Q13=1),1,0),0))</f>
        <v/>
      </c>
      <c r="T13" s="4" t="str">
        <f>IF(OR(C13="",Results!C10=""),"",IF(C13=Results!C10,1+IF(OR($O13=2,$P13=2,$Q13=2),1,0),0))</f>
        <v/>
      </c>
      <c r="U13" s="4" t="str">
        <f>IF(OR(D13="",Results!D10=""),"",IF(D13=Results!D10,1+IF(OR($O13=3,$P13=3,$Q13=3),1,0),0))</f>
        <v/>
      </c>
      <c r="V13" s="4" t="str">
        <f>IF(OR(E13="",Results!E10=""),"",IF(E13=Results!E10,1+IF(OR($O13=4,$P13=4,$Q13=4),1,0),0))</f>
        <v/>
      </c>
      <c r="W13" s="4" t="str">
        <f>IF(OR(F13="",Results!F10=""),"",IF(F13=Results!F10,1+IF(OR($O13=5,$P13=5,$Q13=5),1,0),0))</f>
        <v/>
      </c>
      <c r="X13" s="4" t="str">
        <f>IF(OR(G13="",Results!G10=""),"",IF(G13=Results!G10,1+IF(OR($O13=6,$P13=6,$Q13=6),1,0),0))</f>
        <v/>
      </c>
      <c r="Y13" s="4" t="str">
        <f>IF(OR(H13="",Results!H10=""),"",IF(H13=Results!H10,1+IF(OR($O13=7,$P13=7,$Q13=7),1,0),0))</f>
        <v/>
      </c>
      <c r="Z13" s="4" t="str">
        <f>IF(OR(I13="",Results!I10=""),"",IF(I13=Results!I10,1+IF(OR($O13=8,$P13=8,$Q13=8),1,0),0))</f>
        <v/>
      </c>
      <c r="AA13" s="4" t="str">
        <f>IF(OR(J13="",Results!J10=""),"",IF(J13=Results!J10,1+IF(OR($O13=9,$P13=9,$Q13=9),1,0),0))</f>
        <v/>
      </c>
      <c r="AB13" s="4" t="str">
        <f>IF(OR(K13="",Results!K10=""),"",IF(K13=Results!K10,1+IF(OR($O13=10,$P13=10,$Q13=10),1,0),0))</f>
        <v/>
      </c>
      <c r="AC13" s="4" t="str">
        <f>IF(OR(L13="",Results!L10=""),"",IF(L13=Results!L10,1+IF(OR($O13=11,$P13=11,$Q13=11),1,0),0))</f>
        <v/>
      </c>
      <c r="AD13" s="4" t="str">
        <f>IF(OR(M13="",Results!M10=""),"",IF(M13=Results!M10,1+IF(OR($O13=12,$P13=12,$Q13=12),1,0),0))</f>
        <v/>
      </c>
      <c r="AE13" s="4" t="str">
        <f>IF(OR(N13="",Results!N10=""),"",IF(N13=Results!N10,1+IF(OR($O13=13,$P13=13,$Q13=13),1,0),0))</f>
        <v/>
      </c>
      <c r="AF13" s="11">
        <f t="shared" si="0"/>
        <v>0</v>
      </c>
      <c r="AG13" s="4" t="str">
        <f>IF(OR($R13="",Results!O10=""),"",ABS($R13-Results!O10))</f>
        <v/>
      </c>
      <c r="AH13" s="12">
        <v>57</v>
      </c>
      <c r="AI13" s="13" t="str">
        <f>IF(OR(B13="",Results!B10=""),"",IF(AND(B13=Results!B10,Results!B10&lt;&gt;Games!$C$70),1,0))</f>
        <v/>
      </c>
      <c r="AJ13" s="13" t="str">
        <f>IF(OR(C13="",Results!C10=""),"",IF(AND(C13=Results!C10,Results!C10&lt;&gt;Games!$C$71),1,0))</f>
        <v/>
      </c>
      <c r="AK13" s="13" t="str">
        <f>IF(OR(D13="",Results!D10=""),"",IF(AND(D13=Results!D10,Results!D10&lt;&gt;Games!$C$72),1,0))</f>
        <v/>
      </c>
      <c r="AL13" s="13" t="str">
        <f>IF(OR(E13="",Results!E10=""),"",IF(AND(E13=Results!E10,Results!E10&lt;&gt;Games!$C$73),1,0))</f>
        <v/>
      </c>
      <c r="AM13" s="13" t="str">
        <f>IF(OR(F13="",Results!F10=""),"",IF(AND(F13=Results!F10,Results!F10&lt;&gt;Games!$C$74),1,0))</f>
        <v/>
      </c>
      <c r="AN13" s="13" t="str">
        <f>IF(OR(G13="",Results!G10=""),"",IF(AND(G13=Results!G10,Results!G10&lt;&gt;Games!$C$75),1,0))</f>
        <v/>
      </c>
      <c r="AO13" s="13" t="str">
        <f>IF(OR(H13="",Results!H10=""),"",IF(AND(H13=Results!H10,Results!H10&lt;&gt;Games!$C$76),1,0))</f>
        <v/>
      </c>
      <c r="AP13" s="13" t="str">
        <f>IF(OR(I13="",Results!I10=""),"",IF(AND(I13=Results!I10,Results!I10&lt;&gt;Games!$C$77),1,0))</f>
        <v/>
      </c>
      <c r="AQ13" s="13" t="str">
        <f>IF(OR(J13="",Results!J10=""),"",IF(AND(J13=Results!J10,Results!J10&lt;&gt;Games!$C$78),1,0))</f>
        <v/>
      </c>
      <c r="AR13" s="13" t="str">
        <f>IF(OR(K13="",Results!K10=""),"",IF(AND(K13=Results!K10,Results!K10&lt;&gt;Games!$C$79),1,0))</f>
        <v/>
      </c>
      <c r="AS13" s="13" t="str">
        <f>IF(OR(L13="",Results!L10=""),"",IF(AND(L13=Results!L10,Results!L10&lt;&gt;Games!$C$80),1,0))</f>
        <v/>
      </c>
      <c r="AT13" s="13" t="str">
        <f>IF(OR(M13="",Results!M10=""),"",IF(AND(M13=Results!M10,Results!M10&lt;&gt;Games!$C$81),1,0))</f>
        <v/>
      </c>
      <c r="AU13" s="13" t="str">
        <f>IF(OR(N13="",Results!N10=""),"",IF(AND(N13=Results!N10,Results!N10&lt;&gt;Games!$C$82),1,0))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 t="str">
        <f>IF(OR(B14="",Results!B10=""),"",IF(B14=Results!B10,1+IF(OR($O14=1,$P14=1,$Q14=1),1,0),0))</f>
        <v/>
      </c>
      <c r="T14" s="4" t="str">
        <f>IF(OR(C14="",Results!C10=""),"",IF(C14=Results!C10,1+IF(OR($O14=2,$P14=2,$Q14=2),1,0),0))</f>
        <v/>
      </c>
      <c r="U14" s="4" t="str">
        <f>IF(OR(D14="",Results!D10=""),"",IF(D14=Results!D10,1+IF(OR($O14=3,$P14=3,$Q14=3),1,0),0))</f>
        <v/>
      </c>
      <c r="V14" s="4" t="str">
        <f>IF(OR(E14="",Results!E10=""),"",IF(E14=Results!E10,1+IF(OR($O14=4,$P14=4,$Q14=4),1,0),0))</f>
        <v/>
      </c>
      <c r="W14" s="4" t="str">
        <f>IF(OR(F14="",Results!F10=""),"",IF(F14=Results!F10,1+IF(OR($O14=5,$P14=5,$Q14=5),1,0),0))</f>
        <v/>
      </c>
      <c r="X14" s="4" t="str">
        <f>IF(OR(G14="",Results!G10=""),"",IF(G14=Results!G10,1+IF(OR($O14=6,$P14=6,$Q14=6),1,0),0))</f>
        <v/>
      </c>
      <c r="Y14" s="4" t="str">
        <f>IF(OR(H14="",Results!H10=""),"",IF(H14=Results!H10,1+IF(OR($O14=7,$P14=7,$Q14=7),1,0),0))</f>
        <v/>
      </c>
      <c r="Z14" s="4" t="str">
        <f>IF(OR(I14="",Results!I10=""),"",IF(I14=Results!I10,1+IF(OR($O14=8,$P14=8,$Q14=8),1,0),0))</f>
        <v/>
      </c>
      <c r="AA14" s="4" t="str">
        <f>IF(OR(J14="",Results!J10=""),"",IF(J14=Results!J10,1+IF(OR($O14=9,$P14=9,$Q14=9),1,0),0))</f>
        <v/>
      </c>
      <c r="AB14" s="4" t="str">
        <f>IF(OR(K14="",Results!K10=""),"",IF(K14=Results!K10,1+IF(OR($O14=10,$P14=10,$Q14=10),1,0),0))</f>
        <v/>
      </c>
      <c r="AC14" s="4" t="str">
        <f>IF(OR(L14="",Results!L10=""),"",IF(L14=Results!L10,1+IF(OR($O14=11,$P14=11,$Q14=11),1,0),0))</f>
        <v/>
      </c>
      <c r="AD14" s="4" t="str">
        <f>IF(OR(M14="",Results!M10=""),"",IF(M14=Results!M10,1+IF(OR($O14=12,$P14=12,$Q14=12),1,0),0))</f>
        <v/>
      </c>
      <c r="AE14" s="4" t="str">
        <f>IF(OR(N14="",Results!N10=""),"",IF(N14=Results!N10,1+IF(OR($O14=13,$P14=13,$Q14=13),1,0),0))</f>
        <v/>
      </c>
      <c r="AF14" s="11">
        <f t="shared" si="0"/>
        <v>0</v>
      </c>
      <c r="AG14" s="4" t="str">
        <f>IF(OR($R14="",Results!O10=""),"",ABS($R14-Results!O10))</f>
        <v/>
      </c>
      <c r="AH14" s="12">
        <v>6</v>
      </c>
      <c r="AI14" s="13" t="str">
        <f>IF(OR(B14="",Results!B10=""),"",IF(AND(B14=Results!B10,Results!B10&lt;&gt;Games!$C$70),1,0))</f>
        <v/>
      </c>
      <c r="AJ14" s="13" t="str">
        <f>IF(OR(C14="",Results!C10=""),"",IF(AND(C14=Results!C10,Results!C10&lt;&gt;Games!$C$71),1,0))</f>
        <v/>
      </c>
      <c r="AK14" s="13" t="str">
        <f>IF(OR(D14="",Results!D10=""),"",IF(AND(D14=Results!D10,Results!D10&lt;&gt;Games!$C$72),1,0))</f>
        <v/>
      </c>
      <c r="AL14" s="13" t="str">
        <f>IF(OR(E14="",Results!E10=""),"",IF(AND(E14=Results!E10,Results!E10&lt;&gt;Games!$C$73),1,0))</f>
        <v/>
      </c>
      <c r="AM14" s="13" t="str">
        <f>IF(OR(F14="",Results!F10=""),"",IF(AND(F14=Results!F10,Results!F10&lt;&gt;Games!$C$74),1,0))</f>
        <v/>
      </c>
      <c r="AN14" s="13" t="str">
        <f>IF(OR(G14="",Results!G10=""),"",IF(AND(G14=Results!G10,Results!G10&lt;&gt;Games!$C$75),1,0))</f>
        <v/>
      </c>
      <c r="AO14" s="13" t="str">
        <f>IF(OR(H14="",Results!H10=""),"",IF(AND(H14=Results!H10,Results!H10&lt;&gt;Games!$C$76),1,0))</f>
        <v/>
      </c>
      <c r="AP14" s="13" t="str">
        <f>IF(OR(I14="",Results!I10=""),"",IF(AND(I14=Results!I10,Results!I10&lt;&gt;Games!$C$77),1,0))</f>
        <v/>
      </c>
      <c r="AQ14" s="13" t="str">
        <f>IF(OR(J14="",Results!J10=""),"",IF(AND(J14=Results!J10,Results!J10&lt;&gt;Games!$C$78),1,0))</f>
        <v/>
      </c>
      <c r="AR14" s="13" t="str">
        <f>IF(OR(K14="",Results!K10=""),"",IF(AND(K14=Results!K10,Results!K10&lt;&gt;Games!$C$79),1,0))</f>
        <v/>
      </c>
      <c r="AS14" s="13" t="str">
        <f>IF(OR(L14="",Results!L10=""),"",IF(AND(L14=Results!L10,Results!L10&lt;&gt;Games!$C$80),1,0))</f>
        <v/>
      </c>
      <c r="AT14" s="13" t="str">
        <f>IF(OR(M14="",Results!M10=""),"",IF(AND(M14=Results!M10,Results!M10&lt;&gt;Games!$C$81),1,0))</f>
        <v/>
      </c>
      <c r="AU14" s="13" t="str">
        <f>IF(OR(N14="",Results!N10=""),"",IF(AND(N14=Results!N10,Results!N10&lt;&gt;Games!$C$82),1,0))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IF(OR(B15="",Results!B10=""),"",IF(B15=Results!B10,1+IF(OR($O15=1,$P15=1,$Q15=1),1,0),0))</f>
        <v/>
      </c>
      <c r="T15" s="4" t="str">
        <f>IF(OR(C15="",Results!C10=""),"",IF(C15=Results!C10,1+IF(OR($O15=2,$P15=2,$Q15=2),1,0),0))</f>
        <v/>
      </c>
      <c r="U15" s="4" t="str">
        <f>IF(OR(D15="",Results!D10=""),"",IF(D15=Results!D10,1+IF(OR($O15=3,$P15=3,$Q15=3),1,0),0))</f>
        <v/>
      </c>
      <c r="V15" s="4" t="str">
        <f>IF(OR(E15="",Results!E10=""),"",IF(E15=Results!E10,1+IF(OR($O15=4,$P15=4,$Q15=4),1,0),0))</f>
        <v/>
      </c>
      <c r="W15" s="4" t="str">
        <f>IF(OR(F15="",Results!F10=""),"",IF(F15=Results!F10,1+IF(OR($O15=5,$P15=5,$Q15=5),1,0),0))</f>
        <v/>
      </c>
      <c r="X15" s="4" t="str">
        <f>IF(OR(G15="",Results!G10=""),"",IF(G15=Results!G10,1+IF(OR($O15=6,$P15=6,$Q15=6),1,0),0))</f>
        <v/>
      </c>
      <c r="Y15" s="4" t="str">
        <f>IF(OR(H15="",Results!H10=""),"",IF(H15=Results!H10,1+IF(OR($O15=7,$P15=7,$Q15=7),1,0),0))</f>
        <v/>
      </c>
      <c r="Z15" s="4" t="str">
        <f>IF(OR(I15="",Results!I10=""),"",IF(I15=Results!I10,1+IF(OR($O15=8,$P15=8,$Q15=8),1,0),0))</f>
        <v/>
      </c>
      <c r="AA15" s="4" t="str">
        <f>IF(OR(J15="",Results!J10=""),"",IF(J15=Results!J10,1+IF(OR($O15=9,$P15=9,$Q15=9),1,0),0))</f>
        <v/>
      </c>
      <c r="AB15" s="4" t="str">
        <f>IF(OR(K15="",Results!K10=""),"",IF(K15=Results!K10,1+IF(OR($O15=10,$P15=10,$Q15=10),1,0),0))</f>
        <v/>
      </c>
      <c r="AC15" s="4" t="str">
        <f>IF(OR(L15="",Results!L10=""),"",IF(L15=Results!L10,1+IF(OR($O15=11,$P15=11,$Q15=11),1,0),0))</f>
        <v/>
      </c>
      <c r="AD15" s="4" t="str">
        <f>IF(OR(M15="",Results!M10=""),"",IF(M15=Results!M10,1+IF(OR($O15=12,$P15=12,$Q15=12),1,0),0))</f>
        <v/>
      </c>
      <c r="AE15" s="4" t="str">
        <f>IF(OR(N15="",Results!N10=""),"",IF(N15=Results!N10,1+IF(OR($O15=13,$P15=13,$Q15=13),1,0),0))</f>
        <v/>
      </c>
      <c r="AF15" s="11">
        <f t="shared" si="0"/>
        <v>0</v>
      </c>
      <c r="AG15" s="4" t="str">
        <f>IF(OR($R15="",Results!O10=""),"",ABS($R15-Results!O10))</f>
        <v/>
      </c>
      <c r="AH15" s="12">
        <v>5</v>
      </c>
      <c r="AI15" s="13" t="str">
        <f>IF(OR(B15="",Results!B10=""),"",IF(AND(B15=Results!B10,Results!B10&lt;&gt;Games!$C$70),1,0))</f>
        <v/>
      </c>
      <c r="AJ15" s="13" t="str">
        <f>IF(OR(C15="",Results!C10=""),"",IF(AND(C15=Results!C10,Results!C10&lt;&gt;Games!$C$71),1,0))</f>
        <v/>
      </c>
      <c r="AK15" s="13" t="str">
        <f>IF(OR(D15="",Results!D10=""),"",IF(AND(D15=Results!D10,Results!D10&lt;&gt;Games!$C$72),1,0))</f>
        <v/>
      </c>
      <c r="AL15" s="13" t="str">
        <f>IF(OR(E15="",Results!E10=""),"",IF(AND(E15=Results!E10,Results!E10&lt;&gt;Games!$C$73),1,0))</f>
        <v/>
      </c>
      <c r="AM15" s="13" t="str">
        <f>IF(OR(F15="",Results!F10=""),"",IF(AND(F15=Results!F10,Results!F10&lt;&gt;Games!$C$74),1,0))</f>
        <v/>
      </c>
      <c r="AN15" s="13" t="str">
        <f>IF(OR(G15="",Results!G10=""),"",IF(AND(G15=Results!G10,Results!G10&lt;&gt;Games!$C$75),1,0))</f>
        <v/>
      </c>
      <c r="AO15" s="13" t="str">
        <f>IF(OR(H15="",Results!H10=""),"",IF(AND(H15=Results!H10,Results!H10&lt;&gt;Games!$C$76),1,0))</f>
        <v/>
      </c>
      <c r="AP15" s="13" t="str">
        <f>IF(OR(I15="",Results!I10=""),"",IF(AND(I15=Results!I10,Results!I10&lt;&gt;Games!$C$77),1,0))</f>
        <v/>
      </c>
      <c r="AQ15" s="13" t="str">
        <f>IF(OR(J15="",Results!J10=""),"",IF(AND(J15=Results!J10,Results!J10&lt;&gt;Games!$C$78),1,0))</f>
        <v/>
      </c>
      <c r="AR15" s="13" t="str">
        <f>IF(OR(K15="",Results!K10=""),"",IF(AND(K15=Results!K10,Results!K10&lt;&gt;Games!$C$79),1,0))</f>
        <v/>
      </c>
      <c r="AS15" s="13" t="str">
        <f>IF(OR(L15="",Results!L10=""),"",IF(AND(L15=Results!L10,Results!L10&lt;&gt;Games!$C$80),1,0))</f>
        <v/>
      </c>
      <c r="AT15" s="13" t="str">
        <f>IF(OR(M15="",Results!M10=""),"",IF(AND(M15=Results!M10,Results!M10&lt;&gt;Games!$C$81),1,0))</f>
        <v/>
      </c>
      <c r="AU15" s="13" t="str">
        <f>IF(OR(N15="",Results!N10=""),"",IF(AND(N15=Results!N10,Results!N10&lt;&gt;Games!$C$82),1,0))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tr">
        <f>IF(OR(B16="",Results!B10=""),"",IF(B16=Results!B10,1+IF(OR($O16=1,$P16=1,$Q16=1),1,0),0))</f>
        <v/>
      </c>
      <c r="T16" s="4" t="str">
        <f>IF(OR(C16="",Results!C10=""),"",IF(C16=Results!C10,1+IF(OR($O16=2,$P16=2,$Q16=2),1,0),0))</f>
        <v/>
      </c>
      <c r="U16" s="4" t="str">
        <f>IF(OR(D16="",Results!D10=""),"",IF(D16=Results!D10,1+IF(OR($O16=3,$P16=3,$Q16=3),1,0),0))</f>
        <v/>
      </c>
      <c r="V16" s="4" t="str">
        <f>IF(OR(E16="",Results!E10=""),"",IF(E16=Results!E10,1+IF(OR($O16=4,$P16=4,$Q16=4),1,0),0))</f>
        <v/>
      </c>
      <c r="W16" s="4" t="str">
        <f>IF(OR(F16="",Results!F10=""),"",IF(F16=Results!F10,1+IF(OR($O16=5,$P16=5,$Q16=5),1,0),0))</f>
        <v/>
      </c>
      <c r="X16" s="4" t="str">
        <f>IF(OR(G16="",Results!G10=""),"",IF(G16=Results!G10,1+IF(OR($O16=6,$P16=6,$Q16=6),1,0),0))</f>
        <v/>
      </c>
      <c r="Y16" s="4" t="str">
        <f>IF(OR(H16="",Results!H10=""),"",IF(H16=Results!H10,1+IF(OR($O16=7,$P16=7,$Q16=7),1,0),0))</f>
        <v/>
      </c>
      <c r="Z16" s="4" t="str">
        <f>IF(OR(I16="",Results!I10=""),"",IF(I16=Results!I10,1+IF(OR($O16=8,$P16=8,$Q16=8),1,0),0))</f>
        <v/>
      </c>
      <c r="AA16" s="4" t="str">
        <f>IF(OR(J16="",Results!J10=""),"",IF(J16=Results!J10,1+IF(OR($O16=9,$P16=9,$Q16=9),1,0),0))</f>
        <v/>
      </c>
      <c r="AB16" s="4" t="str">
        <f>IF(OR(K16="",Results!K10=""),"",IF(K16=Results!K10,1+IF(OR($O16=10,$P16=10,$Q16=10),1,0),0))</f>
        <v/>
      </c>
      <c r="AC16" s="4" t="str">
        <f>IF(OR(L16="",Results!L10=""),"",IF(L16=Results!L10,1+IF(OR($O16=11,$P16=11,$Q16=11),1,0),0))</f>
        <v/>
      </c>
      <c r="AD16" s="4" t="str">
        <f>IF(OR(M16="",Results!M10=""),"",IF(M16=Results!M10,1+IF(OR($O16=12,$P16=12,$Q16=12),1,0),0))</f>
        <v/>
      </c>
      <c r="AE16" s="4" t="str">
        <f>IF(OR(N16="",Results!N10=""),"",IF(N16=Results!N10,1+IF(OR($O16=13,$P16=13,$Q16=13),1,0),0))</f>
        <v/>
      </c>
      <c r="AF16" s="11">
        <f t="shared" si="0"/>
        <v>0</v>
      </c>
      <c r="AG16" s="4" t="str">
        <f>IF(OR($R16="",Results!O10=""),"",ABS($R16-Results!O10))</f>
        <v/>
      </c>
      <c r="AH16" s="12">
        <v>8</v>
      </c>
      <c r="AI16" s="13" t="str">
        <f>IF(OR(B16="",Results!B10=""),"",IF(AND(B16=Results!B10,Results!B10&lt;&gt;Games!$C$70),1,0))</f>
        <v/>
      </c>
      <c r="AJ16" s="13" t="str">
        <f>IF(OR(C16="",Results!C10=""),"",IF(AND(C16=Results!C10,Results!C10&lt;&gt;Games!$C$71),1,0))</f>
        <v/>
      </c>
      <c r="AK16" s="13" t="str">
        <f>IF(OR(D16="",Results!D10=""),"",IF(AND(D16=Results!D10,Results!D10&lt;&gt;Games!$C$72),1,0))</f>
        <v/>
      </c>
      <c r="AL16" s="13" t="str">
        <f>IF(OR(E16="",Results!E10=""),"",IF(AND(E16=Results!E10,Results!E10&lt;&gt;Games!$C$73),1,0))</f>
        <v/>
      </c>
      <c r="AM16" s="13" t="str">
        <f>IF(OR(F16="",Results!F10=""),"",IF(AND(F16=Results!F10,Results!F10&lt;&gt;Games!$C$74),1,0))</f>
        <v/>
      </c>
      <c r="AN16" s="13" t="str">
        <f>IF(OR(G16="",Results!G10=""),"",IF(AND(G16=Results!G10,Results!G10&lt;&gt;Games!$C$75),1,0))</f>
        <v/>
      </c>
      <c r="AO16" s="13" t="str">
        <f>IF(OR(H16="",Results!H10=""),"",IF(AND(H16=Results!H10,Results!H10&lt;&gt;Games!$C$76),1,0))</f>
        <v/>
      </c>
      <c r="AP16" s="13" t="str">
        <f>IF(OR(I16="",Results!I10=""),"",IF(AND(I16=Results!I10,Results!I10&lt;&gt;Games!$C$77),1,0))</f>
        <v/>
      </c>
      <c r="AQ16" s="13" t="str">
        <f>IF(OR(J16="",Results!J10=""),"",IF(AND(J16=Results!J10,Results!J10&lt;&gt;Games!$C$78),1,0))</f>
        <v/>
      </c>
      <c r="AR16" s="13" t="str">
        <f>IF(OR(K16="",Results!K10=""),"",IF(AND(K16=Results!K10,Results!K10&lt;&gt;Games!$C$79),1,0))</f>
        <v/>
      </c>
      <c r="AS16" s="13" t="str">
        <f>IF(OR(L16="",Results!L10=""),"",IF(AND(L16=Results!L10,Results!L10&lt;&gt;Games!$C$80),1,0))</f>
        <v/>
      </c>
      <c r="AT16" s="13" t="str">
        <f>IF(OR(M16="",Results!M10=""),"",IF(AND(M16=Results!M10,Results!M10&lt;&gt;Games!$C$81),1,0))</f>
        <v/>
      </c>
      <c r="AU16" s="13" t="str">
        <f>IF(OR(N16="",Results!N10=""),"",IF(AND(N16=Results!N10,Results!N10&lt;&gt;Games!$C$82),1,0))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IF(OR(B17="",Results!B10=""),"",IF(B17=Results!B10,1+IF(OR($O17=1,$P17=1,$Q17=1),1,0),0))</f>
        <v/>
      </c>
      <c r="T17" s="4" t="str">
        <f>IF(OR(C17="",Results!C10=""),"",IF(C17=Results!C10,1+IF(OR($O17=2,$P17=2,$Q17=2),1,0),0))</f>
        <v/>
      </c>
      <c r="U17" s="4" t="str">
        <f>IF(OR(D17="",Results!D10=""),"",IF(D17=Results!D10,1+IF(OR($O17=3,$P17=3,$Q17=3),1,0),0))</f>
        <v/>
      </c>
      <c r="V17" s="4" t="str">
        <f>IF(OR(E17="",Results!E10=""),"",IF(E17=Results!E10,1+IF(OR($O17=4,$P17=4,$Q17=4),1,0),0))</f>
        <v/>
      </c>
      <c r="W17" s="4" t="str">
        <f>IF(OR(F17="",Results!F10=""),"",IF(F17=Results!F10,1+IF(OR($O17=5,$P17=5,$Q17=5),1,0),0))</f>
        <v/>
      </c>
      <c r="X17" s="4" t="str">
        <f>IF(OR(G17="",Results!G10=""),"",IF(G17=Results!G10,1+IF(OR($O17=6,$P17=6,$Q17=6),1,0),0))</f>
        <v/>
      </c>
      <c r="Y17" s="4" t="str">
        <f>IF(OR(H17="",Results!H10=""),"",IF(H17=Results!H10,1+IF(OR($O17=7,$P17=7,$Q17=7),1,0),0))</f>
        <v/>
      </c>
      <c r="Z17" s="4" t="str">
        <f>IF(OR(I17="",Results!I10=""),"",IF(I17=Results!I10,1+IF(OR($O17=8,$P17=8,$Q17=8),1,0),0))</f>
        <v/>
      </c>
      <c r="AA17" s="4" t="str">
        <f>IF(OR(J17="",Results!J10=""),"",IF(J17=Results!J10,1+IF(OR($O17=9,$P17=9,$Q17=9),1,0),0))</f>
        <v/>
      </c>
      <c r="AB17" s="4" t="str">
        <f>IF(OR(K17="",Results!K10=""),"",IF(K17=Results!K10,1+IF(OR($O17=10,$P17=10,$Q17=10),1,0),0))</f>
        <v/>
      </c>
      <c r="AC17" s="4" t="str">
        <f>IF(OR(L17="",Results!L10=""),"",IF(L17=Results!L10,1+IF(OR($O17=11,$P17=11,$Q17=11),1,0),0))</f>
        <v/>
      </c>
      <c r="AD17" s="4" t="str">
        <f>IF(OR(M17="",Results!M10=""),"",IF(M17=Results!M10,1+IF(OR($O17=12,$P17=12,$Q17=12),1,0),0))</f>
        <v/>
      </c>
      <c r="AE17" s="4" t="str">
        <f>IF(OR(N17="",Results!N10=""),"",IF(N17=Results!N10,1+IF(OR($O17=13,$P17=13,$Q17=13),1,0),0))</f>
        <v/>
      </c>
      <c r="AF17" s="11">
        <f t="shared" si="0"/>
        <v>0</v>
      </c>
      <c r="AG17" s="4" t="str">
        <f>IF(OR($R17="",Results!O10=""),"",ABS($R17-Results!O10))</f>
        <v/>
      </c>
      <c r="AH17" s="12">
        <v>7</v>
      </c>
      <c r="AI17" s="13" t="str">
        <f>IF(OR(B17="",Results!B10=""),"",IF(AND(B17=Results!B10,Results!B10&lt;&gt;Games!$C$70),1,0))</f>
        <v/>
      </c>
      <c r="AJ17" s="13" t="str">
        <f>IF(OR(C17="",Results!C10=""),"",IF(AND(C17=Results!C10,Results!C10&lt;&gt;Games!$C$71),1,0))</f>
        <v/>
      </c>
      <c r="AK17" s="13" t="str">
        <f>IF(OR(D17="",Results!D10=""),"",IF(AND(D17=Results!D10,Results!D10&lt;&gt;Games!$C$72),1,0))</f>
        <v/>
      </c>
      <c r="AL17" s="13" t="str">
        <f>IF(OR(E17="",Results!E10=""),"",IF(AND(E17=Results!E10,Results!E10&lt;&gt;Games!$C$73),1,0))</f>
        <v/>
      </c>
      <c r="AM17" s="13" t="str">
        <f>IF(OR(F17="",Results!F10=""),"",IF(AND(F17=Results!F10,Results!F10&lt;&gt;Games!$C$74),1,0))</f>
        <v/>
      </c>
      <c r="AN17" s="13" t="str">
        <f>IF(OR(G17="",Results!G10=""),"",IF(AND(G17=Results!G10,Results!G10&lt;&gt;Games!$C$75),1,0))</f>
        <v/>
      </c>
      <c r="AO17" s="13" t="str">
        <f>IF(OR(H17="",Results!H10=""),"",IF(AND(H17=Results!H10,Results!H10&lt;&gt;Games!$C$76),1,0))</f>
        <v/>
      </c>
      <c r="AP17" s="13" t="str">
        <f>IF(OR(I17="",Results!I10=""),"",IF(AND(I17=Results!I10,Results!I10&lt;&gt;Games!$C$77),1,0))</f>
        <v/>
      </c>
      <c r="AQ17" s="13" t="str">
        <f>IF(OR(J17="",Results!J10=""),"",IF(AND(J17=Results!J10,Results!J10&lt;&gt;Games!$C$78),1,0))</f>
        <v/>
      </c>
      <c r="AR17" s="13" t="str">
        <f>IF(OR(K17="",Results!K10=""),"",IF(AND(K17=Results!K10,Results!K10&lt;&gt;Games!$C$79),1,0))</f>
        <v/>
      </c>
      <c r="AS17" s="13" t="str">
        <f>IF(OR(L17="",Results!L10=""),"",IF(AND(L17=Results!L10,Results!L10&lt;&gt;Games!$C$80),1,0))</f>
        <v/>
      </c>
      <c r="AT17" s="13" t="str">
        <f>IF(OR(M17="",Results!M10=""),"",IF(AND(M17=Results!M10,Results!M10&lt;&gt;Games!$C$81),1,0))</f>
        <v/>
      </c>
      <c r="AU17" s="13" t="str">
        <f>IF(OR(N17="",Results!N10=""),"",IF(AND(N17=Results!N10,Results!N10&lt;&gt;Games!$C$82),1,0))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IF(OR(B18="",Results!B10=""),"",IF(B18=Results!B10,1+IF(OR($O18=1,$P18=1,$Q18=1),1,0),0))</f>
        <v/>
      </c>
      <c r="T18" s="4" t="str">
        <f>IF(OR(C18="",Results!C10=""),"",IF(C18=Results!C10,1+IF(OR($O18=2,$P18=2,$Q18=2),1,0),0))</f>
        <v/>
      </c>
      <c r="U18" s="4" t="str">
        <f>IF(OR(D18="",Results!D10=""),"",IF(D18=Results!D10,1+IF(OR($O18=3,$P18=3,$Q18=3),1,0),0))</f>
        <v/>
      </c>
      <c r="V18" s="4" t="str">
        <f>IF(OR(E18="",Results!E10=""),"",IF(E18=Results!E10,1+IF(OR($O18=4,$P18=4,$Q18=4),1,0),0))</f>
        <v/>
      </c>
      <c r="W18" s="4" t="str">
        <f>IF(OR(F18="",Results!F10=""),"",IF(F18=Results!F10,1+IF(OR($O18=5,$P18=5,$Q18=5),1,0),0))</f>
        <v/>
      </c>
      <c r="X18" s="4" t="str">
        <f>IF(OR(G18="",Results!G10=""),"",IF(G18=Results!G10,1+IF(OR($O18=6,$P18=6,$Q18=6),1,0),0))</f>
        <v/>
      </c>
      <c r="Y18" s="4" t="str">
        <f>IF(OR(H18="",Results!H10=""),"",IF(H18=Results!H10,1+IF(OR($O18=7,$P18=7,$Q18=7),1,0),0))</f>
        <v/>
      </c>
      <c r="Z18" s="4" t="str">
        <f>IF(OR(I18="",Results!I10=""),"",IF(I18=Results!I10,1+IF(OR($O18=8,$P18=8,$Q18=8),1,0),0))</f>
        <v/>
      </c>
      <c r="AA18" s="4" t="str">
        <f>IF(OR(J18="",Results!J10=""),"",IF(J18=Results!J10,1+IF(OR($O18=9,$P18=9,$Q18=9),1,0),0))</f>
        <v/>
      </c>
      <c r="AB18" s="4" t="str">
        <f>IF(OR(K18="",Results!K10=""),"",IF(K18=Results!K10,1+IF(OR($O18=10,$P18=10,$Q18=10),1,0),0))</f>
        <v/>
      </c>
      <c r="AC18" s="4" t="str">
        <f>IF(OR(L18="",Results!L10=""),"",IF(L18=Results!L10,1+IF(OR($O18=11,$P18=11,$Q18=11),1,0),0))</f>
        <v/>
      </c>
      <c r="AD18" s="4" t="str">
        <f>IF(OR(M18="",Results!M10=""),"",IF(M18=Results!M10,1+IF(OR($O18=12,$P18=12,$Q18=12),1,0),0))</f>
        <v/>
      </c>
      <c r="AE18" s="4" t="str">
        <f>IF(OR(N18="",Results!N10=""),"",IF(N18=Results!N10,1+IF(OR($O18=13,$P18=13,$Q18=13),1,0),0))</f>
        <v/>
      </c>
      <c r="AF18" s="11">
        <f t="shared" si="0"/>
        <v>0</v>
      </c>
      <c r="AG18" s="4" t="str">
        <f>IF(OR($R18="",Results!O10=""),"",ABS($R18-Results!O10))</f>
        <v/>
      </c>
      <c r="AH18" s="12">
        <v>37</v>
      </c>
      <c r="AI18" s="13" t="str">
        <f>IF(OR(B18="",Results!B10=""),"",IF(AND(B18=Results!B10,Results!B10&lt;&gt;Games!$C$70),1,0))</f>
        <v/>
      </c>
      <c r="AJ18" s="13" t="str">
        <f>IF(OR(C18="",Results!C10=""),"",IF(AND(C18=Results!C10,Results!C10&lt;&gt;Games!$C$71),1,0))</f>
        <v/>
      </c>
      <c r="AK18" s="13" t="str">
        <f>IF(OR(D18="",Results!D10=""),"",IF(AND(D18=Results!D10,Results!D10&lt;&gt;Games!$C$72),1,0))</f>
        <v/>
      </c>
      <c r="AL18" s="13" t="str">
        <f>IF(OR(E18="",Results!E10=""),"",IF(AND(E18=Results!E10,Results!E10&lt;&gt;Games!$C$73),1,0))</f>
        <v/>
      </c>
      <c r="AM18" s="13" t="str">
        <f>IF(OR(F18="",Results!F10=""),"",IF(AND(F18=Results!F10,Results!F10&lt;&gt;Games!$C$74),1,0))</f>
        <v/>
      </c>
      <c r="AN18" s="13" t="str">
        <f>IF(OR(G18="",Results!G10=""),"",IF(AND(G18=Results!G10,Results!G10&lt;&gt;Games!$C$75),1,0))</f>
        <v/>
      </c>
      <c r="AO18" s="13" t="str">
        <f>IF(OR(H18="",Results!H10=""),"",IF(AND(H18=Results!H10,Results!H10&lt;&gt;Games!$C$76),1,0))</f>
        <v/>
      </c>
      <c r="AP18" s="13" t="str">
        <f>IF(OR(I18="",Results!I10=""),"",IF(AND(I18=Results!I10,Results!I10&lt;&gt;Games!$C$77),1,0))</f>
        <v/>
      </c>
      <c r="AQ18" s="13" t="str">
        <f>IF(OR(J18="",Results!J10=""),"",IF(AND(J18=Results!J10,Results!J10&lt;&gt;Games!$C$78),1,0))</f>
        <v/>
      </c>
      <c r="AR18" s="13" t="str">
        <f>IF(OR(K18="",Results!K10=""),"",IF(AND(K18=Results!K10,Results!K10&lt;&gt;Games!$C$79),1,0))</f>
        <v/>
      </c>
      <c r="AS18" s="13" t="str">
        <f>IF(OR(L18="",Results!L10=""),"",IF(AND(L18=Results!L10,Results!L10&lt;&gt;Games!$C$80),1,0))</f>
        <v/>
      </c>
      <c r="AT18" s="13" t="str">
        <f>IF(OR(M18="",Results!M10=""),"",IF(AND(M18=Results!M10,Results!M10&lt;&gt;Games!$C$81),1,0))</f>
        <v/>
      </c>
      <c r="AU18" s="13" t="str">
        <f>IF(OR(N18="",Results!N10=""),"",IF(AND(N18=Results!N10,Results!N10&lt;&gt;Games!$C$82),1,0))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IF(OR(B19="",Results!B10=""),"",IF(B19=Results!B10,1+IF(OR($O19=1,$P19=1,$Q19=1),1,0),0))</f>
        <v/>
      </c>
      <c r="T19" s="4" t="str">
        <f>IF(OR(C19="",Results!C10=""),"",IF(C19=Results!C10,1+IF(OR($O19=2,$P19=2,$Q19=2),1,0),0))</f>
        <v/>
      </c>
      <c r="U19" s="4" t="str">
        <f>IF(OR(D19="",Results!D10=""),"",IF(D19=Results!D10,1+IF(OR($O19=3,$P19=3,$Q19=3),1,0),0))</f>
        <v/>
      </c>
      <c r="V19" s="4" t="str">
        <f>IF(OR(E19="",Results!E10=""),"",IF(E19=Results!E10,1+IF(OR($O19=4,$P19=4,$Q19=4),1,0),0))</f>
        <v/>
      </c>
      <c r="W19" s="4" t="str">
        <f>IF(OR(F19="",Results!F10=""),"",IF(F19=Results!F10,1+IF(OR($O19=5,$P19=5,$Q19=5),1,0),0))</f>
        <v/>
      </c>
      <c r="X19" s="4" t="str">
        <f>IF(OR(G19="",Results!G10=""),"",IF(G19=Results!G10,1+IF(OR($O19=6,$P19=6,$Q19=6),1,0),0))</f>
        <v/>
      </c>
      <c r="Y19" s="4" t="str">
        <f>IF(OR(H19="",Results!H10=""),"",IF(H19=Results!H10,1+IF(OR($O19=7,$P19=7,$Q19=7),1,0),0))</f>
        <v/>
      </c>
      <c r="Z19" s="4" t="str">
        <f>IF(OR(I19="",Results!I10=""),"",IF(I19=Results!I10,1+IF(OR($O19=8,$P19=8,$Q19=8),1,0),0))</f>
        <v/>
      </c>
      <c r="AA19" s="4" t="str">
        <f>IF(OR(J19="",Results!J10=""),"",IF(J19=Results!J10,1+IF(OR($O19=9,$P19=9,$Q19=9),1,0),0))</f>
        <v/>
      </c>
      <c r="AB19" s="4" t="str">
        <f>IF(OR(K19="",Results!K10=""),"",IF(K19=Results!K10,1+IF(OR($O19=10,$P19=10,$Q19=10),1,0),0))</f>
        <v/>
      </c>
      <c r="AC19" s="4" t="str">
        <f>IF(OR(L19="",Results!L10=""),"",IF(L19=Results!L10,1+IF(OR($O19=11,$P19=11,$Q19=11),1,0),0))</f>
        <v/>
      </c>
      <c r="AD19" s="4" t="str">
        <f>IF(OR(M19="",Results!M10=""),"",IF(M19=Results!M10,1+IF(OR($O19=12,$P19=12,$Q19=12),1,0),0))</f>
        <v/>
      </c>
      <c r="AE19" s="4" t="str">
        <f>IF(OR(N19="",Results!N10=""),"",IF(N19=Results!N10,1+IF(OR($O19=13,$P19=13,$Q19=13),1,0),0))</f>
        <v/>
      </c>
      <c r="AF19" s="11">
        <f t="shared" si="0"/>
        <v>0</v>
      </c>
      <c r="AG19" s="4" t="str">
        <f>IF(OR($R19="",Results!O10=""),"",ABS($R19-Results!O10))</f>
        <v/>
      </c>
      <c r="AH19" s="12">
        <v>26</v>
      </c>
      <c r="AI19" s="13" t="str">
        <f>IF(OR(B19="",Results!B10=""),"",IF(AND(B19=Results!B10,Results!B10&lt;&gt;Games!$C$70),1,0))</f>
        <v/>
      </c>
      <c r="AJ19" s="13" t="str">
        <f>IF(OR(C19="",Results!C10=""),"",IF(AND(C19=Results!C10,Results!C10&lt;&gt;Games!$C$71),1,0))</f>
        <v/>
      </c>
      <c r="AK19" s="13" t="str">
        <f>IF(OR(D19="",Results!D10=""),"",IF(AND(D19=Results!D10,Results!D10&lt;&gt;Games!$C$72),1,0))</f>
        <v/>
      </c>
      <c r="AL19" s="13" t="str">
        <f>IF(OR(E19="",Results!E10=""),"",IF(AND(E19=Results!E10,Results!E10&lt;&gt;Games!$C$73),1,0))</f>
        <v/>
      </c>
      <c r="AM19" s="13" t="str">
        <f>IF(OR(F19="",Results!F10=""),"",IF(AND(F19=Results!F10,Results!F10&lt;&gt;Games!$C$74),1,0))</f>
        <v/>
      </c>
      <c r="AN19" s="13" t="str">
        <f>IF(OR(G19="",Results!G10=""),"",IF(AND(G19=Results!G10,Results!G10&lt;&gt;Games!$C$75),1,0))</f>
        <v/>
      </c>
      <c r="AO19" s="13" t="str">
        <f>IF(OR(H19="",Results!H10=""),"",IF(AND(H19=Results!H10,Results!H10&lt;&gt;Games!$C$76),1,0))</f>
        <v/>
      </c>
      <c r="AP19" s="13" t="str">
        <f>IF(OR(I19="",Results!I10=""),"",IF(AND(I19=Results!I10,Results!I10&lt;&gt;Games!$C$77),1,0))</f>
        <v/>
      </c>
      <c r="AQ19" s="13" t="str">
        <f>IF(OR(J19="",Results!J10=""),"",IF(AND(J19=Results!J10,Results!J10&lt;&gt;Games!$C$78),1,0))</f>
        <v/>
      </c>
      <c r="AR19" s="13" t="str">
        <f>IF(OR(K19="",Results!K10=""),"",IF(AND(K19=Results!K10,Results!K10&lt;&gt;Games!$C$79),1,0))</f>
        <v/>
      </c>
      <c r="AS19" s="13" t="str">
        <f>IF(OR(L19="",Results!L10=""),"",IF(AND(L19=Results!L10,Results!L10&lt;&gt;Games!$C$80),1,0))</f>
        <v/>
      </c>
      <c r="AT19" s="13" t="str">
        <f>IF(OR(M19="",Results!M10=""),"",IF(AND(M19=Results!M10,Results!M10&lt;&gt;Games!$C$81),1,0))</f>
        <v/>
      </c>
      <c r="AU19" s="13" t="str">
        <f>IF(OR(N19="",Results!N10=""),"",IF(AND(N19=Results!N10,Results!N10&lt;&gt;Games!$C$82),1,0))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 t="str">
        <f>IF(OR(B20="",Results!B10=""),"",IF(B20=Results!B10,1+IF(OR($O20=1,$P20=1,$Q20=1),1,0),0))</f>
        <v/>
      </c>
      <c r="T20" s="4" t="str">
        <f>IF(OR(C20="",Results!C10=""),"",IF(C20=Results!C10,1+IF(OR($O20=2,$P20=2,$Q20=2),1,0),0))</f>
        <v/>
      </c>
      <c r="U20" s="4" t="str">
        <f>IF(OR(D20="",Results!D10=""),"",IF(D20=Results!D10,1+IF(OR($O20=3,$P20=3,$Q20=3),1,0),0))</f>
        <v/>
      </c>
      <c r="V20" s="4" t="str">
        <f>IF(OR(E20="",Results!E10=""),"",IF(E20=Results!E10,1+IF(OR($O20=4,$P20=4,$Q20=4),1,0),0))</f>
        <v/>
      </c>
      <c r="W20" s="4" t="str">
        <f>IF(OR(F20="",Results!F10=""),"",IF(F20=Results!F10,1+IF(OR($O20=5,$P20=5,$Q20=5),1,0),0))</f>
        <v/>
      </c>
      <c r="X20" s="4" t="str">
        <f>IF(OR(G20="",Results!G10=""),"",IF(G20=Results!G10,1+IF(OR($O20=6,$P20=6,$Q20=6),1,0),0))</f>
        <v/>
      </c>
      <c r="Y20" s="4" t="str">
        <f>IF(OR(H20="",Results!H10=""),"",IF(H20=Results!H10,1+IF(OR($O20=7,$P20=7,$Q20=7),1,0),0))</f>
        <v/>
      </c>
      <c r="Z20" s="4" t="str">
        <f>IF(OR(I20="",Results!I10=""),"",IF(I20=Results!I10,1+IF(OR($O20=8,$P20=8,$Q20=8),1,0),0))</f>
        <v/>
      </c>
      <c r="AA20" s="4" t="str">
        <f>IF(OR(J20="",Results!J10=""),"",IF(J20=Results!J10,1+IF(OR($O20=9,$P20=9,$Q20=9),1,0),0))</f>
        <v/>
      </c>
      <c r="AB20" s="4" t="str">
        <f>IF(OR(K20="",Results!K10=""),"",IF(K20=Results!K10,1+IF(OR($O20=10,$P20=10,$Q20=10),1,0),0))</f>
        <v/>
      </c>
      <c r="AC20" s="4" t="str">
        <f>IF(OR(L20="",Results!L10=""),"",IF(L20=Results!L10,1+IF(OR($O20=11,$P20=11,$Q20=11),1,0),0))</f>
        <v/>
      </c>
      <c r="AD20" s="4" t="str">
        <f>IF(OR(M20="",Results!M10=""),"",IF(M20=Results!M10,1+IF(OR($O20=12,$P20=12,$Q20=12),1,0),0))</f>
        <v/>
      </c>
      <c r="AE20" s="4" t="str">
        <f>IF(OR(N20="",Results!N10=""),"",IF(N20=Results!N10,1+IF(OR($O20=13,$P20=13,$Q20=13),1,0),0))</f>
        <v/>
      </c>
      <c r="AF20" s="11">
        <f t="shared" si="0"/>
        <v>0</v>
      </c>
      <c r="AG20" s="4" t="str">
        <f>IF(OR($R20="",Results!O10=""),"",ABS($R20-Results!O10))</f>
        <v/>
      </c>
      <c r="AH20" s="12">
        <v>52</v>
      </c>
      <c r="AI20" s="13" t="str">
        <f>IF(OR(B20="",Results!B10=""),"",IF(AND(B20=Results!B10,Results!B10&lt;&gt;Games!$C$70),1,0))</f>
        <v/>
      </c>
      <c r="AJ20" s="13" t="str">
        <f>IF(OR(C20="",Results!C10=""),"",IF(AND(C20=Results!C10,Results!C10&lt;&gt;Games!$C$71),1,0))</f>
        <v/>
      </c>
      <c r="AK20" s="13" t="str">
        <f>IF(OR(D20="",Results!D10=""),"",IF(AND(D20=Results!D10,Results!D10&lt;&gt;Games!$C$72),1,0))</f>
        <v/>
      </c>
      <c r="AL20" s="13" t="str">
        <f>IF(OR(E20="",Results!E10=""),"",IF(AND(E20=Results!E10,Results!E10&lt;&gt;Games!$C$73),1,0))</f>
        <v/>
      </c>
      <c r="AM20" s="13" t="str">
        <f>IF(OR(F20="",Results!F10=""),"",IF(AND(F20=Results!F10,Results!F10&lt;&gt;Games!$C$74),1,0))</f>
        <v/>
      </c>
      <c r="AN20" s="13" t="str">
        <f>IF(OR(G20="",Results!G10=""),"",IF(AND(G20=Results!G10,Results!G10&lt;&gt;Games!$C$75),1,0))</f>
        <v/>
      </c>
      <c r="AO20" s="13" t="str">
        <f>IF(OR(H20="",Results!H10=""),"",IF(AND(H20=Results!H10,Results!H10&lt;&gt;Games!$C$76),1,0))</f>
        <v/>
      </c>
      <c r="AP20" s="13" t="str">
        <f>IF(OR(I20="",Results!I10=""),"",IF(AND(I20=Results!I10,Results!I10&lt;&gt;Games!$C$77),1,0))</f>
        <v/>
      </c>
      <c r="AQ20" s="13" t="str">
        <f>IF(OR(J20="",Results!J10=""),"",IF(AND(J20=Results!J10,Results!J10&lt;&gt;Games!$C$78),1,0))</f>
        <v/>
      </c>
      <c r="AR20" s="13" t="str">
        <f>IF(OR(K20="",Results!K10=""),"",IF(AND(K20=Results!K10,Results!K10&lt;&gt;Games!$C$79),1,0))</f>
        <v/>
      </c>
      <c r="AS20" s="13" t="str">
        <f>IF(OR(L20="",Results!L10=""),"",IF(AND(L20=Results!L10,Results!L10&lt;&gt;Games!$C$80),1,0))</f>
        <v/>
      </c>
      <c r="AT20" s="13" t="str">
        <f>IF(OR(M20="",Results!M10=""),"",IF(AND(M20=Results!M10,Results!M10&lt;&gt;Games!$C$81),1,0))</f>
        <v/>
      </c>
      <c r="AU20" s="13" t="str">
        <f>IF(OR(N20="",Results!N10=""),"",IF(AND(N20=Results!N10,Results!N10&lt;&gt;Games!$C$82),1,0))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 t="str">
        <f>IF(OR(B21="",Results!B10=""),"",IF(B21=Results!B10,1+IF(OR($O21=1,$P21=1,$Q21=1),1,0),0))</f>
        <v/>
      </c>
      <c r="T21" s="4" t="str">
        <f>IF(OR(C21="",Results!C10=""),"",IF(C21=Results!C10,1+IF(OR($O21=2,$P21=2,$Q21=2),1,0),0))</f>
        <v/>
      </c>
      <c r="U21" s="4" t="str">
        <f>IF(OR(D21="",Results!D10=""),"",IF(D21=Results!D10,1+IF(OR($O21=3,$P21=3,$Q21=3),1,0),0))</f>
        <v/>
      </c>
      <c r="V21" s="4" t="str">
        <f>IF(OR(E21="",Results!E10=""),"",IF(E21=Results!E10,1+IF(OR($O21=4,$P21=4,$Q21=4),1,0),0))</f>
        <v/>
      </c>
      <c r="W21" s="4" t="str">
        <f>IF(OR(F21="",Results!F10=""),"",IF(F21=Results!F10,1+IF(OR($O21=5,$P21=5,$Q21=5),1,0),0))</f>
        <v/>
      </c>
      <c r="X21" s="4" t="str">
        <f>IF(OR(G21="",Results!G10=""),"",IF(G21=Results!G10,1+IF(OR($O21=6,$P21=6,$Q21=6),1,0),0))</f>
        <v/>
      </c>
      <c r="Y21" s="4" t="str">
        <f>IF(OR(H21="",Results!H10=""),"",IF(H21=Results!H10,1+IF(OR($O21=7,$P21=7,$Q21=7),1,0),0))</f>
        <v/>
      </c>
      <c r="Z21" s="4" t="str">
        <f>IF(OR(I21="",Results!I10=""),"",IF(I21=Results!I10,1+IF(OR($O21=8,$P21=8,$Q21=8),1,0),0))</f>
        <v/>
      </c>
      <c r="AA21" s="4" t="str">
        <f>IF(OR(J21="",Results!J10=""),"",IF(J21=Results!J10,1+IF(OR($O21=9,$P21=9,$Q21=9),1,0),0))</f>
        <v/>
      </c>
      <c r="AB21" s="4" t="str">
        <f>IF(OR(K21="",Results!K10=""),"",IF(K21=Results!K10,1+IF(OR($O21=10,$P21=10,$Q21=10),1,0),0))</f>
        <v/>
      </c>
      <c r="AC21" s="4" t="str">
        <f>IF(OR(L21="",Results!L10=""),"",IF(L21=Results!L10,1+IF(OR($O21=11,$P21=11,$Q21=11),1,0),0))</f>
        <v/>
      </c>
      <c r="AD21" s="4" t="str">
        <f>IF(OR(M21="",Results!M10=""),"",IF(M21=Results!M10,1+IF(OR($O21=12,$P21=12,$Q21=12),1,0),0))</f>
        <v/>
      </c>
      <c r="AE21" s="4" t="str">
        <f>IF(OR(N21="",Results!N10=""),"",IF(N21=Results!N10,1+IF(OR($O21=13,$P21=13,$Q21=13),1,0),0))</f>
        <v/>
      </c>
      <c r="AF21" s="11">
        <f t="shared" si="0"/>
        <v>0</v>
      </c>
      <c r="AG21" s="4" t="str">
        <f>IF(OR($R21="",Results!O10=""),"",ABS($R21-Results!O10))</f>
        <v/>
      </c>
      <c r="AH21" s="12">
        <v>9</v>
      </c>
      <c r="AI21" s="13" t="str">
        <f>IF(OR(B21="",Results!B10=""),"",IF(AND(B21=Results!B10,Results!B10&lt;&gt;Games!$C$70),1,0))</f>
        <v/>
      </c>
      <c r="AJ21" s="13" t="str">
        <f>IF(OR(C21="",Results!C10=""),"",IF(AND(C21=Results!C10,Results!C10&lt;&gt;Games!$C$71),1,0))</f>
        <v/>
      </c>
      <c r="AK21" s="13" t="str">
        <f>IF(OR(D21="",Results!D10=""),"",IF(AND(D21=Results!D10,Results!D10&lt;&gt;Games!$C$72),1,0))</f>
        <v/>
      </c>
      <c r="AL21" s="13" t="str">
        <f>IF(OR(E21="",Results!E10=""),"",IF(AND(E21=Results!E10,Results!E10&lt;&gt;Games!$C$73),1,0))</f>
        <v/>
      </c>
      <c r="AM21" s="13" t="str">
        <f>IF(OR(F21="",Results!F10=""),"",IF(AND(F21=Results!F10,Results!F10&lt;&gt;Games!$C$74),1,0))</f>
        <v/>
      </c>
      <c r="AN21" s="13" t="str">
        <f>IF(OR(G21="",Results!G10=""),"",IF(AND(G21=Results!G10,Results!G10&lt;&gt;Games!$C$75),1,0))</f>
        <v/>
      </c>
      <c r="AO21" s="13" t="str">
        <f>IF(OR(H21="",Results!H10=""),"",IF(AND(H21=Results!H10,Results!H10&lt;&gt;Games!$C$76),1,0))</f>
        <v/>
      </c>
      <c r="AP21" s="13" t="str">
        <f>IF(OR(I21="",Results!I10=""),"",IF(AND(I21=Results!I10,Results!I10&lt;&gt;Games!$C$77),1,0))</f>
        <v/>
      </c>
      <c r="AQ21" s="13" t="str">
        <f>IF(OR(J21="",Results!J10=""),"",IF(AND(J21=Results!J10,Results!J10&lt;&gt;Games!$C$78),1,0))</f>
        <v/>
      </c>
      <c r="AR21" s="13" t="str">
        <f>IF(OR(K21="",Results!K10=""),"",IF(AND(K21=Results!K10,Results!K10&lt;&gt;Games!$C$79),1,0))</f>
        <v/>
      </c>
      <c r="AS21" s="13" t="str">
        <f>IF(OR(L21="",Results!L10=""),"",IF(AND(L21=Results!L10,Results!L10&lt;&gt;Games!$C$80),1,0))</f>
        <v/>
      </c>
      <c r="AT21" s="13" t="str">
        <f>IF(OR(M21="",Results!M10=""),"",IF(AND(M21=Results!M10,Results!M10&lt;&gt;Games!$C$81),1,0))</f>
        <v/>
      </c>
      <c r="AU21" s="13" t="str">
        <f>IF(OR(N21="",Results!N10=""),"",IF(AND(N21=Results!N10,Results!N10&lt;&gt;Games!$C$82),1,0))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 t="str">
        <f>IF(OR(B22="",Results!B10=""),"",IF(B22=Results!B10,1+IF(OR($O22=1,$P22=1,$Q22=1),1,0),0))</f>
        <v/>
      </c>
      <c r="T22" s="4" t="str">
        <f>IF(OR(C22="",Results!C10=""),"",IF(C22=Results!C10,1+IF(OR($O22=2,$P22=2,$Q22=2),1,0),0))</f>
        <v/>
      </c>
      <c r="U22" s="4" t="str">
        <f>IF(OR(D22="",Results!D10=""),"",IF(D22=Results!D10,1+IF(OR($O22=3,$P22=3,$Q22=3),1,0),0))</f>
        <v/>
      </c>
      <c r="V22" s="4" t="str">
        <f>IF(OR(E22="",Results!E10=""),"",IF(E22=Results!E10,1+IF(OR($O22=4,$P22=4,$Q22=4),1,0),0))</f>
        <v/>
      </c>
      <c r="W22" s="4" t="str">
        <f>IF(OR(F22="",Results!F10=""),"",IF(F22=Results!F10,1+IF(OR($O22=5,$P22=5,$Q22=5),1,0),0))</f>
        <v/>
      </c>
      <c r="X22" s="4" t="str">
        <f>IF(OR(G22="",Results!G10=""),"",IF(G22=Results!G10,1+IF(OR($O22=6,$P22=6,$Q22=6),1,0),0))</f>
        <v/>
      </c>
      <c r="Y22" s="4" t="str">
        <f>IF(OR(H22="",Results!H10=""),"",IF(H22=Results!H10,1+IF(OR($O22=7,$P22=7,$Q22=7),1,0),0))</f>
        <v/>
      </c>
      <c r="Z22" s="4" t="str">
        <f>IF(OR(I22="",Results!I10=""),"",IF(I22=Results!I10,1+IF(OR($O22=8,$P22=8,$Q22=8),1,0),0))</f>
        <v/>
      </c>
      <c r="AA22" s="4" t="str">
        <f>IF(OR(J22="",Results!J10=""),"",IF(J22=Results!J10,1+IF(OR($O22=9,$P22=9,$Q22=9),1,0),0))</f>
        <v/>
      </c>
      <c r="AB22" s="4" t="str">
        <f>IF(OR(K22="",Results!K10=""),"",IF(K22=Results!K10,1+IF(OR($O22=10,$P22=10,$Q22=10),1,0),0))</f>
        <v/>
      </c>
      <c r="AC22" s="4" t="str">
        <f>IF(OR(L22="",Results!L10=""),"",IF(L22=Results!L10,1+IF(OR($O22=11,$P22=11,$Q22=11),1,0),0))</f>
        <v/>
      </c>
      <c r="AD22" s="4" t="str">
        <f>IF(OR(M22="",Results!M10=""),"",IF(M22=Results!M10,1+IF(OR($O22=12,$P22=12,$Q22=12),1,0),0))</f>
        <v/>
      </c>
      <c r="AE22" s="4" t="str">
        <f>IF(OR(N22="",Results!N10=""),"",IF(N22=Results!N10,1+IF(OR($O22=13,$P22=13,$Q22=13),1,0),0))</f>
        <v/>
      </c>
      <c r="AF22" s="11">
        <f t="shared" si="0"/>
        <v>0</v>
      </c>
      <c r="AG22" s="4" t="str">
        <f>IF(OR($R22="",Results!O10=""),"",ABS($R22-Results!O10))</f>
        <v/>
      </c>
      <c r="AH22" s="12">
        <v>10</v>
      </c>
      <c r="AI22" s="13" t="str">
        <f>IF(OR(B22="",Results!B10=""),"",IF(AND(B22=Results!B10,Results!B10&lt;&gt;Games!$C$70),1,0))</f>
        <v/>
      </c>
      <c r="AJ22" s="13" t="str">
        <f>IF(OR(C22="",Results!C10=""),"",IF(AND(C22=Results!C10,Results!C10&lt;&gt;Games!$C$71),1,0))</f>
        <v/>
      </c>
      <c r="AK22" s="13" t="str">
        <f>IF(OR(D22="",Results!D10=""),"",IF(AND(D22=Results!D10,Results!D10&lt;&gt;Games!$C$72),1,0))</f>
        <v/>
      </c>
      <c r="AL22" s="13" t="str">
        <f>IF(OR(E22="",Results!E10=""),"",IF(AND(E22=Results!E10,Results!E10&lt;&gt;Games!$C$73),1,0))</f>
        <v/>
      </c>
      <c r="AM22" s="13" t="str">
        <f>IF(OR(F22="",Results!F10=""),"",IF(AND(F22=Results!F10,Results!F10&lt;&gt;Games!$C$74),1,0))</f>
        <v/>
      </c>
      <c r="AN22" s="13" t="str">
        <f>IF(OR(G22="",Results!G10=""),"",IF(AND(G22=Results!G10,Results!G10&lt;&gt;Games!$C$75),1,0))</f>
        <v/>
      </c>
      <c r="AO22" s="13" t="str">
        <f>IF(OR(H22="",Results!H10=""),"",IF(AND(H22=Results!H10,Results!H10&lt;&gt;Games!$C$76),1,0))</f>
        <v/>
      </c>
      <c r="AP22" s="13" t="str">
        <f>IF(OR(I22="",Results!I10=""),"",IF(AND(I22=Results!I10,Results!I10&lt;&gt;Games!$C$77),1,0))</f>
        <v/>
      </c>
      <c r="AQ22" s="13" t="str">
        <f>IF(OR(J22="",Results!J10=""),"",IF(AND(J22=Results!J10,Results!J10&lt;&gt;Games!$C$78),1,0))</f>
        <v/>
      </c>
      <c r="AR22" s="13" t="str">
        <f>IF(OR(K22="",Results!K10=""),"",IF(AND(K22=Results!K10,Results!K10&lt;&gt;Games!$C$79),1,0))</f>
        <v/>
      </c>
      <c r="AS22" s="13" t="str">
        <f>IF(OR(L22="",Results!L10=""),"",IF(AND(L22=Results!L10,Results!L10&lt;&gt;Games!$C$80),1,0))</f>
        <v/>
      </c>
      <c r="AT22" s="13" t="str">
        <f>IF(OR(M22="",Results!M10=""),"",IF(AND(M22=Results!M10,Results!M10&lt;&gt;Games!$C$81),1,0))</f>
        <v/>
      </c>
      <c r="AU22" s="13" t="str">
        <f>IF(OR(N22="",Results!N10=""),"",IF(AND(N22=Results!N10,Results!N10&lt;&gt;Games!$C$82),1,0))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 t="str">
        <f>IF(OR(B23="",Results!B10=""),"",IF(B23=Results!B10,1+IF(OR($O23=1,$P23=1,$Q23=1),1,0),0))</f>
        <v/>
      </c>
      <c r="T23" s="4" t="str">
        <f>IF(OR(C23="",Results!C10=""),"",IF(C23=Results!C10,1+IF(OR($O23=2,$P23=2,$Q23=2),1,0),0))</f>
        <v/>
      </c>
      <c r="U23" s="4" t="str">
        <f>IF(OR(D23="",Results!D10=""),"",IF(D23=Results!D10,1+IF(OR($O23=3,$P23=3,$Q23=3),1,0),0))</f>
        <v/>
      </c>
      <c r="V23" s="4" t="str">
        <f>IF(OR(E23="",Results!E10=""),"",IF(E23=Results!E10,1+IF(OR($O23=4,$P23=4,$Q23=4),1,0),0))</f>
        <v/>
      </c>
      <c r="W23" s="4" t="str">
        <f>IF(OR(F23="",Results!F10=""),"",IF(F23=Results!F10,1+IF(OR($O23=5,$P23=5,$Q23=5),1,0),0))</f>
        <v/>
      </c>
      <c r="X23" s="4" t="str">
        <f>IF(OR(G23="",Results!G10=""),"",IF(G23=Results!G10,1+IF(OR($O23=6,$P23=6,$Q23=6),1,0),0))</f>
        <v/>
      </c>
      <c r="Y23" s="4" t="str">
        <f>IF(OR(H23="",Results!H10=""),"",IF(H23=Results!H10,1+IF(OR($O23=7,$P23=7,$Q23=7),1,0),0))</f>
        <v/>
      </c>
      <c r="Z23" s="4" t="str">
        <f>IF(OR(I23="",Results!I10=""),"",IF(I23=Results!I10,1+IF(OR($O23=8,$P23=8,$Q23=8),1,0),0))</f>
        <v/>
      </c>
      <c r="AA23" s="4" t="str">
        <f>IF(OR(J23="",Results!J10=""),"",IF(J23=Results!J10,1+IF(OR($O23=9,$P23=9,$Q23=9),1,0),0))</f>
        <v/>
      </c>
      <c r="AB23" s="4" t="str">
        <f>IF(OR(K23="",Results!K10=""),"",IF(K23=Results!K10,1+IF(OR($O23=10,$P23=10,$Q23=10),1,0),0))</f>
        <v/>
      </c>
      <c r="AC23" s="4" t="str">
        <f>IF(OR(L23="",Results!L10=""),"",IF(L23=Results!L10,1+IF(OR($O23=11,$P23=11,$Q23=11),1,0),0))</f>
        <v/>
      </c>
      <c r="AD23" s="4" t="str">
        <f>IF(OR(M23="",Results!M10=""),"",IF(M23=Results!M10,1+IF(OR($O23=12,$P23=12,$Q23=12),1,0),0))</f>
        <v/>
      </c>
      <c r="AE23" s="4" t="str">
        <f>IF(OR(N23="",Results!N10=""),"",IF(N23=Results!N10,1+IF(OR($O23=13,$P23=13,$Q23=13),1,0),0))</f>
        <v/>
      </c>
      <c r="AF23" s="11">
        <f t="shared" si="0"/>
        <v>0</v>
      </c>
      <c r="AG23" s="4" t="str">
        <f>IF(OR($R23="",Results!O10=""),"",ABS($R23-Results!O10))</f>
        <v/>
      </c>
      <c r="AH23" s="12">
        <v>55</v>
      </c>
      <c r="AI23" s="13" t="str">
        <f>IF(OR(B23="",Results!B10=""),"",IF(AND(B23=Results!B10,Results!B10&lt;&gt;Games!$C$70),1,0))</f>
        <v/>
      </c>
      <c r="AJ23" s="13" t="str">
        <f>IF(OR(C23="",Results!C10=""),"",IF(AND(C23=Results!C10,Results!C10&lt;&gt;Games!$C$71),1,0))</f>
        <v/>
      </c>
      <c r="AK23" s="13" t="str">
        <f>IF(OR(D23="",Results!D10=""),"",IF(AND(D23=Results!D10,Results!D10&lt;&gt;Games!$C$72),1,0))</f>
        <v/>
      </c>
      <c r="AL23" s="13" t="str">
        <f>IF(OR(E23="",Results!E10=""),"",IF(AND(E23=Results!E10,Results!E10&lt;&gt;Games!$C$73),1,0))</f>
        <v/>
      </c>
      <c r="AM23" s="13" t="str">
        <f>IF(OR(F23="",Results!F10=""),"",IF(AND(F23=Results!F10,Results!F10&lt;&gt;Games!$C$74),1,0))</f>
        <v/>
      </c>
      <c r="AN23" s="13" t="str">
        <f>IF(OR(G23="",Results!G10=""),"",IF(AND(G23=Results!G10,Results!G10&lt;&gt;Games!$C$75),1,0))</f>
        <v/>
      </c>
      <c r="AO23" s="13" t="str">
        <f>IF(OR(H23="",Results!H10=""),"",IF(AND(H23=Results!H10,Results!H10&lt;&gt;Games!$C$76),1,0))</f>
        <v/>
      </c>
      <c r="AP23" s="13" t="str">
        <f>IF(OR(I23="",Results!I10=""),"",IF(AND(I23=Results!I10,Results!I10&lt;&gt;Games!$C$77),1,0))</f>
        <v/>
      </c>
      <c r="AQ23" s="13" t="str">
        <f>IF(OR(J23="",Results!J10=""),"",IF(AND(J23=Results!J10,Results!J10&lt;&gt;Games!$C$78),1,0))</f>
        <v/>
      </c>
      <c r="AR23" s="13" t="str">
        <f>IF(OR(K23="",Results!K10=""),"",IF(AND(K23=Results!K10,Results!K10&lt;&gt;Games!$C$79),1,0))</f>
        <v/>
      </c>
      <c r="AS23" s="13" t="str">
        <f>IF(OR(L23="",Results!L10=""),"",IF(AND(L23=Results!L10,Results!L10&lt;&gt;Games!$C$80),1,0))</f>
        <v/>
      </c>
      <c r="AT23" s="13" t="str">
        <f>IF(OR(M23="",Results!M10=""),"",IF(AND(M23=Results!M10,Results!M10&lt;&gt;Games!$C$81),1,0))</f>
        <v/>
      </c>
      <c r="AU23" s="13" t="str">
        <f>IF(OR(N23="",Results!N10=""),"",IF(AND(N23=Results!N10,Results!N10&lt;&gt;Games!$C$82),1,0))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IF(OR(B24="",Results!B10=""),"",IF(B24=Results!B10,1+IF(OR($O24=1,$P24=1,$Q24=1),1,0),0))</f>
        <v/>
      </c>
      <c r="T24" s="4" t="str">
        <f>IF(OR(C24="",Results!C10=""),"",IF(C24=Results!C10,1+IF(OR($O24=2,$P24=2,$Q24=2),1,0),0))</f>
        <v/>
      </c>
      <c r="U24" s="4" t="str">
        <f>IF(OR(D24="",Results!D10=""),"",IF(D24=Results!D10,1+IF(OR($O24=3,$P24=3,$Q24=3),1,0),0))</f>
        <v/>
      </c>
      <c r="V24" s="4" t="str">
        <f>IF(OR(E24="",Results!E10=""),"",IF(E24=Results!E10,1+IF(OR($O24=4,$P24=4,$Q24=4),1,0),0))</f>
        <v/>
      </c>
      <c r="W24" s="4" t="str">
        <f>IF(OR(F24="",Results!F10=""),"",IF(F24=Results!F10,1+IF(OR($O24=5,$P24=5,$Q24=5),1,0),0))</f>
        <v/>
      </c>
      <c r="X24" s="4" t="str">
        <f>IF(OR(G24="",Results!G10=""),"",IF(G24=Results!G10,1+IF(OR($O24=6,$P24=6,$Q24=6),1,0),0))</f>
        <v/>
      </c>
      <c r="Y24" s="4" t="str">
        <f>IF(OR(H24="",Results!H10=""),"",IF(H24=Results!H10,1+IF(OR($O24=7,$P24=7,$Q24=7),1,0),0))</f>
        <v/>
      </c>
      <c r="Z24" s="4" t="str">
        <f>IF(OR(I24="",Results!I10=""),"",IF(I24=Results!I10,1+IF(OR($O24=8,$P24=8,$Q24=8),1,0),0))</f>
        <v/>
      </c>
      <c r="AA24" s="4" t="str">
        <f>IF(OR(J24="",Results!J10=""),"",IF(J24=Results!J10,1+IF(OR($O24=9,$P24=9,$Q24=9),1,0),0))</f>
        <v/>
      </c>
      <c r="AB24" s="4" t="str">
        <f>IF(OR(K24="",Results!K10=""),"",IF(K24=Results!K10,1+IF(OR($O24=10,$P24=10,$Q24=10),1,0),0))</f>
        <v/>
      </c>
      <c r="AC24" s="4" t="str">
        <f>IF(OR(L24="",Results!L10=""),"",IF(L24=Results!L10,1+IF(OR($O24=11,$P24=11,$Q24=11),1,0),0))</f>
        <v/>
      </c>
      <c r="AD24" s="4" t="str">
        <f>IF(OR(M24="",Results!M10=""),"",IF(M24=Results!M10,1+IF(OR($O24=12,$P24=12,$Q24=12),1,0),0))</f>
        <v/>
      </c>
      <c r="AE24" s="4" t="str">
        <f>IF(OR(N24="",Results!N10=""),"",IF(N24=Results!N10,1+IF(OR($O24=13,$P24=13,$Q24=13),1,0),0))</f>
        <v/>
      </c>
      <c r="AF24" s="11">
        <f t="shared" si="0"/>
        <v>0</v>
      </c>
      <c r="AG24" s="4" t="str">
        <f>IF(OR($R24="",Results!O10=""),"",ABS($R24-Results!O10))</f>
        <v/>
      </c>
      <c r="AH24" s="12">
        <v>47</v>
      </c>
      <c r="AI24" s="13" t="str">
        <f>IF(OR(B24="",Results!B10=""),"",IF(AND(B24=Results!B10,Results!B10&lt;&gt;Games!$C$70),1,0))</f>
        <v/>
      </c>
      <c r="AJ24" s="13" t="str">
        <f>IF(OR(C24="",Results!C10=""),"",IF(AND(C24=Results!C10,Results!C10&lt;&gt;Games!$C$71),1,0))</f>
        <v/>
      </c>
      <c r="AK24" s="13" t="str">
        <f>IF(OR(D24="",Results!D10=""),"",IF(AND(D24=Results!D10,Results!D10&lt;&gt;Games!$C$72),1,0))</f>
        <v/>
      </c>
      <c r="AL24" s="13" t="str">
        <f>IF(OR(E24="",Results!E10=""),"",IF(AND(E24=Results!E10,Results!E10&lt;&gt;Games!$C$73),1,0))</f>
        <v/>
      </c>
      <c r="AM24" s="13" t="str">
        <f>IF(OR(F24="",Results!F10=""),"",IF(AND(F24=Results!F10,Results!F10&lt;&gt;Games!$C$74),1,0))</f>
        <v/>
      </c>
      <c r="AN24" s="13" t="str">
        <f>IF(OR(G24="",Results!G10=""),"",IF(AND(G24=Results!G10,Results!G10&lt;&gt;Games!$C$75),1,0))</f>
        <v/>
      </c>
      <c r="AO24" s="13" t="str">
        <f>IF(OR(H24="",Results!H10=""),"",IF(AND(H24=Results!H10,Results!H10&lt;&gt;Games!$C$76),1,0))</f>
        <v/>
      </c>
      <c r="AP24" s="13" t="str">
        <f>IF(OR(I24="",Results!I10=""),"",IF(AND(I24=Results!I10,Results!I10&lt;&gt;Games!$C$77),1,0))</f>
        <v/>
      </c>
      <c r="AQ24" s="13" t="str">
        <f>IF(OR(J24="",Results!J10=""),"",IF(AND(J24=Results!J10,Results!J10&lt;&gt;Games!$C$78),1,0))</f>
        <v/>
      </c>
      <c r="AR24" s="13" t="str">
        <f>IF(OR(K24="",Results!K10=""),"",IF(AND(K24=Results!K10,Results!K10&lt;&gt;Games!$C$79),1,0))</f>
        <v/>
      </c>
      <c r="AS24" s="13" t="str">
        <f>IF(OR(L24="",Results!L10=""),"",IF(AND(L24=Results!L10,Results!L10&lt;&gt;Games!$C$80),1,0))</f>
        <v/>
      </c>
      <c r="AT24" s="13" t="str">
        <f>IF(OR(M24="",Results!M10=""),"",IF(AND(M24=Results!M10,Results!M10&lt;&gt;Games!$C$81),1,0))</f>
        <v/>
      </c>
      <c r="AU24" s="13" t="str">
        <f>IF(OR(N24="",Results!N10=""),"",IF(AND(N24=Results!N10,Results!N10&lt;&gt;Games!$C$82),1,0))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 t="str">
        <f>IF(OR(B25="",Results!B10=""),"",IF(B25=Results!B10,1+IF(OR($O25=1,$P25=1,$Q25=1),1,0),0))</f>
        <v/>
      </c>
      <c r="T25" s="4" t="str">
        <f>IF(OR(C25="",Results!C10=""),"",IF(C25=Results!C10,1+IF(OR($O25=2,$P25=2,$Q25=2),1,0),0))</f>
        <v/>
      </c>
      <c r="U25" s="4" t="str">
        <f>IF(OR(D25="",Results!D10=""),"",IF(D25=Results!D10,1+IF(OR($O25=3,$P25=3,$Q25=3),1,0),0))</f>
        <v/>
      </c>
      <c r="V25" s="4" t="str">
        <f>IF(OR(E25="",Results!E10=""),"",IF(E25=Results!E10,1+IF(OR($O25=4,$P25=4,$Q25=4),1,0),0))</f>
        <v/>
      </c>
      <c r="W25" s="4" t="str">
        <f>IF(OR(F25="",Results!F10=""),"",IF(F25=Results!F10,1+IF(OR($O25=5,$P25=5,$Q25=5),1,0),0))</f>
        <v/>
      </c>
      <c r="X25" s="4" t="str">
        <f>IF(OR(G25="",Results!G10=""),"",IF(G25=Results!G10,1+IF(OR($O25=6,$P25=6,$Q25=6),1,0),0))</f>
        <v/>
      </c>
      <c r="Y25" s="4" t="str">
        <f>IF(OR(H25="",Results!H10=""),"",IF(H25=Results!H10,1+IF(OR($O25=7,$P25=7,$Q25=7),1,0),0))</f>
        <v/>
      </c>
      <c r="Z25" s="4" t="str">
        <f>IF(OR(I25="",Results!I10=""),"",IF(I25=Results!I10,1+IF(OR($O25=8,$P25=8,$Q25=8),1,0),0))</f>
        <v/>
      </c>
      <c r="AA25" s="4" t="str">
        <f>IF(OR(J25="",Results!J10=""),"",IF(J25=Results!J10,1+IF(OR($O25=9,$P25=9,$Q25=9),1,0),0))</f>
        <v/>
      </c>
      <c r="AB25" s="4" t="str">
        <f>IF(OR(K25="",Results!K10=""),"",IF(K25=Results!K10,1+IF(OR($O25=10,$P25=10,$Q25=10),1,0),0))</f>
        <v/>
      </c>
      <c r="AC25" s="4" t="str">
        <f>IF(OR(L25="",Results!L10=""),"",IF(L25=Results!L10,1+IF(OR($O25=11,$P25=11,$Q25=11),1,0),0))</f>
        <v/>
      </c>
      <c r="AD25" s="4" t="str">
        <f>IF(OR(M25="",Results!M10=""),"",IF(M25=Results!M10,1+IF(OR($O25=12,$P25=12,$Q25=12),1,0),0))</f>
        <v/>
      </c>
      <c r="AE25" s="4" t="str">
        <f>IF(OR(N25="",Results!N10=""),"",IF(N25=Results!N10,1+IF(OR($O25=13,$P25=13,$Q25=13),1,0),0))</f>
        <v/>
      </c>
      <c r="AF25" s="11">
        <f t="shared" si="0"/>
        <v>0</v>
      </c>
      <c r="AG25" s="4" t="str">
        <f>IF(OR($R25="",Results!O10=""),"",ABS($R25-Results!O10))</f>
        <v/>
      </c>
      <c r="AH25" s="12">
        <v>54</v>
      </c>
      <c r="AI25" s="13" t="str">
        <f>IF(OR(B25="",Results!B10=""),"",IF(AND(B25=Results!B10,Results!B10&lt;&gt;Games!$C$70),1,0))</f>
        <v/>
      </c>
      <c r="AJ25" s="13" t="str">
        <f>IF(OR(C25="",Results!C10=""),"",IF(AND(C25=Results!C10,Results!C10&lt;&gt;Games!$C$71),1,0))</f>
        <v/>
      </c>
      <c r="AK25" s="13" t="str">
        <f>IF(OR(D25="",Results!D10=""),"",IF(AND(D25=Results!D10,Results!D10&lt;&gt;Games!$C$72),1,0))</f>
        <v/>
      </c>
      <c r="AL25" s="13" t="str">
        <f>IF(OR(E25="",Results!E10=""),"",IF(AND(E25=Results!E10,Results!E10&lt;&gt;Games!$C$73),1,0))</f>
        <v/>
      </c>
      <c r="AM25" s="13" t="str">
        <f>IF(OR(F25="",Results!F10=""),"",IF(AND(F25=Results!F10,Results!F10&lt;&gt;Games!$C$74),1,0))</f>
        <v/>
      </c>
      <c r="AN25" s="13" t="str">
        <f>IF(OR(G25="",Results!G10=""),"",IF(AND(G25=Results!G10,Results!G10&lt;&gt;Games!$C$75),1,0))</f>
        <v/>
      </c>
      <c r="AO25" s="13" t="str">
        <f>IF(OR(H25="",Results!H10=""),"",IF(AND(H25=Results!H10,Results!H10&lt;&gt;Games!$C$76),1,0))</f>
        <v/>
      </c>
      <c r="AP25" s="13" t="str">
        <f>IF(OR(I25="",Results!I10=""),"",IF(AND(I25=Results!I10,Results!I10&lt;&gt;Games!$C$77),1,0))</f>
        <v/>
      </c>
      <c r="AQ25" s="13" t="str">
        <f>IF(OR(J25="",Results!J10=""),"",IF(AND(J25=Results!J10,Results!J10&lt;&gt;Games!$C$78),1,0))</f>
        <v/>
      </c>
      <c r="AR25" s="13" t="str">
        <f>IF(OR(K25="",Results!K10=""),"",IF(AND(K25=Results!K10,Results!K10&lt;&gt;Games!$C$79),1,0))</f>
        <v/>
      </c>
      <c r="AS25" s="13" t="str">
        <f>IF(OR(L25="",Results!L10=""),"",IF(AND(L25=Results!L10,Results!L10&lt;&gt;Games!$C$80),1,0))</f>
        <v/>
      </c>
      <c r="AT25" s="13" t="str">
        <f>IF(OR(M25="",Results!M10=""),"",IF(AND(M25=Results!M10,Results!M10&lt;&gt;Games!$C$81),1,0))</f>
        <v/>
      </c>
      <c r="AU25" s="13" t="str">
        <f>IF(OR(N25="",Results!N10=""),"",IF(AND(N25=Results!N10,Results!N10&lt;&gt;Games!$C$82),1,0))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tr">
        <f>IF(OR(B26="",Results!B10=""),"",IF(B26=Results!B10,1+IF(OR($O26=1,$P26=1,$Q26=1),1,0),0))</f>
        <v/>
      </c>
      <c r="T26" s="4" t="str">
        <f>IF(OR(C26="",Results!C10=""),"",IF(C26=Results!C10,1+IF(OR($O26=2,$P26=2,$Q26=2),1,0),0))</f>
        <v/>
      </c>
      <c r="U26" s="4" t="str">
        <f>IF(OR(D26="",Results!D10=""),"",IF(D26=Results!D10,1+IF(OR($O26=3,$P26=3,$Q26=3),1,0),0))</f>
        <v/>
      </c>
      <c r="V26" s="4" t="str">
        <f>IF(OR(E26="",Results!E10=""),"",IF(E26=Results!E10,1+IF(OR($O26=4,$P26=4,$Q26=4),1,0),0))</f>
        <v/>
      </c>
      <c r="W26" s="4" t="str">
        <f>IF(OR(F26="",Results!F10=""),"",IF(F26=Results!F10,1+IF(OR($O26=5,$P26=5,$Q26=5),1,0),0))</f>
        <v/>
      </c>
      <c r="X26" s="4" t="str">
        <f>IF(OR(G26="",Results!G10=""),"",IF(G26=Results!G10,1+IF(OR($O26=6,$P26=6,$Q26=6),1,0),0))</f>
        <v/>
      </c>
      <c r="Y26" s="4" t="str">
        <f>IF(OR(H26="",Results!H10=""),"",IF(H26=Results!H10,1+IF(OR($O26=7,$P26=7,$Q26=7),1,0),0))</f>
        <v/>
      </c>
      <c r="Z26" s="4" t="str">
        <f>IF(OR(I26="",Results!I10=""),"",IF(I26=Results!I10,1+IF(OR($O26=8,$P26=8,$Q26=8),1,0),0))</f>
        <v/>
      </c>
      <c r="AA26" s="4" t="str">
        <f>IF(OR(J26="",Results!J10=""),"",IF(J26=Results!J10,1+IF(OR($O26=9,$P26=9,$Q26=9),1,0),0))</f>
        <v/>
      </c>
      <c r="AB26" s="4" t="str">
        <f>IF(OR(K26="",Results!K10=""),"",IF(K26=Results!K10,1+IF(OR($O26=10,$P26=10,$Q26=10),1,0),0))</f>
        <v/>
      </c>
      <c r="AC26" s="4" t="str">
        <f>IF(OR(L26="",Results!L10=""),"",IF(L26=Results!L10,1+IF(OR($O26=11,$P26=11,$Q26=11),1,0),0))</f>
        <v/>
      </c>
      <c r="AD26" s="4" t="str">
        <f>IF(OR(M26="",Results!M10=""),"",IF(M26=Results!M10,1+IF(OR($O26=12,$P26=12,$Q26=12),1,0),0))</f>
        <v/>
      </c>
      <c r="AE26" s="4" t="str">
        <f>IF(OR(N26="",Results!N10=""),"",IF(N26=Results!N10,1+IF(OR($O26=13,$P26=13,$Q26=13),1,0),0))</f>
        <v/>
      </c>
      <c r="AF26" s="11">
        <f t="shared" si="0"/>
        <v>0</v>
      </c>
      <c r="AG26" s="4" t="str">
        <f>IF(OR($R26="",Results!O10=""),"",ABS($R26-Results!O10))</f>
        <v/>
      </c>
      <c r="AH26" s="12">
        <v>48</v>
      </c>
      <c r="AI26" s="13" t="str">
        <f>IF(OR(B26="",Results!B10=""),"",IF(AND(B26=Results!B10,Results!B10&lt;&gt;Games!$C$70),1,0))</f>
        <v/>
      </c>
      <c r="AJ26" s="13" t="str">
        <f>IF(OR(C26="",Results!C10=""),"",IF(AND(C26=Results!C10,Results!C10&lt;&gt;Games!$C$71),1,0))</f>
        <v/>
      </c>
      <c r="AK26" s="13" t="str">
        <f>IF(OR(D26="",Results!D10=""),"",IF(AND(D26=Results!D10,Results!D10&lt;&gt;Games!$C$72),1,0))</f>
        <v/>
      </c>
      <c r="AL26" s="13" t="str">
        <f>IF(OR(E26="",Results!E10=""),"",IF(AND(E26=Results!E10,Results!E10&lt;&gt;Games!$C$73),1,0))</f>
        <v/>
      </c>
      <c r="AM26" s="13" t="str">
        <f>IF(OR(F26="",Results!F10=""),"",IF(AND(F26=Results!F10,Results!F10&lt;&gt;Games!$C$74),1,0))</f>
        <v/>
      </c>
      <c r="AN26" s="13" t="str">
        <f>IF(OR(G26="",Results!G10=""),"",IF(AND(G26=Results!G10,Results!G10&lt;&gt;Games!$C$75),1,0))</f>
        <v/>
      </c>
      <c r="AO26" s="13" t="str">
        <f>IF(OR(H26="",Results!H10=""),"",IF(AND(H26=Results!H10,Results!H10&lt;&gt;Games!$C$76),1,0))</f>
        <v/>
      </c>
      <c r="AP26" s="13" t="str">
        <f>IF(OR(I26="",Results!I10=""),"",IF(AND(I26=Results!I10,Results!I10&lt;&gt;Games!$C$77),1,0))</f>
        <v/>
      </c>
      <c r="AQ26" s="13" t="str">
        <f>IF(OR(J26="",Results!J10=""),"",IF(AND(J26=Results!J10,Results!J10&lt;&gt;Games!$C$78),1,0))</f>
        <v/>
      </c>
      <c r="AR26" s="13" t="str">
        <f>IF(OR(K26="",Results!K10=""),"",IF(AND(K26=Results!K10,Results!K10&lt;&gt;Games!$C$79),1,0))</f>
        <v/>
      </c>
      <c r="AS26" s="13" t="str">
        <f>IF(OR(L26="",Results!L10=""),"",IF(AND(L26=Results!L10,Results!L10&lt;&gt;Games!$C$80),1,0))</f>
        <v/>
      </c>
      <c r="AT26" s="13" t="str">
        <f>IF(OR(M26="",Results!M10=""),"",IF(AND(M26=Results!M10,Results!M10&lt;&gt;Games!$C$81),1,0))</f>
        <v/>
      </c>
      <c r="AU26" s="13" t="str">
        <f>IF(OR(N26="",Results!N10=""),"",IF(AND(N26=Results!N10,Results!N10&lt;&gt;Games!$C$82),1,0))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 t="str">
        <f>IF(OR(B27="",Results!B10=""),"",IF(B27=Results!B10,1+IF(OR($O27=1,$P27=1,$Q27=1),1,0),0))</f>
        <v/>
      </c>
      <c r="T27" s="4" t="str">
        <f>IF(OR(C27="",Results!C10=""),"",IF(C27=Results!C10,1+IF(OR($O27=2,$P27=2,$Q27=2),1,0),0))</f>
        <v/>
      </c>
      <c r="U27" s="4" t="str">
        <f>IF(OR(D27="",Results!D10=""),"",IF(D27=Results!D10,1+IF(OR($O27=3,$P27=3,$Q27=3),1,0),0))</f>
        <v/>
      </c>
      <c r="V27" s="4" t="str">
        <f>IF(OR(E27="",Results!E10=""),"",IF(E27=Results!E10,1+IF(OR($O27=4,$P27=4,$Q27=4),1,0),0))</f>
        <v/>
      </c>
      <c r="W27" s="4" t="str">
        <f>IF(OR(F27="",Results!F10=""),"",IF(F27=Results!F10,1+IF(OR($O27=5,$P27=5,$Q27=5),1,0),0))</f>
        <v/>
      </c>
      <c r="X27" s="4" t="str">
        <f>IF(OR(G27="",Results!G10=""),"",IF(G27=Results!G10,1+IF(OR($O27=6,$P27=6,$Q27=6),1,0),0))</f>
        <v/>
      </c>
      <c r="Y27" s="4" t="str">
        <f>IF(OR(H27="",Results!H10=""),"",IF(H27=Results!H10,1+IF(OR($O27=7,$P27=7,$Q27=7),1,0),0))</f>
        <v/>
      </c>
      <c r="Z27" s="4" t="str">
        <f>IF(OR(I27="",Results!I10=""),"",IF(I27=Results!I10,1+IF(OR($O27=8,$P27=8,$Q27=8),1,0),0))</f>
        <v/>
      </c>
      <c r="AA27" s="4" t="str">
        <f>IF(OR(J27="",Results!J10=""),"",IF(J27=Results!J10,1+IF(OR($O27=9,$P27=9,$Q27=9),1,0),0))</f>
        <v/>
      </c>
      <c r="AB27" s="4" t="str">
        <f>IF(OR(K27="",Results!K10=""),"",IF(K27=Results!K10,1+IF(OR($O27=10,$P27=10,$Q27=10),1,0),0))</f>
        <v/>
      </c>
      <c r="AC27" s="4" t="str">
        <f>IF(OR(L27="",Results!L10=""),"",IF(L27=Results!L10,1+IF(OR($O27=11,$P27=11,$Q27=11),1,0),0))</f>
        <v/>
      </c>
      <c r="AD27" s="4" t="str">
        <f>IF(OR(M27="",Results!M10=""),"",IF(M27=Results!M10,1+IF(OR($O27=12,$P27=12,$Q27=12),1,0),0))</f>
        <v/>
      </c>
      <c r="AE27" s="4" t="str">
        <f>IF(OR(N27="",Results!N10=""),"",IF(N27=Results!N10,1+IF(OR($O27=13,$P27=13,$Q27=13),1,0),0))</f>
        <v/>
      </c>
      <c r="AF27" s="11">
        <f t="shared" si="0"/>
        <v>0</v>
      </c>
      <c r="AG27" s="4" t="str">
        <f>IF(OR($R27="",Results!O10=""),"",ABS($R27-Results!O10))</f>
        <v/>
      </c>
      <c r="AH27" s="12">
        <v>38</v>
      </c>
      <c r="AI27" s="13" t="str">
        <f>IF(OR(B27="",Results!B10=""),"",IF(AND(B27=Results!B10,Results!B10&lt;&gt;Games!$C$70),1,0))</f>
        <v/>
      </c>
      <c r="AJ27" s="13" t="str">
        <f>IF(OR(C27="",Results!C10=""),"",IF(AND(C27=Results!C10,Results!C10&lt;&gt;Games!$C$71),1,0))</f>
        <v/>
      </c>
      <c r="AK27" s="13" t="str">
        <f>IF(OR(D27="",Results!D10=""),"",IF(AND(D27=Results!D10,Results!D10&lt;&gt;Games!$C$72),1,0))</f>
        <v/>
      </c>
      <c r="AL27" s="13" t="str">
        <f>IF(OR(E27="",Results!E10=""),"",IF(AND(E27=Results!E10,Results!E10&lt;&gt;Games!$C$73),1,0))</f>
        <v/>
      </c>
      <c r="AM27" s="13" t="str">
        <f>IF(OR(F27="",Results!F10=""),"",IF(AND(F27=Results!F10,Results!F10&lt;&gt;Games!$C$74),1,0))</f>
        <v/>
      </c>
      <c r="AN27" s="13" t="str">
        <f>IF(OR(G27="",Results!G10=""),"",IF(AND(G27=Results!G10,Results!G10&lt;&gt;Games!$C$75),1,0))</f>
        <v/>
      </c>
      <c r="AO27" s="13" t="str">
        <f>IF(OR(H27="",Results!H10=""),"",IF(AND(H27=Results!H10,Results!H10&lt;&gt;Games!$C$76),1,0))</f>
        <v/>
      </c>
      <c r="AP27" s="13" t="str">
        <f>IF(OR(I27="",Results!I10=""),"",IF(AND(I27=Results!I10,Results!I10&lt;&gt;Games!$C$77),1,0))</f>
        <v/>
      </c>
      <c r="AQ27" s="13" t="str">
        <f>IF(OR(J27="",Results!J10=""),"",IF(AND(J27=Results!J10,Results!J10&lt;&gt;Games!$C$78),1,0))</f>
        <v/>
      </c>
      <c r="AR27" s="13" t="str">
        <f>IF(OR(K27="",Results!K10=""),"",IF(AND(K27=Results!K10,Results!K10&lt;&gt;Games!$C$79),1,0))</f>
        <v/>
      </c>
      <c r="AS27" s="13" t="str">
        <f>IF(OR(L27="",Results!L10=""),"",IF(AND(L27=Results!L10,Results!L10&lt;&gt;Games!$C$80),1,0))</f>
        <v/>
      </c>
      <c r="AT27" s="13" t="str">
        <f>IF(OR(M27="",Results!M10=""),"",IF(AND(M27=Results!M10,Results!M10&lt;&gt;Games!$C$81),1,0))</f>
        <v/>
      </c>
      <c r="AU27" s="13" t="str">
        <f>IF(OR(N27="",Results!N10=""),"",IF(AND(N27=Results!N10,Results!N10&lt;&gt;Games!$C$82),1,0))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IF(OR(B28="",Results!B10=""),"",IF(B28=Results!B10,1+IF(OR($O28=1,$P28=1,$Q28=1),1,0),0))</f>
        <v/>
      </c>
      <c r="T28" s="4" t="str">
        <f>IF(OR(C28="",Results!C10=""),"",IF(C28=Results!C10,1+IF(OR($O28=2,$P28=2,$Q28=2),1,0),0))</f>
        <v/>
      </c>
      <c r="U28" s="4" t="str">
        <f>IF(OR(D28="",Results!D10=""),"",IF(D28=Results!D10,1+IF(OR($O28=3,$P28=3,$Q28=3),1,0),0))</f>
        <v/>
      </c>
      <c r="V28" s="4" t="str">
        <f>IF(OR(E28="",Results!E10=""),"",IF(E28=Results!E10,1+IF(OR($O28=4,$P28=4,$Q28=4),1,0),0))</f>
        <v/>
      </c>
      <c r="W28" s="4" t="str">
        <f>IF(OR(F28="",Results!F10=""),"",IF(F28=Results!F10,1+IF(OR($O28=5,$P28=5,$Q28=5),1,0),0))</f>
        <v/>
      </c>
      <c r="X28" s="4" t="str">
        <f>IF(OR(G28="",Results!G10=""),"",IF(G28=Results!G10,1+IF(OR($O28=6,$P28=6,$Q28=6),1,0),0))</f>
        <v/>
      </c>
      <c r="Y28" s="4" t="str">
        <f>IF(OR(H28="",Results!H10=""),"",IF(H28=Results!H10,1+IF(OR($O28=7,$P28=7,$Q28=7),1,0),0))</f>
        <v/>
      </c>
      <c r="Z28" s="4" t="str">
        <f>IF(OR(I28="",Results!I10=""),"",IF(I28=Results!I10,1+IF(OR($O28=8,$P28=8,$Q28=8),1,0),0))</f>
        <v/>
      </c>
      <c r="AA28" s="4" t="str">
        <f>IF(OR(J28="",Results!J10=""),"",IF(J28=Results!J10,1+IF(OR($O28=9,$P28=9,$Q28=9),1,0),0))</f>
        <v/>
      </c>
      <c r="AB28" s="4" t="str">
        <f>IF(OR(K28="",Results!K10=""),"",IF(K28=Results!K10,1+IF(OR($O28=10,$P28=10,$Q28=10),1,0),0))</f>
        <v/>
      </c>
      <c r="AC28" s="4" t="str">
        <f>IF(OR(L28="",Results!L10=""),"",IF(L28=Results!L10,1+IF(OR($O28=11,$P28=11,$Q28=11),1,0),0))</f>
        <v/>
      </c>
      <c r="AD28" s="4" t="str">
        <f>IF(OR(M28="",Results!M10=""),"",IF(M28=Results!M10,1+IF(OR($O28=12,$P28=12,$Q28=12),1,0),0))</f>
        <v/>
      </c>
      <c r="AE28" s="4" t="str">
        <f>IF(OR(N28="",Results!N10=""),"",IF(N28=Results!N10,1+IF(OR($O28=13,$P28=13,$Q28=13),1,0),0))</f>
        <v/>
      </c>
      <c r="AF28" s="11">
        <f t="shared" si="0"/>
        <v>0</v>
      </c>
      <c r="AG28" s="4" t="str">
        <f>IF(OR($R28="",Results!O10=""),"",ABS($R28-Results!O10))</f>
        <v/>
      </c>
      <c r="AH28" s="12">
        <v>60</v>
      </c>
      <c r="AI28" s="13" t="str">
        <f>IF(OR(B28="",Results!B10=""),"",IF(AND(B28=Results!B10,Results!B10&lt;&gt;Games!$C$70),1,0))</f>
        <v/>
      </c>
      <c r="AJ28" s="13" t="str">
        <f>IF(OR(C28="",Results!C10=""),"",IF(AND(C28=Results!C10,Results!C10&lt;&gt;Games!$C$71),1,0))</f>
        <v/>
      </c>
      <c r="AK28" s="13" t="str">
        <f>IF(OR(D28="",Results!D10=""),"",IF(AND(D28=Results!D10,Results!D10&lt;&gt;Games!$C$72),1,0))</f>
        <v/>
      </c>
      <c r="AL28" s="13" t="str">
        <f>IF(OR(E28="",Results!E10=""),"",IF(AND(E28=Results!E10,Results!E10&lt;&gt;Games!$C$73),1,0))</f>
        <v/>
      </c>
      <c r="AM28" s="13" t="str">
        <f>IF(OR(F28="",Results!F10=""),"",IF(AND(F28=Results!F10,Results!F10&lt;&gt;Games!$C$74),1,0))</f>
        <v/>
      </c>
      <c r="AN28" s="13" t="str">
        <f>IF(OR(G28="",Results!G10=""),"",IF(AND(G28=Results!G10,Results!G10&lt;&gt;Games!$C$75),1,0))</f>
        <v/>
      </c>
      <c r="AO28" s="13" t="str">
        <f>IF(OR(H28="",Results!H10=""),"",IF(AND(H28=Results!H10,Results!H10&lt;&gt;Games!$C$76),1,0))</f>
        <v/>
      </c>
      <c r="AP28" s="13" t="str">
        <f>IF(OR(I28="",Results!I10=""),"",IF(AND(I28=Results!I10,Results!I10&lt;&gt;Games!$C$77),1,0))</f>
        <v/>
      </c>
      <c r="AQ28" s="13" t="str">
        <f>IF(OR(J28="",Results!J10=""),"",IF(AND(J28=Results!J10,Results!J10&lt;&gt;Games!$C$78),1,0))</f>
        <v/>
      </c>
      <c r="AR28" s="13" t="str">
        <f>IF(OR(K28="",Results!K10=""),"",IF(AND(K28=Results!K10,Results!K10&lt;&gt;Games!$C$79),1,0))</f>
        <v/>
      </c>
      <c r="AS28" s="13" t="str">
        <f>IF(OR(L28="",Results!L10=""),"",IF(AND(L28=Results!L10,Results!L10&lt;&gt;Games!$C$80),1,0))</f>
        <v/>
      </c>
      <c r="AT28" s="13" t="str">
        <f>IF(OR(M28="",Results!M10=""),"",IF(AND(M28=Results!M10,Results!M10&lt;&gt;Games!$C$81),1,0))</f>
        <v/>
      </c>
      <c r="AU28" s="13" t="str">
        <f>IF(OR(N28="",Results!N10=""),"",IF(AND(N28=Results!N10,Results!N10&lt;&gt;Games!$C$82),1,0))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IF(OR(B29="",Results!B10=""),"",IF(B29=Results!B10,1+IF(OR($O29=1,$P29=1,$Q29=1),1,0),0))</f>
        <v/>
      </c>
      <c r="T29" s="4" t="str">
        <f>IF(OR(C29="",Results!C10=""),"",IF(C29=Results!C10,1+IF(OR($O29=2,$P29=2,$Q29=2),1,0),0))</f>
        <v/>
      </c>
      <c r="U29" s="4" t="str">
        <f>IF(OR(D29="",Results!D10=""),"",IF(D29=Results!D10,1+IF(OR($O29=3,$P29=3,$Q29=3),1,0),0))</f>
        <v/>
      </c>
      <c r="V29" s="4" t="str">
        <f>IF(OR(E29="",Results!E10=""),"",IF(E29=Results!E10,1+IF(OR($O29=4,$P29=4,$Q29=4),1,0),0))</f>
        <v/>
      </c>
      <c r="W29" s="4" t="str">
        <f>IF(OR(F29="",Results!F10=""),"",IF(F29=Results!F10,1+IF(OR($O29=5,$P29=5,$Q29=5),1,0),0))</f>
        <v/>
      </c>
      <c r="X29" s="4" t="str">
        <f>IF(OR(G29="",Results!G10=""),"",IF(G29=Results!G10,1+IF(OR($O29=6,$P29=6,$Q29=6),1,0),0))</f>
        <v/>
      </c>
      <c r="Y29" s="4" t="str">
        <f>IF(OR(H29="",Results!H10=""),"",IF(H29=Results!H10,1+IF(OR($O29=7,$P29=7,$Q29=7),1,0),0))</f>
        <v/>
      </c>
      <c r="Z29" s="4" t="str">
        <f>IF(OR(I29="",Results!I10=""),"",IF(I29=Results!I10,1+IF(OR($O29=8,$P29=8,$Q29=8),1,0),0))</f>
        <v/>
      </c>
      <c r="AA29" s="4" t="str">
        <f>IF(OR(J29="",Results!J10=""),"",IF(J29=Results!J10,1+IF(OR($O29=9,$P29=9,$Q29=9),1,0),0))</f>
        <v/>
      </c>
      <c r="AB29" s="4" t="str">
        <f>IF(OR(K29="",Results!K10=""),"",IF(K29=Results!K10,1+IF(OR($O29=10,$P29=10,$Q29=10),1,0),0))</f>
        <v/>
      </c>
      <c r="AC29" s="4" t="str">
        <f>IF(OR(L29="",Results!L10=""),"",IF(L29=Results!L10,1+IF(OR($O29=11,$P29=11,$Q29=11),1,0),0))</f>
        <v/>
      </c>
      <c r="AD29" s="4" t="str">
        <f>IF(OR(M29="",Results!M10=""),"",IF(M29=Results!M10,1+IF(OR($O29=12,$P29=12,$Q29=12),1,0),0))</f>
        <v/>
      </c>
      <c r="AE29" s="4" t="str">
        <f>IF(OR(N29="",Results!N10=""),"",IF(N29=Results!N10,1+IF(OR($O29=13,$P29=13,$Q29=13),1,0),0))</f>
        <v/>
      </c>
      <c r="AF29" s="11">
        <f t="shared" si="0"/>
        <v>0</v>
      </c>
      <c r="AG29" s="4" t="str">
        <f>IF(OR($R29="",Results!O10=""),"",ABS($R29-Results!O10))</f>
        <v/>
      </c>
      <c r="AH29" s="12">
        <v>11</v>
      </c>
      <c r="AI29" s="13" t="str">
        <f>IF(OR(B29="",Results!B10=""),"",IF(AND(B29=Results!B10,Results!B10&lt;&gt;Games!$C$70),1,0))</f>
        <v/>
      </c>
      <c r="AJ29" s="13" t="str">
        <f>IF(OR(C29="",Results!C10=""),"",IF(AND(C29=Results!C10,Results!C10&lt;&gt;Games!$C$71),1,0))</f>
        <v/>
      </c>
      <c r="AK29" s="13" t="str">
        <f>IF(OR(D29="",Results!D10=""),"",IF(AND(D29=Results!D10,Results!D10&lt;&gt;Games!$C$72),1,0))</f>
        <v/>
      </c>
      <c r="AL29" s="13" t="str">
        <f>IF(OR(E29="",Results!E10=""),"",IF(AND(E29=Results!E10,Results!E10&lt;&gt;Games!$C$73),1,0))</f>
        <v/>
      </c>
      <c r="AM29" s="13" t="str">
        <f>IF(OR(F29="",Results!F10=""),"",IF(AND(F29=Results!F10,Results!F10&lt;&gt;Games!$C$74),1,0))</f>
        <v/>
      </c>
      <c r="AN29" s="13" t="str">
        <f>IF(OR(G29="",Results!G10=""),"",IF(AND(G29=Results!G10,Results!G10&lt;&gt;Games!$C$75),1,0))</f>
        <v/>
      </c>
      <c r="AO29" s="13" t="str">
        <f>IF(OR(H29="",Results!H10=""),"",IF(AND(H29=Results!H10,Results!H10&lt;&gt;Games!$C$76),1,0))</f>
        <v/>
      </c>
      <c r="AP29" s="13" t="str">
        <f>IF(OR(I29="",Results!I10=""),"",IF(AND(I29=Results!I10,Results!I10&lt;&gt;Games!$C$77),1,0))</f>
        <v/>
      </c>
      <c r="AQ29" s="13" t="str">
        <f>IF(OR(J29="",Results!J10=""),"",IF(AND(J29=Results!J10,Results!J10&lt;&gt;Games!$C$78),1,0))</f>
        <v/>
      </c>
      <c r="AR29" s="13" t="str">
        <f>IF(OR(K29="",Results!K10=""),"",IF(AND(K29=Results!K10,Results!K10&lt;&gt;Games!$C$79),1,0))</f>
        <v/>
      </c>
      <c r="AS29" s="13" t="str">
        <f>IF(OR(L29="",Results!L10=""),"",IF(AND(L29=Results!L10,Results!L10&lt;&gt;Games!$C$80),1,0))</f>
        <v/>
      </c>
      <c r="AT29" s="13" t="str">
        <f>IF(OR(M29="",Results!M10=""),"",IF(AND(M29=Results!M10,Results!M10&lt;&gt;Games!$C$81),1,0))</f>
        <v/>
      </c>
      <c r="AU29" s="13" t="str">
        <f>IF(OR(N29="",Results!N10=""),"",IF(AND(N29=Results!N10,Results!N10&lt;&gt;Games!$C$82),1,0))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 t="str">
        <f>IF(OR(B30="",Results!B10=""),"",IF(B30=Results!B10,1+IF(OR($O30=1,$P30=1,$Q30=1),1,0),0))</f>
        <v/>
      </c>
      <c r="T30" s="4" t="str">
        <f>IF(OR(C30="",Results!C10=""),"",IF(C30=Results!C10,1+IF(OR($O30=2,$P30=2,$Q30=2),1,0),0))</f>
        <v/>
      </c>
      <c r="U30" s="4" t="str">
        <f>IF(OR(D30="",Results!D10=""),"",IF(D30=Results!D10,1+IF(OR($O30=3,$P30=3,$Q30=3),1,0),0))</f>
        <v/>
      </c>
      <c r="V30" s="4" t="str">
        <f>IF(OR(E30="",Results!E10=""),"",IF(E30=Results!E10,1+IF(OR($O30=4,$P30=4,$Q30=4),1,0),0))</f>
        <v/>
      </c>
      <c r="W30" s="4" t="str">
        <f>IF(OR(F30="",Results!F10=""),"",IF(F30=Results!F10,1+IF(OR($O30=5,$P30=5,$Q30=5),1,0),0))</f>
        <v/>
      </c>
      <c r="X30" s="4" t="str">
        <f>IF(OR(G30="",Results!G10=""),"",IF(G30=Results!G10,1+IF(OR($O30=6,$P30=6,$Q30=6),1,0),0))</f>
        <v/>
      </c>
      <c r="Y30" s="4" t="str">
        <f>IF(OR(H30="",Results!H10=""),"",IF(H30=Results!H10,1+IF(OR($O30=7,$P30=7,$Q30=7),1,0),0))</f>
        <v/>
      </c>
      <c r="Z30" s="4" t="str">
        <f>IF(OR(I30="",Results!I10=""),"",IF(I30=Results!I10,1+IF(OR($O30=8,$P30=8,$Q30=8),1,0),0))</f>
        <v/>
      </c>
      <c r="AA30" s="4" t="str">
        <f>IF(OR(J30="",Results!J10=""),"",IF(J30=Results!J10,1+IF(OR($O30=9,$P30=9,$Q30=9),1,0),0))</f>
        <v/>
      </c>
      <c r="AB30" s="4" t="str">
        <f>IF(OR(K30="",Results!K10=""),"",IF(K30=Results!K10,1+IF(OR($O30=10,$P30=10,$Q30=10),1,0),0))</f>
        <v/>
      </c>
      <c r="AC30" s="4" t="str">
        <f>IF(OR(L30="",Results!L10=""),"",IF(L30=Results!L10,1+IF(OR($O30=11,$P30=11,$Q30=11),1,0),0))</f>
        <v/>
      </c>
      <c r="AD30" s="4" t="str">
        <f>IF(OR(M30="",Results!M10=""),"",IF(M30=Results!M10,1+IF(OR($O30=12,$P30=12,$Q30=12),1,0),0))</f>
        <v/>
      </c>
      <c r="AE30" s="4" t="str">
        <f>IF(OR(N30="",Results!N10=""),"",IF(N30=Results!N10,1+IF(OR($O30=13,$P30=13,$Q30=13),1,0),0))</f>
        <v/>
      </c>
      <c r="AF30" s="11">
        <f t="shared" si="0"/>
        <v>0</v>
      </c>
      <c r="AG30" s="4" t="str">
        <f>IF(OR($R30="",Results!O10=""),"",ABS($R30-Results!O10))</f>
        <v/>
      </c>
      <c r="AH30" s="12">
        <v>12</v>
      </c>
      <c r="AI30" s="13" t="str">
        <f>IF(OR(B30="",Results!B10=""),"",IF(AND(B30=Results!B10,Results!B10&lt;&gt;Games!$C$70),1,0))</f>
        <v/>
      </c>
      <c r="AJ30" s="13" t="str">
        <f>IF(OR(C30="",Results!C10=""),"",IF(AND(C30=Results!C10,Results!C10&lt;&gt;Games!$C$71),1,0))</f>
        <v/>
      </c>
      <c r="AK30" s="13" t="str">
        <f>IF(OR(D30="",Results!D10=""),"",IF(AND(D30=Results!D10,Results!D10&lt;&gt;Games!$C$72),1,0))</f>
        <v/>
      </c>
      <c r="AL30" s="13" t="str">
        <f>IF(OR(E30="",Results!E10=""),"",IF(AND(E30=Results!E10,Results!E10&lt;&gt;Games!$C$73),1,0))</f>
        <v/>
      </c>
      <c r="AM30" s="13" t="str">
        <f>IF(OR(F30="",Results!F10=""),"",IF(AND(F30=Results!F10,Results!F10&lt;&gt;Games!$C$74),1,0))</f>
        <v/>
      </c>
      <c r="AN30" s="13" t="str">
        <f>IF(OR(G30="",Results!G10=""),"",IF(AND(G30=Results!G10,Results!G10&lt;&gt;Games!$C$75),1,0))</f>
        <v/>
      </c>
      <c r="AO30" s="13" t="str">
        <f>IF(OR(H30="",Results!H10=""),"",IF(AND(H30=Results!H10,Results!H10&lt;&gt;Games!$C$76),1,0))</f>
        <v/>
      </c>
      <c r="AP30" s="13" t="str">
        <f>IF(OR(I30="",Results!I10=""),"",IF(AND(I30=Results!I10,Results!I10&lt;&gt;Games!$C$77),1,0))</f>
        <v/>
      </c>
      <c r="AQ30" s="13" t="str">
        <f>IF(OR(J30="",Results!J10=""),"",IF(AND(J30=Results!J10,Results!J10&lt;&gt;Games!$C$78),1,0))</f>
        <v/>
      </c>
      <c r="AR30" s="13" t="str">
        <f>IF(OR(K30="",Results!K10=""),"",IF(AND(K30=Results!K10,Results!K10&lt;&gt;Games!$C$79),1,0))</f>
        <v/>
      </c>
      <c r="AS30" s="13" t="str">
        <f>IF(OR(L30="",Results!L10=""),"",IF(AND(L30=Results!L10,Results!L10&lt;&gt;Games!$C$80),1,0))</f>
        <v/>
      </c>
      <c r="AT30" s="13" t="str">
        <f>IF(OR(M30="",Results!M10=""),"",IF(AND(M30=Results!M10,Results!M10&lt;&gt;Games!$C$81),1,0))</f>
        <v/>
      </c>
      <c r="AU30" s="13" t="str">
        <f>IF(OR(N30="",Results!N10=""),"",IF(AND(N30=Results!N10,Results!N10&lt;&gt;Games!$C$82),1,0))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IF(OR(B31="",Results!B10=""),"",IF(B31=Results!B10,1+IF(OR($O31=1,$P31=1,$Q31=1),1,0),0))</f>
        <v/>
      </c>
      <c r="T31" s="4" t="str">
        <f>IF(OR(C31="",Results!C10=""),"",IF(C31=Results!C10,1+IF(OR($O31=2,$P31=2,$Q31=2),1,0),0))</f>
        <v/>
      </c>
      <c r="U31" s="4" t="str">
        <f>IF(OR(D31="",Results!D10=""),"",IF(D31=Results!D10,1+IF(OR($O31=3,$P31=3,$Q31=3),1,0),0))</f>
        <v/>
      </c>
      <c r="V31" s="4" t="str">
        <f>IF(OR(E31="",Results!E10=""),"",IF(E31=Results!E10,1+IF(OR($O31=4,$P31=4,$Q31=4),1,0),0))</f>
        <v/>
      </c>
      <c r="W31" s="4" t="str">
        <f>IF(OR(F31="",Results!F10=""),"",IF(F31=Results!F10,1+IF(OR($O31=5,$P31=5,$Q31=5),1,0),0))</f>
        <v/>
      </c>
      <c r="X31" s="4" t="str">
        <f>IF(OR(G31="",Results!G10=""),"",IF(G31=Results!G10,1+IF(OR($O31=6,$P31=6,$Q31=6),1,0),0))</f>
        <v/>
      </c>
      <c r="Y31" s="4" t="str">
        <f>IF(OR(H31="",Results!H10=""),"",IF(H31=Results!H10,1+IF(OR($O31=7,$P31=7,$Q31=7),1,0),0))</f>
        <v/>
      </c>
      <c r="Z31" s="4" t="str">
        <f>IF(OR(I31="",Results!I10=""),"",IF(I31=Results!I10,1+IF(OR($O31=8,$P31=8,$Q31=8),1,0),0))</f>
        <v/>
      </c>
      <c r="AA31" s="4" t="str">
        <f>IF(OR(J31="",Results!J10=""),"",IF(J31=Results!J10,1+IF(OR($O31=9,$P31=9,$Q31=9),1,0),0))</f>
        <v/>
      </c>
      <c r="AB31" s="4" t="str">
        <f>IF(OR(K31="",Results!K10=""),"",IF(K31=Results!K10,1+IF(OR($O31=10,$P31=10,$Q31=10),1,0),0))</f>
        <v/>
      </c>
      <c r="AC31" s="4" t="str">
        <f>IF(OR(L31="",Results!L10=""),"",IF(L31=Results!L10,1+IF(OR($O31=11,$P31=11,$Q31=11),1,0),0))</f>
        <v/>
      </c>
      <c r="AD31" s="4" t="str">
        <f>IF(OR(M31="",Results!M10=""),"",IF(M31=Results!M10,1+IF(OR($O31=12,$P31=12,$Q31=12),1,0),0))</f>
        <v/>
      </c>
      <c r="AE31" s="4" t="str">
        <f>IF(OR(N31="",Results!N10=""),"",IF(N31=Results!N10,1+IF(OR($O31=13,$P31=13,$Q31=13),1,0),0))</f>
        <v/>
      </c>
      <c r="AF31" s="11">
        <f t="shared" si="0"/>
        <v>0</v>
      </c>
      <c r="AG31" s="4" t="str">
        <f>IF(OR($R31="",Results!O10=""),"",ABS($R31-Results!O10))</f>
        <v/>
      </c>
      <c r="AH31" s="12">
        <v>13</v>
      </c>
      <c r="AI31" s="13" t="str">
        <f>IF(OR(B31="",Results!B10=""),"",IF(AND(B31=Results!B10,Results!B10&lt;&gt;Games!$C$70),1,0))</f>
        <v/>
      </c>
      <c r="AJ31" s="13" t="str">
        <f>IF(OR(C31="",Results!C10=""),"",IF(AND(C31=Results!C10,Results!C10&lt;&gt;Games!$C$71),1,0))</f>
        <v/>
      </c>
      <c r="AK31" s="13" t="str">
        <f>IF(OR(D31="",Results!D10=""),"",IF(AND(D31=Results!D10,Results!D10&lt;&gt;Games!$C$72),1,0))</f>
        <v/>
      </c>
      <c r="AL31" s="13" t="str">
        <f>IF(OR(E31="",Results!E10=""),"",IF(AND(E31=Results!E10,Results!E10&lt;&gt;Games!$C$73),1,0))</f>
        <v/>
      </c>
      <c r="AM31" s="13" t="str">
        <f>IF(OR(F31="",Results!F10=""),"",IF(AND(F31=Results!F10,Results!F10&lt;&gt;Games!$C$74),1,0))</f>
        <v/>
      </c>
      <c r="AN31" s="13" t="str">
        <f>IF(OR(G31="",Results!G10=""),"",IF(AND(G31=Results!G10,Results!G10&lt;&gt;Games!$C$75),1,0))</f>
        <v/>
      </c>
      <c r="AO31" s="13" t="str">
        <f>IF(OR(H31="",Results!H10=""),"",IF(AND(H31=Results!H10,Results!H10&lt;&gt;Games!$C$76),1,0))</f>
        <v/>
      </c>
      <c r="AP31" s="13" t="str">
        <f>IF(OR(I31="",Results!I10=""),"",IF(AND(I31=Results!I10,Results!I10&lt;&gt;Games!$C$77),1,0))</f>
        <v/>
      </c>
      <c r="AQ31" s="13" t="str">
        <f>IF(OR(J31="",Results!J10=""),"",IF(AND(J31=Results!J10,Results!J10&lt;&gt;Games!$C$78),1,0))</f>
        <v/>
      </c>
      <c r="AR31" s="13" t="str">
        <f>IF(OR(K31="",Results!K10=""),"",IF(AND(K31=Results!K10,Results!K10&lt;&gt;Games!$C$79),1,0))</f>
        <v/>
      </c>
      <c r="AS31" s="13" t="str">
        <f>IF(OR(L31="",Results!L10=""),"",IF(AND(L31=Results!L10,Results!L10&lt;&gt;Games!$C$80),1,0))</f>
        <v/>
      </c>
      <c r="AT31" s="13" t="str">
        <f>IF(OR(M31="",Results!M10=""),"",IF(AND(M31=Results!M10,Results!M10&lt;&gt;Games!$C$81),1,0))</f>
        <v/>
      </c>
      <c r="AU31" s="13" t="str">
        <f>IF(OR(N31="",Results!N10=""),"",IF(AND(N31=Results!N10,Results!N10&lt;&gt;Games!$C$82),1,0))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IF(OR(B32="",Results!B10=""),"",IF(B32=Results!B10,1+IF(OR($O32=1,$P32=1,$Q32=1),1,0),0))</f>
        <v/>
      </c>
      <c r="T32" s="4" t="str">
        <f>IF(OR(C32="",Results!C10=""),"",IF(C32=Results!C10,1+IF(OR($O32=2,$P32=2,$Q32=2),1,0),0))</f>
        <v/>
      </c>
      <c r="U32" s="4" t="str">
        <f>IF(OR(D32="",Results!D10=""),"",IF(D32=Results!D10,1+IF(OR($O32=3,$P32=3,$Q32=3),1,0),0))</f>
        <v/>
      </c>
      <c r="V32" s="4" t="str">
        <f>IF(OR(E32="",Results!E10=""),"",IF(E32=Results!E10,1+IF(OR($O32=4,$P32=4,$Q32=4),1,0),0))</f>
        <v/>
      </c>
      <c r="W32" s="4" t="str">
        <f>IF(OR(F32="",Results!F10=""),"",IF(F32=Results!F10,1+IF(OR($O32=5,$P32=5,$Q32=5),1,0),0))</f>
        <v/>
      </c>
      <c r="X32" s="4" t="str">
        <f>IF(OR(G32="",Results!G10=""),"",IF(G32=Results!G10,1+IF(OR($O32=6,$P32=6,$Q32=6),1,0),0))</f>
        <v/>
      </c>
      <c r="Y32" s="4" t="str">
        <f>IF(OR(H32="",Results!H10=""),"",IF(H32=Results!H10,1+IF(OR($O32=7,$P32=7,$Q32=7),1,0),0))</f>
        <v/>
      </c>
      <c r="Z32" s="4" t="str">
        <f>IF(OR(I32="",Results!I10=""),"",IF(I32=Results!I10,1+IF(OR($O32=8,$P32=8,$Q32=8),1,0),0))</f>
        <v/>
      </c>
      <c r="AA32" s="4" t="str">
        <f>IF(OR(J32="",Results!J10=""),"",IF(J32=Results!J10,1+IF(OR($O32=9,$P32=9,$Q32=9),1,0),0))</f>
        <v/>
      </c>
      <c r="AB32" s="4" t="str">
        <f>IF(OR(K32="",Results!K10=""),"",IF(K32=Results!K10,1+IF(OR($O32=10,$P32=10,$Q32=10),1,0),0))</f>
        <v/>
      </c>
      <c r="AC32" s="4" t="str">
        <f>IF(OR(L32="",Results!L10=""),"",IF(L32=Results!L10,1+IF(OR($O32=11,$P32=11,$Q32=11),1,0),0))</f>
        <v/>
      </c>
      <c r="AD32" s="4" t="str">
        <f>IF(OR(M32="",Results!M10=""),"",IF(M32=Results!M10,1+IF(OR($O32=12,$P32=12,$Q32=12),1,0),0))</f>
        <v/>
      </c>
      <c r="AE32" s="4" t="str">
        <f>IF(OR(N32="",Results!N10=""),"",IF(N32=Results!N10,1+IF(OR($O32=13,$P32=13,$Q32=13),1,0),0))</f>
        <v/>
      </c>
      <c r="AF32" s="11">
        <f t="shared" si="0"/>
        <v>0</v>
      </c>
      <c r="AG32" s="4" t="str">
        <f>IF(OR($R32="",Results!O10=""),"",ABS($R32-Results!O10))</f>
        <v/>
      </c>
      <c r="AH32" s="12">
        <v>14</v>
      </c>
      <c r="AI32" s="13" t="str">
        <f>IF(OR(B32="",Results!B10=""),"",IF(AND(B32=Results!B10,Results!B10&lt;&gt;Games!$C$70),1,0))</f>
        <v/>
      </c>
      <c r="AJ32" s="13" t="str">
        <f>IF(OR(C32="",Results!C10=""),"",IF(AND(C32=Results!C10,Results!C10&lt;&gt;Games!$C$71),1,0))</f>
        <v/>
      </c>
      <c r="AK32" s="13" t="str">
        <f>IF(OR(D32="",Results!D10=""),"",IF(AND(D32=Results!D10,Results!D10&lt;&gt;Games!$C$72),1,0))</f>
        <v/>
      </c>
      <c r="AL32" s="13" t="str">
        <f>IF(OR(E32="",Results!E10=""),"",IF(AND(E32=Results!E10,Results!E10&lt;&gt;Games!$C$73),1,0))</f>
        <v/>
      </c>
      <c r="AM32" s="13" t="str">
        <f>IF(OR(F32="",Results!F10=""),"",IF(AND(F32=Results!F10,Results!F10&lt;&gt;Games!$C$74),1,0))</f>
        <v/>
      </c>
      <c r="AN32" s="13" t="str">
        <f>IF(OR(G32="",Results!G10=""),"",IF(AND(G32=Results!G10,Results!G10&lt;&gt;Games!$C$75),1,0))</f>
        <v/>
      </c>
      <c r="AO32" s="13" t="str">
        <f>IF(OR(H32="",Results!H10=""),"",IF(AND(H32=Results!H10,Results!H10&lt;&gt;Games!$C$76),1,0))</f>
        <v/>
      </c>
      <c r="AP32" s="13" t="str">
        <f>IF(OR(I32="",Results!I10=""),"",IF(AND(I32=Results!I10,Results!I10&lt;&gt;Games!$C$77),1,0))</f>
        <v/>
      </c>
      <c r="AQ32" s="13" t="str">
        <f>IF(OR(J32="",Results!J10=""),"",IF(AND(J32=Results!J10,Results!J10&lt;&gt;Games!$C$78),1,0))</f>
        <v/>
      </c>
      <c r="AR32" s="13" t="str">
        <f>IF(OR(K32="",Results!K10=""),"",IF(AND(K32=Results!K10,Results!K10&lt;&gt;Games!$C$79),1,0))</f>
        <v/>
      </c>
      <c r="AS32" s="13" t="str">
        <f>IF(OR(L32="",Results!L10=""),"",IF(AND(L32=Results!L10,Results!L10&lt;&gt;Games!$C$80),1,0))</f>
        <v/>
      </c>
      <c r="AT32" s="13" t="str">
        <f>IF(OR(M32="",Results!M10=""),"",IF(AND(M32=Results!M10,Results!M10&lt;&gt;Games!$C$81),1,0))</f>
        <v/>
      </c>
      <c r="AU32" s="13" t="str">
        <f>IF(OR(N32="",Results!N10=""),"",IF(AND(N32=Results!N10,Results!N10&lt;&gt;Games!$C$82),1,0))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4" t="str">
        <f>IF(OR(B33="",Results!B10=""),"",IF(B33=Results!B10,1+IF(OR($O33=1,$P33=1,$Q33=1),1,0),0))</f>
        <v/>
      </c>
      <c r="T33" s="4" t="str">
        <f>IF(OR(C33="",Results!C10=""),"",IF(C33=Results!C10,1+IF(OR($O33=2,$P33=2,$Q33=2),1,0),0))</f>
        <v/>
      </c>
      <c r="U33" s="4" t="str">
        <f>IF(OR(D33="",Results!D10=""),"",IF(D33=Results!D10,1+IF(OR($O33=3,$P33=3,$Q33=3),1,0),0))</f>
        <v/>
      </c>
      <c r="V33" s="4" t="str">
        <f>IF(OR(E33="",Results!E10=""),"",IF(E33=Results!E10,1+IF(OR($O33=4,$P33=4,$Q33=4),1,0),0))</f>
        <v/>
      </c>
      <c r="W33" s="4" t="str">
        <f>IF(OR(F33="",Results!F10=""),"",IF(F33=Results!F10,1+IF(OR($O33=5,$P33=5,$Q33=5),1,0),0))</f>
        <v/>
      </c>
      <c r="X33" s="4" t="str">
        <f>IF(OR(G33="",Results!G10=""),"",IF(G33=Results!G10,1+IF(OR($O33=6,$P33=6,$Q33=6),1,0),0))</f>
        <v/>
      </c>
      <c r="Y33" s="4" t="str">
        <f>IF(OR(H33="",Results!H10=""),"",IF(H33=Results!H10,1+IF(OR($O33=7,$P33=7,$Q33=7),1,0),0))</f>
        <v/>
      </c>
      <c r="Z33" s="4" t="str">
        <f>IF(OR(I33="",Results!I10=""),"",IF(I33=Results!I10,1+IF(OR($O33=8,$P33=8,$Q33=8),1,0),0))</f>
        <v/>
      </c>
      <c r="AA33" s="4" t="str">
        <f>IF(OR(J33="",Results!J10=""),"",IF(J33=Results!J10,1+IF(OR($O33=9,$P33=9,$Q33=9),1,0),0))</f>
        <v/>
      </c>
      <c r="AB33" s="4" t="str">
        <f>IF(OR(K33="",Results!K10=""),"",IF(K33=Results!K10,1+IF(OR($O33=10,$P33=10,$Q33=10),1,0),0))</f>
        <v/>
      </c>
      <c r="AC33" s="4" t="str">
        <f>IF(OR(L33="",Results!L10=""),"",IF(L33=Results!L10,1+IF(OR($O33=11,$P33=11,$Q33=11),1,0),0))</f>
        <v/>
      </c>
      <c r="AD33" s="4" t="str">
        <f>IF(OR(M33="",Results!M10=""),"",IF(M33=Results!M10,1+IF(OR($O33=12,$P33=12,$Q33=12),1,0),0))</f>
        <v/>
      </c>
      <c r="AE33" s="4" t="str">
        <f>IF(OR(N33="",Results!N10=""),"",IF(N33=Results!N10,1+IF(OR($O33=13,$P33=13,$Q33=13),1,0),0))</f>
        <v/>
      </c>
      <c r="AF33" s="11">
        <f t="shared" si="0"/>
        <v>0</v>
      </c>
      <c r="AG33" s="4" t="str">
        <f>IF(OR($R33="",Results!O10=""),"",ABS($R33-Results!O10))</f>
        <v/>
      </c>
      <c r="AH33" s="12">
        <v>15</v>
      </c>
      <c r="AI33" s="13" t="str">
        <f>IF(OR(B33="",Results!B10=""),"",IF(AND(B33=Results!B10,Results!B10&lt;&gt;Games!$C$70),1,0))</f>
        <v/>
      </c>
      <c r="AJ33" s="13" t="str">
        <f>IF(OR(C33="",Results!C10=""),"",IF(AND(C33=Results!C10,Results!C10&lt;&gt;Games!$C$71),1,0))</f>
        <v/>
      </c>
      <c r="AK33" s="13" t="str">
        <f>IF(OR(D33="",Results!D10=""),"",IF(AND(D33=Results!D10,Results!D10&lt;&gt;Games!$C$72),1,0))</f>
        <v/>
      </c>
      <c r="AL33" s="13" t="str">
        <f>IF(OR(E33="",Results!E10=""),"",IF(AND(E33=Results!E10,Results!E10&lt;&gt;Games!$C$73),1,0))</f>
        <v/>
      </c>
      <c r="AM33" s="13" t="str">
        <f>IF(OR(F33="",Results!F10=""),"",IF(AND(F33=Results!F10,Results!F10&lt;&gt;Games!$C$74),1,0))</f>
        <v/>
      </c>
      <c r="AN33" s="13" t="str">
        <f>IF(OR(G33="",Results!G10=""),"",IF(AND(G33=Results!G10,Results!G10&lt;&gt;Games!$C$75),1,0))</f>
        <v/>
      </c>
      <c r="AO33" s="13" t="str">
        <f>IF(OR(H33="",Results!H10=""),"",IF(AND(H33=Results!H10,Results!H10&lt;&gt;Games!$C$76),1,0))</f>
        <v/>
      </c>
      <c r="AP33" s="13" t="str">
        <f>IF(OR(I33="",Results!I10=""),"",IF(AND(I33=Results!I10,Results!I10&lt;&gt;Games!$C$77),1,0))</f>
        <v/>
      </c>
      <c r="AQ33" s="13" t="str">
        <f>IF(OR(J33="",Results!J10=""),"",IF(AND(J33=Results!J10,Results!J10&lt;&gt;Games!$C$78),1,0))</f>
        <v/>
      </c>
      <c r="AR33" s="13" t="str">
        <f>IF(OR(K33="",Results!K10=""),"",IF(AND(K33=Results!K10,Results!K10&lt;&gt;Games!$C$79),1,0))</f>
        <v/>
      </c>
      <c r="AS33" s="13" t="str">
        <f>IF(OR(L33="",Results!L10=""),"",IF(AND(L33=Results!L10,Results!L10&lt;&gt;Games!$C$80),1,0))</f>
        <v/>
      </c>
      <c r="AT33" s="13" t="str">
        <f>IF(OR(M33="",Results!M10=""),"",IF(AND(M33=Results!M10,Results!M10&lt;&gt;Games!$C$81),1,0))</f>
        <v/>
      </c>
      <c r="AU33" s="13" t="str">
        <f>IF(OR(N33="",Results!N10=""),"",IF(AND(N33=Results!N10,Results!N10&lt;&gt;Games!$C$82),1,0))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IF(OR(B34="",Results!B10=""),"",IF(B34=Results!B10,1+IF(OR($O34=1,$P34=1,$Q34=1),1,0),0))</f>
        <v/>
      </c>
      <c r="T34" s="4" t="str">
        <f>IF(OR(C34="",Results!C10=""),"",IF(C34=Results!C10,1+IF(OR($O34=2,$P34=2,$Q34=2),1,0),0))</f>
        <v/>
      </c>
      <c r="U34" s="4" t="str">
        <f>IF(OR(D34="",Results!D10=""),"",IF(D34=Results!D10,1+IF(OR($O34=3,$P34=3,$Q34=3),1,0),0))</f>
        <v/>
      </c>
      <c r="V34" s="4" t="str">
        <f>IF(OR(E34="",Results!E10=""),"",IF(E34=Results!E10,1+IF(OR($O34=4,$P34=4,$Q34=4),1,0),0))</f>
        <v/>
      </c>
      <c r="W34" s="4" t="str">
        <f>IF(OR(F34="",Results!F10=""),"",IF(F34=Results!F10,1+IF(OR($O34=5,$P34=5,$Q34=5),1,0),0))</f>
        <v/>
      </c>
      <c r="X34" s="4" t="str">
        <f>IF(OR(G34="",Results!G10=""),"",IF(G34=Results!G10,1+IF(OR($O34=6,$P34=6,$Q34=6),1,0),0))</f>
        <v/>
      </c>
      <c r="Y34" s="4" t="str">
        <f>IF(OR(H34="",Results!H10=""),"",IF(H34=Results!H10,1+IF(OR($O34=7,$P34=7,$Q34=7),1,0),0))</f>
        <v/>
      </c>
      <c r="Z34" s="4" t="str">
        <f>IF(OR(I34="",Results!I10=""),"",IF(I34=Results!I10,1+IF(OR($O34=8,$P34=8,$Q34=8),1,0),0))</f>
        <v/>
      </c>
      <c r="AA34" s="4" t="str">
        <f>IF(OR(J34="",Results!J10=""),"",IF(J34=Results!J10,1+IF(OR($O34=9,$P34=9,$Q34=9),1,0),0))</f>
        <v/>
      </c>
      <c r="AB34" s="4" t="str">
        <f>IF(OR(K34="",Results!K10=""),"",IF(K34=Results!K10,1+IF(OR($O34=10,$P34=10,$Q34=10),1,0),0))</f>
        <v/>
      </c>
      <c r="AC34" s="4" t="str">
        <f>IF(OR(L34="",Results!L10=""),"",IF(L34=Results!L10,1+IF(OR($O34=11,$P34=11,$Q34=11),1,0),0))</f>
        <v/>
      </c>
      <c r="AD34" s="4" t="str">
        <f>IF(OR(M34="",Results!M10=""),"",IF(M34=Results!M10,1+IF(OR($O34=12,$P34=12,$Q34=12),1,0),0))</f>
        <v/>
      </c>
      <c r="AE34" s="4" t="str">
        <f>IF(OR(N34="",Results!N10=""),"",IF(N34=Results!N10,1+IF(OR($O34=13,$P34=13,$Q34=13),1,0),0))</f>
        <v/>
      </c>
      <c r="AF34" s="11">
        <f t="shared" si="0"/>
        <v>0</v>
      </c>
      <c r="AG34" s="4" t="str">
        <f>IF(OR($R34="",Results!O10=""),"",ABS($R34-Results!O10))</f>
        <v/>
      </c>
      <c r="AH34" s="12">
        <v>16</v>
      </c>
      <c r="AI34" s="13" t="str">
        <f>IF(OR(B34="",Results!B10=""),"",IF(AND(B34=Results!B10,Results!B10&lt;&gt;Games!$C$70),1,0))</f>
        <v/>
      </c>
      <c r="AJ34" s="13" t="str">
        <f>IF(OR(C34="",Results!C10=""),"",IF(AND(C34=Results!C10,Results!C10&lt;&gt;Games!$C$71),1,0))</f>
        <v/>
      </c>
      <c r="AK34" s="13" t="str">
        <f>IF(OR(D34="",Results!D10=""),"",IF(AND(D34=Results!D10,Results!D10&lt;&gt;Games!$C$72),1,0))</f>
        <v/>
      </c>
      <c r="AL34" s="13" t="str">
        <f>IF(OR(E34="",Results!E10=""),"",IF(AND(E34=Results!E10,Results!E10&lt;&gt;Games!$C$73),1,0))</f>
        <v/>
      </c>
      <c r="AM34" s="13" t="str">
        <f>IF(OR(F34="",Results!F10=""),"",IF(AND(F34=Results!F10,Results!F10&lt;&gt;Games!$C$74),1,0))</f>
        <v/>
      </c>
      <c r="AN34" s="13" t="str">
        <f>IF(OR(G34="",Results!G10=""),"",IF(AND(G34=Results!G10,Results!G10&lt;&gt;Games!$C$75),1,0))</f>
        <v/>
      </c>
      <c r="AO34" s="13" t="str">
        <f>IF(OR(H34="",Results!H10=""),"",IF(AND(H34=Results!H10,Results!H10&lt;&gt;Games!$C$76),1,0))</f>
        <v/>
      </c>
      <c r="AP34" s="13" t="str">
        <f>IF(OR(I34="",Results!I10=""),"",IF(AND(I34=Results!I10,Results!I10&lt;&gt;Games!$C$77),1,0))</f>
        <v/>
      </c>
      <c r="AQ34" s="13" t="str">
        <f>IF(OR(J34="",Results!J10=""),"",IF(AND(J34=Results!J10,Results!J10&lt;&gt;Games!$C$78),1,0))</f>
        <v/>
      </c>
      <c r="AR34" s="13" t="str">
        <f>IF(OR(K34="",Results!K10=""),"",IF(AND(K34=Results!K10,Results!K10&lt;&gt;Games!$C$79),1,0))</f>
        <v/>
      </c>
      <c r="AS34" s="13" t="str">
        <f>IF(OR(L34="",Results!L10=""),"",IF(AND(L34=Results!L10,Results!L10&lt;&gt;Games!$C$80),1,0))</f>
        <v/>
      </c>
      <c r="AT34" s="13" t="str">
        <f>IF(OR(M34="",Results!M10=""),"",IF(AND(M34=Results!M10,Results!M10&lt;&gt;Games!$C$81),1,0))</f>
        <v/>
      </c>
      <c r="AU34" s="13" t="str">
        <f>IF(OR(N34="",Results!N10=""),"",IF(AND(N34=Results!N10,Results!N10&lt;&gt;Games!$C$82),1,0))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IF(OR(B35="",Results!B10=""),"",IF(B35=Results!B10,1+IF(OR($O35=1,$P35=1,$Q35=1),1,0),0))</f>
        <v/>
      </c>
      <c r="T35" s="4" t="str">
        <f>IF(OR(C35="",Results!C10=""),"",IF(C35=Results!C10,1+IF(OR($O35=2,$P35=2,$Q35=2),1,0),0))</f>
        <v/>
      </c>
      <c r="U35" s="4" t="str">
        <f>IF(OR(D35="",Results!D10=""),"",IF(D35=Results!D10,1+IF(OR($O35=3,$P35=3,$Q35=3),1,0),0))</f>
        <v/>
      </c>
      <c r="V35" s="4" t="str">
        <f>IF(OR(E35="",Results!E10=""),"",IF(E35=Results!E10,1+IF(OR($O35=4,$P35=4,$Q35=4),1,0),0))</f>
        <v/>
      </c>
      <c r="W35" s="4" t="str">
        <f>IF(OR(F35="",Results!F10=""),"",IF(F35=Results!F10,1+IF(OR($O35=5,$P35=5,$Q35=5),1,0),0))</f>
        <v/>
      </c>
      <c r="X35" s="4" t="str">
        <f>IF(OR(G35="",Results!G10=""),"",IF(G35=Results!G10,1+IF(OR($O35=6,$P35=6,$Q35=6),1,0),0))</f>
        <v/>
      </c>
      <c r="Y35" s="4" t="str">
        <f>IF(OR(H35="",Results!H10=""),"",IF(H35=Results!H10,1+IF(OR($O35=7,$P35=7,$Q35=7),1,0),0))</f>
        <v/>
      </c>
      <c r="Z35" s="4" t="str">
        <f>IF(OR(I35="",Results!I10=""),"",IF(I35=Results!I10,1+IF(OR($O35=8,$P35=8,$Q35=8),1,0),0))</f>
        <v/>
      </c>
      <c r="AA35" s="4" t="str">
        <f>IF(OR(J35="",Results!J10=""),"",IF(J35=Results!J10,1+IF(OR($O35=9,$P35=9,$Q35=9),1,0),0))</f>
        <v/>
      </c>
      <c r="AB35" s="4" t="str">
        <f>IF(OR(K35="",Results!K10=""),"",IF(K35=Results!K10,1+IF(OR($O35=10,$P35=10,$Q35=10),1,0),0))</f>
        <v/>
      </c>
      <c r="AC35" s="4" t="str">
        <f>IF(OR(L35="",Results!L10=""),"",IF(L35=Results!L10,1+IF(OR($O35=11,$P35=11,$Q35=11),1,0),0))</f>
        <v/>
      </c>
      <c r="AD35" s="4" t="str">
        <f>IF(OR(M35="",Results!M10=""),"",IF(M35=Results!M10,1+IF(OR($O35=12,$P35=12,$Q35=12),1,0),0))</f>
        <v/>
      </c>
      <c r="AE35" s="4" t="str">
        <f>IF(OR(N35="",Results!N10=""),"",IF(N35=Results!N10,1+IF(OR($O35=13,$P35=13,$Q35=13),1,0),0))</f>
        <v/>
      </c>
      <c r="AF35" s="11">
        <f t="shared" si="0"/>
        <v>0</v>
      </c>
      <c r="AG35" s="4" t="str">
        <f>IF(OR($R35="",Results!O10=""),"",ABS($R35-Results!O10))</f>
        <v/>
      </c>
      <c r="AH35" s="12">
        <v>17</v>
      </c>
      <c r="AI35" s="13" t="str">
        <f>IF(OR(B35="",Results!B10=""),"",IF(AND(B35=Results!B10,Results!B10&lt;&gt;Games!$C$70),1,0))</f>
        <v/>
      </c>
      <c r="AJ35" s="13" t="str">
        <f>IF(OR(C35="",Results!C10=""),"",IF(AND(C35=Results!C10,Results!C10&lt;&gt;Games!$C$71),1,0))</f>
        <v/>
      </c>
      <c r="AK35" s="13" t="str">
        <f>IF(OR(D35="",Results!D10=""),"",IF(AND(D35=Results!D10,Results!D10&lt;&gt;Games!$C$72),1,0))</f>
        <v/>
      </c>
      <c r="AL35" s="13" t="str">
        <f>IF(OR(E35="",Results!E10=""),"",IF(AND(E35=Results!E10,Results!E10&lt;&gt;Games!$C$73),1,0))</f>
        <v/>
      </c>
      <c r="AM35" s="13" t="str">
        <f>IF(OR(F35="",Results!F10=""),"",IF(AND(F35=Results!F10,Results!F10&lt;&gt;Games!$C$74),1,0))</f>
        <v/>
      </c>
      <c r="AN35" s="13" t="str">
        <f>IF(OR(G35="",Results!G10=""),"",IF(AND(G35=Results!G10,Results!G10&lt;&gt;Games!$C$75),1,0))</f>
        <v/>
      </c>
      <c r="AO35" s="13" t="str">
        <f>IF(OR(H35="",Results!H10=""),"",IF(AND(H35=Results!H10,Results!H10&lt;&gt;Games!$C$76),1,0))</f>
        <v/>
      </c>
      <c r="AP35" s="13" t="str">
        <f>IF(OR(I35="",Results!I10=""),"",IF(AND(I35=Results!I10,Results!I10&lt;&gt;Games!$C$77),1,0))</f>
        <v/>
      </c>
      <c r="AQ35" s="13" t="str">
        <f>IF(OR(J35="",Results!J10=""),"",IF(AND(J35=Results!J10,Results!J10&lt;&gt;Games!$C$78),1,0))</f>
        <v/>
      </c>
      <c r="AR35" s="13" t="str">
        <f>IF(OR(K35="",Results!K10=""),"",IF(AND(K35=Results!K10,Results!K10&lt;&gt;Games!$C$79),1,0))</f>
        <v/>
      </c>
      <c r="AS35" s="13" t="str">
        <f>IF(OR(L35="",Results!L10=""),"",IF(AND(L35=Results!L10,Results!L10&lt;&gt;Games!$C$80),1,0))</f>
        <v/>
      </c>
      <c r="AT35" s="13" t="str">
        <f>IF(OR(M35="",Results!M10=""),"",IF(AND(M35=Results!M10,Results!M10&lt;&gt;Games!$C$81),1,0))</f>
        <v/>
      </c>
      <c r="AU35" s="13" t="str">
        <f>IF(OR(N35="",Results!N10=""),"",IF(AND(N35=Results!N10,Results!N10&lt;&gt;Games!$C$82),1,0))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IF(OR(B36="",Results!B10=""),"",IF(B36=Results!B10,1+IF(OR($O36=1,$P36=1,$Q36=1),1,0),0))</f>
        <v/>
      </c>
      <c r="T36" s="4" t="str">
        <f>IF(OR(C36="",Results!C10=""),"",IF(C36=Results!C10,1+IF(OR($O36=2,$P36=2,$Q36=2),1,0),0))</f>
        <v/>
      </c>
      <c r="U36" s="4" t="str">
        <f>IF(OR(D36="",Results!D10=""),"",IF(D36=Results!D10,1+IF(OR($O36=3,$P36=3,$Q36=3),1,0),0))</f>
        <v/>
      </c>
      <c r="V36" s="4" t="str">
        <f>IF(OR(E36="",Results!E10=""),"",IF(E36=Results!E10,1+IF(OR($O36=4,$P36=4,$Q36=4),1,0),0))</f>
        <v/>
      </c>
      <c r="W36" s="4" t="str">
        <f>IF(OR(F36="",Results!F10=""),"",IF(F36=Results!F10,1+IF(OR($O36=5,$P36=5,$Q36=5),1,0),0))</f>
        <v/>
      </c>
      <c r="X36" s="4" t="str">
        <f>IF(OR(G36="",Results!G10=""),"",IF(G36=Results!G10,1+IF(OR($O36=6,$P36=6,$Q36=6),1,0),0))</f>
        <v/>
      </c>
      <c r="Y36" s="4" t="str">
        <f>IF(OR(H36="",Results!H10=""),"",IF(H36=Results!H10,1+IF(OR($O36=7,$P36=7,$Q36=7),1,0),0))</f>
        <v/>
      </c>
      <c r="Z36" s="4" t="str">
        <f>IF(OR(I36="",Results!I10=""),"",IF(I36=Results!I10,1+IF(OR($O36=8,$P36=8,$Q36=8),1,0),0))</f>
        <v/>
      </c>
      <c r="AA36" s="4" t="str">
        <f>IF(OR(J36="",Results!J10=""),"",IF(J36=Results!J10,1+IF(OR($O36=9,$P36=9,$Q36=9),1,0),0))</f>
        <v/>
      </c>
      <c r="AB36" s="4" t="str">
        <f>IF(OR(K36="",Results!K10=""),"",IF(K36=Results!K10,1+IF(OR($O36=10,$P36=10,$Q36=10),1,0),0))</f>
        <v/>
      </c>
      <c r="AC36" s="4" t="str">
        <f>IF(OR(L36="",Results!L10=""),"",IF(L36=Results!L10,1+IF(OR($O36=11,$P36=11,$Q36=11),1,0),0))</f>
        <v/>
      </c>
      <c r="AD36" s="4" t="str">
        <f>IF(OR(M36="",Results!M10=""),"",IF(M36=Results!M10,1+IF(OR($O36=12,$P36=12,$Q36=12),1,0),0))</f>
        <v/>
      </c>
      <c r="AE36" s="4" t="str">
        <f>IF(OR(N36="",Results!N10=""),"",IF(N36=Results!N10,1+IF(OR($O36=13,$P36=13,$Q36=13),1,0),0))</f>
        <v/>
      </c>
      <c r="AF36" s="11">
        <f t="shared" si="0"/>
        <v>0</v>
      </c>
      <c r="AG36" s="4" t="str">
        <f>IF(OR($R36="",Results!O10=""),"",ABS($R36-Results!O10))</f>
        <v/>
      </c>
      <c r="AH36" s="12">
        <v>39</v>
      </c>
      <c r="AI36" s="13" t="str">
        <f>IF(OR(B36="",Results!B10=""),"",IF(AND(B36=Results!B10,Results!B10&lt;&gt;Games!$C$70),1,0))</f>
        <v/>
      </c>
      <c r="AJ36" s="13" t="str">
        <f>IF(OR(C36="",Results!C10=""),"",IF(AND(C36=Results!C10,Results!C10&lt;&gt;Games!$C$71),1,0))</f>
        <v/>
      </c>
      <c r="AK36" s="13" t="str">
        <f>IF(OR(D36="",Results!D10=""),"",IF(AND(D36=Results!D10,Results!D10&lt;&gt;Games!$C$72),1,0))</f>
        <v/>
      </c>
      <c r="AL36" s="13" t="str">
        <f>IF(OR(E36="",Results!E10=""),"",IF(AND(E36=Results!E10,Results!E10&lt;&gt;Games!$C$73),1,0))</f>
        <v/>
      </c>
      <c r="AM36" s="13" t="str">
        <f>IF(OR(F36="",Results!F10=""),"",IF(AND(F36=Results!F10,Results!F10&lt;&gt;Games!$C$74),1,0))</f>
        <v/>
      </c>
      <c r="AN36" s="13" t="str">
        <f>IF(OR(G36="",Results!G10=""),"",IF(AND(G36=Results!G10,Results!G10&lt;&gt;Games!$C$75),1,0))</f>
        <v/>
      </c>
      <c r="AO36" s="13" t="str">
        <f>IF(OR(H36="",Results!H10=""),"",IF(AND(H36=Results!H10,Results!H10&lt;&gt;Games!$C$76),1,0))</f>
        <v/>
      </c>
      <c r="AP36" s="13" t="str">
        <f>IF(OR(I36="",Results!I10=""),"",IF(AND(I36=Results!I10,Results!I10&lt;&gt;Games!$C$77),1,0))</f>
        <v/>
      </c>
      <c r="AQ36" s="13" t="str">
        <f>IF(OR(J36="",Results!J10=""),"",IF(AND(J36=Results!J10,Results!J10&lt;&gt;Games!$C$78),1,0))</f>
        <v/>
      </c>
      <c r="AR36" s="13" t="str">
        <f>IF(OR(K36="",Results!K10=""),"",IF(AND(K36=Results!K10,Results!K10&lt;&gt;Games!$C$79),1,0))</f>
        <v/>
      </c>
      <c r="AS36" s="13" t="str">
        <f>IF(OR(L36="",Results!L10=""),"",IF(AND(L36=Results!L10,Results!L10&lt;&gt;Games!$C$80),1,0))</f>
        <v/>
      </c>
      <c r="AT36" s="13" t="str">
        <f>IF(OR(M36="",Results!M10=""),"",IF(AND(M36=Results!M10,Results!M10&lt;&gt;Games!$C$81),1,0))</f>
        <v/>
      </c>
      <c r="AU36" s="13" t="str">
        <f>IF(OR(N36="",Results!N10=""),"",IF(AND(N36=Results!N10,Results!N10&lt;&gt;Games!$C$82),1,0))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IF(OR(B37="",Results!B10=""),"",IF(B37=Results!B10,1+IF(OR($O37=1,$P37=1,$Q37=1),1,0),0))</f>
        <v/>
      </c>
      <c r="T37" s="4" t="str">
        <f>IF(OR(C37="",Results!C10=""),"",IF(C37=Results!C10,1+IF(OR($O37=2,$P37=2,$Q37=2),1,0),0))</f>
        <v/>
      </c>
      <c r="U37" s="4" t="str">
        <f>IF(OR(D37="",Results!D10=""),"",IF(D37=Results!D10,1+IF(OR($O37=3,$P37=3,$Q37=3),1,0),0))</f>
        <v/>
      </c>
      <c r="V37" s="4" t="str">
        <f>IF(OR(E37="",Results!E10=""),"",IF(E37=Results!E10,1+IF(OR($O37=4,$P37=4,$Q37=4),1,0),0))</f>
        <v/>
      </c>
      <c r="W37" s="4" t="str">
        <f>IF(OR(F37="",Results!F10=""),"",IF(F37=Results!F10,1+IF(OR($O37=5,$P37=5,$Q37=5),1,0),0))</f>
        <v/>
      </c>
      <c r="X37" s="4" t="str">
        <f>IF(OR(G37="",Results!G10=""),"",IF(G37=Results!G10,1+IF(OR($O37=6,$P37=6,$Q37=6),1,0),0))</f>
        <v/>
      </c>
      <c r="Y37" s="4" t="str">
        <f>IF(OR(H37="",Results!H10=""),"",IF(H37=Results!H10,1+IF(OR($O37=7,$P37=7,$Q37=7),1,0),0))</f>
        <v/>
      </c>
      <c r="Z37" s="4" t="str">
        <f>IF(OR(I37="",Results!I10=""),"",IF(I37=Results!I10,1+IF(OR($O37=8,$P37=8,$Q37=8),1,0),0))</f>
        <v/>
      </c>
      <c r="AA37" s="4" t="str">
        <f>IF(OR(J37="",Results!J10=""),"",IF(J37=Results!J10,1+IF(OR($O37=9,$P37=9,$Q37=9),1,0),0))</f>
        <v/>
      </c>
      <c r="AB37" s="4" t="str">
        <f>IF(OR(K37="",Results!K10=""),"",IF(K37=Results!K10,1+IF(OR($O37=10,$P37=10,$Q37=10),1,0),0))</f>
        <v/>
      </c>
      <c r="AC37" s="4" t="str">
        <f>IF(OR(L37="",Results!L10=""),"",IF(L37=Results!L10,1+IF(OR($O37=11,$P37=11,$Q37=11),1,0),0))</f>
        <v/>
      </c>
      <c r="AD37" s="4" t="str">
        <f>IF(OR(M37="",Results!M10=""),"",IF(M37=Results!M10,1+IF(OR($O37=12,$P37=12,$Q37=12),1,0),0))</f>
        <v/>
      </c>
      <c r="AE37" s="4" t="str">
        <f>IF(OR(N37="",Results!N10=""),"",IF(N37=Results!N10,1+IF(OR($O37=13,$P37=13,$Q37=13),1,0),0))</f>
        <v/>
      </c>
      <c r="AF37" s="11">
        <f t="shared" si="0"/>
        <v>0</v>
      </c>
      <c r="AG37" s="4" t="str">
        <f>IF(OR($R37="",Results!O10=""),"",ABS($R37-Results!O10))</f>
        <v/>
      </c>
      <c r="AH37" s="12">
        <v>49</v>
      </c>
      <c r="AI37" s="13" t="str">
        <f>IF(OR(B37="",Results!B10=""),"",IF(AND(B37=Results!B10,Results!B10&lt;&gt;Games!$C$70),1,0))</f>
        <v/>
      </c>
      <c r="AJ37" s="13" t="str">
        <f>IF(OR(C37="",Results!C10=""),"",IF(AND(C37=Results!C10,Results!C10&lt;&gt;Games!$C$71),1,0))</f>
        <v/>
      </c>
      <c r="AK37" s="13" t="str">
        <f>IF(OR(D37="",Results!D10=""),"",IF(AND(D37=Results!D10,Results!D10&lt;&gt;Games!$C$72),1,0))</f>
        <v/>
      </c>
      <c r="AL37" s="13" t="str">
        <f>IF(OR(E37="",Results!E10=""),"",IF(AND(E37=Results!E10,Results!E10&lt;&gt;Games!$C$73),1,0))</f>
        <v/>
      </c>
      <c r="AM37" s="13" t="str">
        <f>IF(OR(F37="",Results!F10=""),"",IF(AND(F37=Results!F10,Results!F10&lt;&gt;Games!$C$74),1,0))</f>
        <v/>
      </c>
      <c r="AN37" s="13" t="str">
        <f>IF(OR(G37="",Results!G10=""),"",IF(AND(G37=Results!G10,Results!G10&lt;&gt;Games!$C$75),1,0))</f>
        <v/>
      </c>
      <c r="AO37" s="13" t="str">
        <f>IF(OR(H37="",Results!H10=""),"",IF(AND(H37=Results!H10,Results!H10&lt;&gt;Games!$C$76),1,0))</f>
        <v/>
      </c>
      <c r="AP37" s="13" t="str">
        <f>IF(OR(I37="",Results!I10=""),"",IF(AND(I37=Results!I10,Results!I10&lt;&gt;Games!$C$77),1,0))</f>
        <v/>
      </c>
      <c r="AQ37" s="13" t="str">
        <f>IF(OR(J37="",Results!J10=""),"",IF(AND(J37=Results!J10,Results!J10&lt;&gt;Games!$C$78),1,0))</f>
        <v/>
      </c>
      <c r="AR37" s="13" t="str">
        <f>IF(OR(K37="",Results!K10=""),"",IF(AND(K37=Results!K10,Results!K10&lt;&gt;Games!$C$79),1,0))</f>
        <v/>
      </c>
      <c r="AS37" s="13" t="str">
        <f>IF(OR(L37="",Results!L10=""),"",IF(AND(L37=Results!L10,Results!L10&lt;&gt;Games!$C$80),1,0))</f>
        <v/>
      </c>
      <c r="AT37" s="13" t="str">
        <f>IF(OR(M37="",Results!M10=""),"",IF(AND(M37=Results!M10,Results!M10&lt;&gt;Games!$C$81),1,0))</f>
        <v/>
      </c>
      <c r="AU37" s="13" t="str">
        <f>IF(OR(N37="",Results!N10=""),"",IF(AND(N37=Results!N10,Results!N10&lt;&gt;Games!$C$82),1,0))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tr">
        <f>IF(OR(B38="",Results!B10=""),"",IF(B38=Results!B10,1+IF(OR($O38=1,$P38=1,$Q38=1),1,0),0))</f>
        <v/>
      </c>
      <c r="T38" s="4" t="str">
        <f>IF(OR(C38="",Results!C10=""),"",IF(C38=Results!C10,1+IF(OR($O38=2,$P38=2,$Q38=2),1,0),0))</f>
        <v/>
      </c>
      <c r="U38" s="4" t="str">
        <f>IF(OR(D38="",Results!D10=""),"",IF(D38=Results!D10,1+IF(OR($O38=3,$P38=3,$Q38=3),1,0),0))</f>
        <v/>
      </c>
      <c r="V38" s="4" t="str">
        <f>IF(OR(E38="",Results!E10=""),"",IF(E38=Results!E10,1+IF(OR($O38=4,$P38=4,$Q38=4),1,0),0))</f>
        <v/>
      </c>
      <c r="W38" s="4" t="str">
        <f>IF(OR(F38="",Results!F10=""),"",IF(F38=Results!F10,1+IF(OR($O38=5,$P38=5,$Q38=5),1,0),0))</f>
        <v/>
      </c>
      <c r="X38" s="4" t="str">
        <f>IF(OR(G38="",Results!G10=""),"",IF(G38=Results!G10,1+IF(OR($O38=6,$P38=6,$Q38=6),1,0),0))</f>
        <v/>
      </c>
      <c r="Y38" s="4" t="str">
        <f>IF(OR(H38="",Results!H10=""),"",IF(H38=Results!H10,1+IF(OR($O38=7,$P38=7,$Q38=7),1,0),0))</f>
        <v/>
      </c>
      <c r="Z38" s="4" t="str">
        <f>IF(OR(I38="",Results!I10=""),"",IF(I38=Results!I10,1+IF(OR($O38=8,$P38=8,$Q38=8),1,0),0))</f>
        <v/>
      </c>
      <c r="AA38" s="4" t="str">
        <f>IF(OR(J38="",Results!J10=""),"",IF(J38=Results!J10,1+IF(OR($O38=9,$P38=9,$Q38=9),1,0),0))</f>
        <v/>
      </c>
      <c r="AB38" s="4" t="str">
        <f>IF(OR(K38="",Results!K10=""),"",IF(K38=Results!K10,1+IF(OR($O38=10,$P38=10,$Q38=10),1,0),0))</f>
        <v/>
      </c>
      <c r="AC38" s="4" t="str">
        <f>IF(OR(L38="",Results!L10=""),"",IF(L38=Results!L10,1+IF(OR($O38=11,$P38=11,$Q38=11),1,0),0))</f>
        <v/>
      </c>
      <c r="AD38" s="4" t="str">
        <f>IF(OR(M38="",Results!M10=""),"",IF(M38=Results!M10,1+IF(OR($O38=12,$P38=12,$Q38=12),1,0),0))</f>
        <v/>
      </c>
      <c r="AE38" s="4" t="str">
        <f>IF(OR(N38="",Results!N10=""),"",IF(N38=Results!N10,1+IF(OR($O38=13,$P38=13,$Q38=13),1,0),0))</f>
        <v/>
      </c>
      <c r="AF38" s="11">
        <f t="shared" ref="AF38:AF65" si="2">SUM(S38:AE38)</f>
        <v>0</v>
      </c>
      <c r="AG38" s="4" t="str">
        <f>IF(OR($R38="",Results!O10=""),"",ABS($R38-Results!O10))</f>
        <v/>
      </c>
      <c r="AH38" s="12">
        <v>18</v>
      </c>
      <c r="AI38" s="13" t="str">
        <f>IF(OR(B38="",Results!B10=""),"",IF(AND(B38=Results!B10,Results!B10&lt;&gt;Games!$C$70),1,0))</f>
        <v/>
      </c>
      <c r="AJ38" s="13" t="str">
        <f>IF(OR(C38="",Results!C10=""),"",IF(AND(C38=Results!C10,Results!C10&lt;&gt;Games!$C$71),1,0))</f>
        <v/>
      </c>
      <c r="AK38" s="13" t="str">
        <f>IF(OR(D38="",Results!D10=""),"",IF(AND(D38=Results!D10,Results!D10&lt;&gt;Games!$C$72),1,0))</f>
        <v/>
      </c>
      <c r="AL38" s="13" t="str">
        <f>IF(OR(E38="",Results!E10=""),"",IF(AND(E38=Results!E10,Results!E10&lt;&gt;Games!$C$73),1,0))</f>
        <v/>
      </c>
      <c r="AM38" s="13" t="str">
        <f>IF(OR(F38="",Results!F10=""),"",IF(AND(F38=Results!F10,Results!F10&lt;&gt;Games!$C$74),1,0))</f>
        <v/>
      </c>
      <c r="AN38" s="13" t="str">
        <f>IF(OR(G38="",Results!G10=""),"",IF(AND(G38=Results!G10,Results!G10&lt;&gt;Games!$C$75),1,0))</f>
        <v/>
      </c>
      <c r="AO38" s="13" t="str">
        <f>IF(OR(H38="",Results!H10=""),"",IF(AND(H38=Results!H10,Results!H10&lt;&gt;Games!$C$76),1,0))</f>
        <v/>
      </c>
      <c r="AP38" s="13" t="str">
        <f>IF(OR(I38="",Results!I10=""),"",IF(AND(I38=Results!I10,Results!I10&lt;&gt;Games!$C$77),1,0))</f>
        <v/>
      </c>
      <c r="AQ38" s="13" t="str">
        <f>IF(OR(J38="",Results!J10=""),"",IF(AND(J38=Results!J10,Results!J10&lt;&gt;Games!$C$78),1,0))</f>
        <v/>
      </c>
      <c r="AR38" s="13" t="str">
        <f>IF(OR(K38="",Results!K10=""),"",IF(AND(K38=Results!K10,Results!K10&lt;&gt;Games!$C$79),1,0))</f>
        <v/>
      </c>
      <c r="AS38" s="13" t="str">
        <f>IF(OR(L38="",Results!L10=""),"",IF(AND(L38=Results!L10,Results!L10&lt;&gt;Games!$C$80),1,0))</f>
        <v/>
      </c>
      <c r="AT38" s="13" t="str">
        <f>IF(OR(M38="",Results!M10=""),"",IF(AND(M38=Results!M10,Results!M10&lt;&gt;Games!$C$81),1,0))</f>
        <v/>
      </c>
      <c r="AU38" s="13" t="str">
        <f>IF(OR(N38="",Results!N10=""),"",IF(AND(N38=Results!N10,Results!N10&lt;&gt;Games!$C$82),1,0))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IF(OR(B39="",Results!B10=""),"",IF(B39=Results!B10,1+IF(OR($O39=1,$P39=1,$Q39=1),1,0),0))</f>
        <v/>
      </c>
      <c r="T39" s="4" t="str">
        <f>IF(OR(C39="",Results!C10=""),"",IF(C39=Results!C10,1+IF(OR($O39=2,$P39=2,$Q39=2),1,0),0))</f>
        <v/>
      </c>
      <c r="U39" s="4" t="str">
        <f>IF(OR(D39="",Results!D10=""),"",IF(D39=Results!D10,1+IF(OR($O39=3,$P39=3,$Q39=3),1,0),0))</f>
        <v/>
      </c>
      <c r="V39" s="4" t="str">
        <f>IF(OR(E39="",Results!E10=""),"",IF(E39=Results!E10,1+IF(OR($O39=4,$P39=4,$Q39=4),1,0),0))</f>
        <v/>
      </c>
      <c r="W39" s="4" t="str">
        <f>IF(OR(F39="",Results!F10=""),"",IF(F39=Results!F10,1+IF(OR($O39=5,$P39=5,$Q39=5),1,0),0))</f>
        <v/>
      </c>
      <c r="X39" s="4" t="str">
        <f>IF(OR(G39="",Results!G10=""),"",IF(G39=Results!G10,1+IF(OR($O39=6,$P39=6,$Q39=6),1,0),0))</f>
        <v/>
      </c>
      <c r="Y39" s="4" t="str">
        <f>IF(OR(H39="",Results!H10=""),"",IF(H39=Results!H10,1+IF(OR($O39=7,$P39=7,$Q39=7),1,0),0))</f>
        <v/>
      </c>
      <c r="Z39" s="4" t="str">
        <f>IF(OR(I39="",Results!I10=""),"",IF(I39=Results!I10,1+IF(OR($O39=8,$P39=8,$Q39=8),1,0),0))</f>
        <v/>
      </c>
      <c r="AA39" s="4" t="str">
        <f>IF(OR(J39="",Results!J10=""),"",IF(J39=Results!J10,1+IF(OR($O39=9,$P39=9,$Q39=9),1,0),0))</f>
        <v/>
      </c>
      <c r="AB39" s="4" t="str">
        <f>IF(OR(K39="",Results!K10=""),"",IF(K39=Results!K10,1+IF(OR($O39=10,$P39=10,$Q39=10),1,0),0))</f>
        <v/>
      </c>
      <c r="AC39" s="4" t="str">
        <f>IF(OR(L39="",Results!L10=""),"",IF(L39=Results!L10,1+IF(OR($O39=11,$P39=11,$Q39=11),1,0),0))</f>
        <v/>
      </c>
      <c r="AD39" s="4" t="str">
        <f>IF(OR(M39="",Results!M10=""),"",IF(M39=Results!M10,1+IF(OR($O39=12,$P39=12,$Q39=12),1,0),0))</f>
        <v/>
      </c>
      <c r="AE39" s="4" t="str">
        <f>IF(OR(N39="",Results!N10=""),"",IF(N39=Results!N10,1+IF(OR($O39=13,$P39=13,$Q39=13),1,0),0))</f>
        <v/>
      </c>
      <c r="AF39" s="11">
        <f t="shared" si="2"/>
        <v>0</v>
      </c>
      <c r="AG39" s="4" t="str">
        <f>IF(OR($R39="",Results!O10=""),"",ABS($R39-Results!O10))</f>
        <v/>
      </c>
      <c r="AH39" s="12">
        <v>50</v>
      </c>
      <c r="AI39" s="13" t="str">
        <f>IF(OR(B39="",Results!B10=""),"",IF(AND(B39=Results!B10,Results!B10&lt;&gt;Games!$C$70),1,0))</f>
        <v/>
      </c>
      <c r="AJ39" s="13" t="str">
        <f>IF(OR(C39="",Results!C10=""),"",IF(AND(C39=Results!C10,Results!C10&lt;&gt;Games!$C$71),1,0))</f>
        <v/>
      </c>
      <c r="AK39" s="13" t="str">
        <f>IF(OR(D39="",Results!D10=""),"",IF(AND(D39=Results!D10,Results!D10&lt;&gt;Games!$C$72),1,0))</f>
        <v/>
      </c>
      <c r="AL39" s="13" t="str">
        <f>IF(OR(E39="",Results!E10=""),"",IF(AND(E39=Results!E10,Results!E10&lt;&gt;Games!$C$73),1,0))</f>
        <v/>
      </c>
      <c r="AM39" s="13" t="str">
        <f>IF(OR(F39="",Results!F10=""),"",IF(AND(F39=Results!F10,Results!F10&lt;&gt;Games!$C$74),1,0))</f>
        <v/>
      </c>
      <c r="AN39" s="13" t="str">
        <f>IF(OR(G39="",Results!G10=""),"",IF(AND(G39=Results!G10,Results!G10&lt;&gt;Games!$C$75),1,0))</f>
        <v/>
      </c>
      <c r="AO39" s="13" t="str">
        <f>IF(OR(H39="",Results!H10=""),"",IF(AND(H39=Results!H10,Results!H10&lt;&gt;Games!$C$76),1,0))</f>
        <v/>
      </c>
      <c r="AP39" s="13" t="str">
        <f>IF(OR(I39="",Results!I10=""),"",IF(AND(I39=Results!I10,Results!I10&lt;&gt;Games!$C$77),1,0))</f>
        <v/>
      </c>
      <c r="AQ39" s="13" t="str">
        <f>IF(OR(J39="",Results!J10=""),"",IF(AND(J39=Results!J10,Results!J10&lt;&gt;Games!$C$78),1,0))</f>
        <v/>
      </c>
      <c r="AR39" s="13" t="str">
        <f>IF(OR(K39="",Results!K10=""),"",IF(AND(K39=Results!K10,Results!K10&lt;&gt;Games!$C$79),1,0))</f>
        <v/>
      </c>
      <c r="AS39" s="13" t="str">
        <f>IF(OR(L39="",Results!L10=""),"",IF(AND(L39=Results!L10,Results!L10&lt;&gt;Games!$C$80),1,0))</f>
        <v/>
      </c>
      <c r="AT39" s="13" t="str">
        <f>IF(OR(M39="",Results!M10=""),"",IF(AND(M39=Results!M10,Results!M10&lt;&gt;Games!$C$81),1,0))</f>
        <v/>
      </c>
      <c r="AU39" s="13" t="str">
        <f>IF(OR(N39="",Results!N10=""),"",IF(AND(N39=Results!N10,Results!N10&lt;&gt;Games!$C$82),1,0))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4" t="str">
        <f>IF(OR(B40="",Results!B10=""),"",IF(B40=Results!B10,1+IF(OR($O40=1,$P40=1,$Q40=1),1,0),0))</f>
        <v/>
      </c>
      <c r="T40" s="4" t="str">
        <f>IF(OR(C40="",Results!C10=""),"",IF(C40=Results!C10,1+IF(OR($O40=2,$P40=2,$Q40=2),1,0),0))</f>
        <v/>
      </c>
      <c r="U40" s="4" t="str">
        <f>IF(OR(D40="",Results!D10=""),"",IF(D40=Results!D10,1+IF(OR($O40=3,$P40=3,$Q40=3),1,0),0))</f>
        <v/>
      </c>
      <c r="V40" s="4" t="str">
        <f>IF(OR(E40="",Results!E10=""),"",IF(E40=Results!E10,1+IF(OR($O40=4,$P40=4,$Q40=4),1,0),0))</f>
        <v/>
      </c>
      <c r="W40" s="4" t="str">
        <f>IF(OR(F40="",Results!F10=""),"",IF(F40=Results!F10,1+IF(OR($O40=5,$P40=5,$Q40=5),1,0),0))</f>
        <v/>
      </c>
      <c r="X40" s="4" t="str">
        <f>IF(OR(G40="",Results!G10=""),"",IF(G40=Results!G10,1+IF(OR($O40=6,$P40=6,$Q40=6),1,0),0))</f>
        <v/>
      </c>
      <c r="Y40" s="4" t="str">
        <f>IF(OR(H40="",Results!H10=""),"",IF(H40=Results!H10,1+IF(OR($O40=7,$P40=7,$Q40=7),1,0),0))</f>
        <v/>
      </c>
      <c r="Z40" s="4" t="str">
        <f>IF(OR(I40="",Results!I10=""),"",IF(I40=Results!I10,1+IF(OR($O40=8,$P40=8,$Q40=8),1,0),0))</f>
        <v/>
      </c>
      <c r="AA40" s="4" t="str">
        <f>IF(OR(J40="",Results!J10=""),"",IF(J40=Results!J10,1+IF(OR($O40=9,$P40=9,$Q40=9),1,0),0))</f>
        <v/>
      </c>
      <c r="AB40" s="4" t="str">
        <f>IF(OR(K40="",Results!K10=""),"",IF(K40=Results!K10,1+IF(OR($O40=10,$P40=10,$Q40=10),1,0),0))</f>
        <v/>
      </c>
      <c r="AC40" s="4" t="str">
        <f>IF(OR(L40="",Results!L10=""),"",IF(L40=Results!L10,1+IF(OR($O40=11,$P40=11,$Q40=11),1,0),0))</f>
        <v/>
      </c>
      <c r="AD40" s="4" t="str">
        <f>IF(OR(M40="",Results!M10=""),"",IF(M40=Results!M10,1+IF(OR($O40=12,$P40=12,$Q40=12),1,0),0))</f>
        <v/>
      </c>
      <c r="AE40" s="4" t="str">
        <f>IF(OR(N40="",Results!N10=""),"",IF(N40=Results!N10,1+IF(OR($O40=13,$P40=13,$Q40=13),1,0),0))</f>
        <v/>
      </c>
      <c r="AF40" s="11">
        <f t="shared" si="2"/>
        <v>0</v>
      </c>
      <c r="AG40" s="4" t="str">
        <f>IF(OR($R40="",Results!O10=""),"",ABS($R40-Results!O10))</f>
        <v/>
      </c>
      <c r="AH40" s="12">
        <v>19</v>
      </c>
      <c r="AI40" s="13" t="str">
        <f>IF(OR(B40="",Results!B10=""),"",IF(AND(B40=Results!B10,Results!B10&lt;&gt;Games!$C$70),1,0))</f>
        <v/>
      </c>
      <c r="AJ40" s="13" t="str">
        <f>IF(OR(C40="",Results!C10=""),"",IF(AND(C40=Results!C10,Results!C10&lt;&gt;Games!$C$71),1,0))</f>
        <v/>
      </c>
      <c r="AK40" s="13" t="str">
        <f>IF(OR(D40="",Results!D10=""),"",IF(AND(D40=Results!D10,Results!D10&lt;&gt;Games!$C$72),1,0))</f>
        <v/>
      </c>
      <c r="AL40" s="13" t="str">
        <f>IF(OR(E40="",Results!E10=""),"",IF(AND(E40=Results!E10,Results!E10&lt;&gt;Games!$C$73),1,0))</f>
        <v/>
      </c>
      <c r="AM40" s="13" t="str">
        <f>IF(OR(F40="",Results!F10=""),"",IF(AND(F40=Results!F10,Results!F10&lt;&gt;Games!$C$74),1,0))</f>
        <v/>
      </c>
      <c r="AN40" s="13" t="str">
        <f>IF(OR(G40="",Results!G10=""),"",IF(AND(G40=Results!G10,Results!G10&lt;&gt;Games!$C$75),1,0))</f>
        <v/>
      </c>
      <c r="AO40" s="13" t="str">
        <f>IF(OR(H40="",Results!H10=""),"",IF(AND(H40=Results!H10,Results!H10&lt;&gt;Games!$C$76),1,0))</f>
        <v/>
      </c>
      <c r="AP40" s="13" t="str">
        <f>IF(OR(I40="",Results!I10=""),"",IF(AND(I40=Results!I10,Results!I10&lt;&gt;Games!$C$77),1,0))</f>
        <v/>
      </c>
      <c r="AQ40" s="13" t="str">
        <f>IF(OR(J40="",Results!J10=""),"",IF(AND(J40=Results!J10,Results!J10&lt;&gt;Games!$C$78),1,0))</f>
        <v/>
      </c>
      <c r="AR40" s="13" t="str">
        <f>IF(OR(K40="",Results!K10=""),"",IF(AND(K40=Results!K10,Results!K10&lt;&gt;Games!$C$79),1,0))</f>
        <v/>
      </c>
      <c r="AS40" s="13" t="str">
        <f>IF(OR(L40="",Results!L10=""),"",IF(AND(L40=Results!L10,Results!L10&lt;&gt;Games!$C$80),1,0))</f>
        <v/>
      </c>
      <c r="AT40" s="13" t="str">
        <f>IF(OR(M40="",Results!M10=""),"",IF(AND(M40=Results!M10,Results!M10&lt;&gt;Games!$C$81),1,0))</f>
        <v/>
      </c>
      <c r="AU40" s="13" t="str">
        <f>IF(OR(N40="",Results!N10=""),"",IF(AND(N40=Results!N10,Results!N10&lt;&gt;Games!$C$82),1,0))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IF(OR(B41="",Results!B10=""),"",IF(B41=Results!B10,1+IF(OR($O41=1,$P41=1,$Q41=1),1,0),0))</f>
        <v/>
      </c>
      <c r="T41" s="4" t="str">
        <f>IF(OR(C41="",Results!C10=""),"",IF(C41=Results!C10,1+IF(OR($O41=2,$P41=2,$Q41=2),1,0),0))</f>
        <v/>
      </c>
      <c r="U41" s="4" t="str">
        <f>IF(OR(D41="",Results!D10=""),"",IF(D41=Results!D10,1+IF(OR($O41=3,$P41=3,$Q41=3),1,0),0))</f>
        <v/>
      </c>
      <c r="V41" s="4" t="str">
        <f>IF(OR(E41="",Results!E10=""),"",IF(E41=Results!E10,1+IF(OR($O41=4,$P41=4,$Q41=4),1,0),0))</f>
        <v/>
      </c>
      <c r="W41" s="4" t="str">
        <f>IF(OR(F41="",Results!F10=""),"",IF(F41=Results!F10,1+IF(OR($O41=5,$P41=5,$Q41=5),1,0),0))</f>
        <v/>
      </c>
      <c r="X41" s="4" t="str">
        <f>IF(OR(G41="",Results!G10=""),"",IF(G41=Results!G10,1+IF(OR($O41=6,$P41=6,$Q41=6),1,0),0))</f>
        <v/>
      </c>
      <c r="Y41" s="4" t="str">
        <f>IF(OR(H41="",Results!H10=""),"",IF(H41=Results!H10,1+IF(OR($O41=7,$P41=7,$Q41=7),1,0),0))</f>
        <v/>
      </c>
      <c r="Z41" s="4" t="str">
        <f>IF(OR(I41="",Results!I10=""),"",IF(I41=Results!I10,1+IF(OR($O41=8,$P41=8,$Q41=8),1,0),0))</f>
        <v/>
      </c>
      <c r="AA41" s="4" t="str">
        <f>IF(OR(J41="",Results!J10=""),"",IF(J41=Results!J10,1+IF(OR($O41=9,$P41=9,$Q41=9),1,0),0))</f>
        <v/>
      </c>
      <c r="AB41" s="4" t="str">
        <f>IF(OR(K41="",Results!K10=""),"",IF(K41=Results!K10,1+IF(OR($O41=10,$P41=10,$Q41=10),1,0),0))</f>
        <v/>
      </c>
      <c r="AC41" s="4" t="str">
        <f>IF(OR(L41="",Results!L10=""),"",IF(L41=Results!L10,1+IF(OR($O41=11,$P41=11,$Q41=11),1,0),0))</f>
        <v/>
      </c>
      <c r="AD41" s="4" t="str">
        <f>IF(OR(M41="",Results!M10=""),"",IF(M41=Results!M10,1+IF(OR($O41=12,$P41=12,$Q41=12),1,0),0))</f>
        <v/>
      </c>
      <c r="AE41" s="4" t="str">
        <f>IF(OR(N41="",Results!N10=""),"",IF(N41=Results!N10,1+IF(OR($O41=13,$P41=13,$Q41=13),1,0),0))</f>
        <v/>
      </c>
      <c r="AF41" s="11">
        <f t="shared" si="2"/>
        <v>0</v>
      </c>
      <c r="AG41" s="4" t="str">
        <f>IF(OR($R41="",Results!O10=""),"",ABS($R41-Results!O10))</f>
        <v/>
      </c>
      <c r="AH41" s="12">
        <v>20</v>
      </c>
      <c r="AI41" s="13" t="str">
        <f>IF(OR(B41="",Results!B10=""),"",IF(AND(B41=Results!B10,Results!B10&lt;&gt;Games!$C$70),1,0))</f>
        <v/>
      </c>
      <c r="AJ41" s="13" t="str">
        <f>IF(OR(C41="",Results!C10=""),"",IF(AND(C41=Results!C10,Results!C10&lt;&gt;Games!$C$71),1,0))</f>
        <v/>
      </c>
      <c r="AK41" s="13" t="str">
        <f>IF(OR(D41="",Results!D10=""),"",IF(AND(D41=Results!D10,Results!D10&lt;&gt;Games!$C$72),1,0))</f>
        <v/>
      </c>
      <c r="AL41" s="13" t="str">
        <f>IF(OR(E41="",Results!E10=""),"",IF(AND(E41=Results!E10,Results!E10&lt;&gt;Games!$C$73),1,0))</f>
        <v/>
      </c>
      <c r="AM41" s="13" t="str">
        <f>IF(OR(F41="",Results!F10=""),"",IF(AND(F41=Results!F10,Results!F10&lt;&gt;Games!$C$74),1,0))</f>
        <v/>
      </c>
      <c r="AN41" s="13" t="str">
        <f>IF(OR(G41="",Results!G10=""),"",IF(AND(G41=Results!G10,Results!G10&lt;&gt;Games!$C$75),1,0))</f>
        <v/>
      </c>
      <c r="AO41" s="13" t="str">
        <f>IF(OR(H41="",Results!H10=""),"",IF(AND(H41=Results!H10,Results!H10&lt;&gt;Games!$C$76),1,0))</f>
        <v/>
      </c>
      <c r="AP41" s="13" t="str">
        <f>IF(OR(I41="",Results!I10=""),"",IF(AND(I41=Results!I10,Results!I10&lt;&gt;Games!$C$77),1,0))</f>
        <v/>
      </c>
      <c r="AQ41" s="13" t="str">
        <f>IF(OR(J41="",Results!J10=""),"",IF(AND(J41=Results!J10,Results!J10&lt;&gt;Games!$C$78),1,0))</f>
        <v/>
      </c>
      <c r="AR41" s="13" t="str">
        <f>IF(OR(K41="",Results!K10=""),"",IF(AND(K41=Results!K10,Results!K10&lt;&gt;Games!$C$79),1,0))</f>
        <v/>
      </c>
      <c r="AS41" s="13" t="str">
        <f>IF(OR(L41="",Results!L10=""),"",IF(AND(L41=Results!L10,Results!L10&lt;&gt;Games!$C$80),1,0))</f>
        <v/>
      </c>
      <c r="AT41" s="13" t="str">
        <f>IF(OR(M41="",Results!M10=""),"",IF(AND(M41=Results!M10,Results!M10&lt;&gt;Games!$C$81),1,0))</f>
        <v/>
      </c>
      <c r="AU41" s="13" t="str">
        <f>IF(OR(N41="",Results!N10=""),"",IF(AND(N41=Results!N10,Results!N10&lt;&gt;Games!$C$82),1,0))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4" t="str">
        <f>IF(OR(B42="",Results!B10=""),"",IF(B42=Results!B10,1+IF(OR($O42=1,$P42=1,$Q42=1),1,0),0))</f>
        <v/>
      </c>
      <c r="T42" s="4" t="str">
        <f>IF(OR(C42="",Results!C10=""),"",IF(C42=Results!C10,1+IF(OR($O42=2,$P42=2,$Q42=2),1,0),0))</f>
        <v/>
      </c>
      <c r="U42" s="4" t="str">
        <f>IF(OR(D42="",Results!D10=""),"",IF(D42=Results!D10,1+IF(OR($O42=3,$P42=3,$Q42=3),1,0),0))</f>
        <v/>
      </c>
      <c r="V42" s="4" t="str">
        <f>IF(OR(E42="",Results!E10=""),"",IF(E42=Results!E10,1+IF(OR($O42=4,$P42=4,$Q42=4),1,0),0))</f>
        <v/>
      </c>
      <c r="W42" s="4" t="str">
        <f>IF(OR(F42="",Results!F10=""),"",IF(F42=Results!F10,1+IF(OR($O42=5,$P42=5,$Q42=5),1,0),0))</f>
        <v/>
      </c>
      <c r="X42" s="4" t="str">
        <f>IF(OR(G42="",Results!G10=""),"",IF(G42=Results!G10,1+IF(OR($O42=6,$P42=6,$Q42=6),1,0),0))</f>
        <v/>
      </c>
      <c r="Y42" s="4" t="str">
        <f>IF(OR(H42="",Results!H10=""),"",IF(H42=Results!H10,1+IF(OR($O42=7,$P42=7,$Q42=7),1,0),0))</f>
        <v/>
      </c>
      <c r="Z42" s="4" t="str">
        <f>IF(OR(I42="",Results!I10=""),"",IF(I42=Results!I10,1+IF(OR($O42=8,$P42=8,$Q42=8),1,0),0))</f>
        <v/>
      </c>
      <c r="AA42" s="4" t="str">
        <f>IF(OR(J42="",Results!J10=""),"",IF(J42=Results!J10,1+IF(OR($O42=9,$P42=9,$Q42=9),1,0),0))</f>
        <v/>
      </c>
      <c r="AB42" s="4" t="str">
        <f>IF(OR(K42="",Results!K10=""),"",IF(K42=Results!K10,1+IF(OR($O42=10,$P42=10,$Q42=10),1,0),0))</f>
        <v/>
      </c>
      <c r="AC42" s="4" t="str">
        <f>IF(OR(L42="",Results!L10=""),"",IF(L42=Results!L10,1+IF(OR($O42=11,$P42=11,$Q42=11),1,0),0))</f>
        <v/>
      </c>
      <c r="AD42" s="4" t="str">
        <f>IF(OR(M42="",Results!M10=""),"",IF(M42=Results!M10,1+IF(OR($O42=12,$P42=12,$Q42=12),1,0),0))</f>
        <v/>
      </c>
      <c r="AE42" s="4" t="str">
        <f>IF(OR(N42="",Results!N10=""),"",IF(N42=Results!N10,1+IF(OR($O42=13,$P42=13,$Q42=13),1,0),0))</f>
        <v/>
      </c>
      <c r="AF42" s="11">
        <f t="shared" si="2"/>
        <v>0</v>
      </c>
      <c r="AG42" s="4" t="str">
        <f>IF(OR($R42="",Results!O10=""),"",ABS($R42-Results!O10))</f>
        <v/>
      </c>
      <c r="AH42" s="12">
        <v>21</v>
      </c>
      <c r="AI42" s="13" t="str">
        <f>IF(OR(B42="",Results!B10=""),"",IF(AND(B42=Results!B10,Results!B10&lt;&gt;Games!$C$70),1,0))</f>
        <v/>
      </c>
      <c r="AJ42" s="13" t="str">
        <f>IF(OR(C42="",Results!C10=""),"",IF(AND(C42=Results!C10,Results!C10&lt;&gt;Games!$C$71),1,0))</f>
        <v/>
      </c>
      <c r="AK42" s="13" t="str">
        <f>IF(OR(D42="",Results!D10=""),"",IF(AND(D42=Results!D10,Results!D10&lt;&gt;Games!$C$72),1,0))</f>
        <v/>
      </c>
      <c r="AL42" s="13" t="str">
        <f>IF(OR(E42="",Results!E10=""),"",IF(AND(E42=Results!E10,Results!E10&lt;&gt;Games!$C$73),1,0))</f>
        <v/>
      </c>
      <c r="AM42" s="13" t="str">
        <f>IF(OR(F42="",Results!F10=""),"",IF(AND(F42=Results!F10,Results!F10&lt;&gt;Games!$C$74),1,0))</f>
        <v/>
      </c>
      <c r="AN42" s="13" t="str">
        <f>IF(OR(G42="",Results!G10=""),"",IF(AND(G42=Results!G10,Results!G10&lt;&gt;Games!$C$75),1,0))</f>
        <v/>
      </c>
      <c r="AO42" s="13" t="str">
        <f>IF(OR(H42="",Results!H10=""),"",IF(AND(H42=Results!H10,Results!H10&lt;&gt;Games!$C$76),1,0))</f>
        <v/>
      </c>
      <c r="AP42" s="13" t="str">
        <f>IF(OR(I42="",Results!I10=""),"",IF(AND(I42=Results!I10,Results!I10&lt;&gt;Games!$C$77),1,0))</f>
        <v/>
      </c>
      <c r="AQ42" s="13" t="str">
        <f>IF(OR(J42="",Results!J10=""),"",IF(AND(J42=Results!J10,Results!J10&lt;&gt;Games!$C$78),1,0))</f>
        <v/>
      </c>
      <c r="AR42" s="13" t="str">
        <f>IF(OR(K42="",Results!K10=""),"",IF(AND(K42=Results!K10,Results!K10&lt;&gt;Games!$C$79),1,0))</f>
        <v/>
      </c>
      <c r="AS42" s="13" t="str">
        <f>IF(OR(L42="",Results!L10=""),"",IF(AND(L42=Results!L10,Results!L10&lt;&gt;Games!$C$80),1,0))</f>
        <v/>
      </c>
      <c r="AT42" s="13" t="str">
        <f>IF(OR(M42="",Results!M10=""),"",IF(AND(M42=Results!M10,Results!M10&lt;&gt;Games!$C$81),1,0))</f>
        <v/>
      </c>
      <c r="AU42" s="13" t="str">
        <f>IF(OR(N42="",Results!N10=""),"",IF(AND(N42=Results!N10,Results!N10&lt;&gt;Games!$C$82),1,0))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4" t="str">
        <f>IF(OR(B43="",Results!B10=""),"",IF(B43=Results!B10,1+IF(OR($O43=1,$P43=1,$Q43=1),1,0),0))</f>
        <v/>
      </c>
      <c r="T43" s="4" t="str">
        <f>IF(OR(C43="",Results!C10=""),"",IF(C43=Results!C10,1+IF(OR($O43=2,$P43=2,$Q43=2),1,0),0))</f>
        <v/>
      </c>
      <c r="U43" s="4" t="str">
        <f>IF(OR(D43="",Results!D10=""),"",IF(D43=Results!D10,1+IF(OR($O43=3,$P43=3,$Q43=3),1,0),0))</f>
        <v/>
      </c>
      <c r="V43" s="4" t="str">
        <f>IF(OR(E43="",Results!E10=""),"",IF(E43=Results!E10,1+IF(OR($O43=4,$P43=4,$Q43=4),1,0),0))</f>
        <v/>
      </c>
      <c r="W43" s="4" t="str">
        <f>IF(OR(F43="",Results!F10=""),"",IF(F43=Results!F10,1+IF(OR($O43=5,$P43=5,$Q43=5),1,0),0))</f>
        <v/>
      </c>
      <c r="X43" s="4" t="str">
        <f>IF(OR(G43="",Results!G10=""),"",IF(G43=Results!G10,1+IF(OR($O43=6,$P43=6,$Q43=6),1,0),0))</f>
        <v/>
      </c>
      <c r="Y43" s="4" t="str">
        <f>IF(OR(H43="",Results!H10=""),"",IF(H43=Results!H10,1+IF(OR($O43=7,$P43=7,$Q43=7),1,0),0))</f>
        <v/>
      </c>
      <c r="Z43" s="4" t="str">
        <f>IF(OR(I43="",Results!I10=""),"",IF(I43=Results!I10,1+IF(OR($O43=8,$P43=8,$Q43=8),1,0),0))</f>
        <v/>
      </c>
      <c r="AA43" s="4" t="str">
        <f>IF(OR(J43="",Results!J10=""),"",IF(J43=Results!J10,1+IF(OR($O43=9,$P43=9,$Q43=9),1,0),0))</f>
        <v/>
      </c>
      <c r="AB43" s="4" t="str">
        <f>IF(OR(K43="",Results!K10=""),"",IF(K43=Results!K10,1+IF(OR($O43=10,$P43=10,$Q43=10),1,0),0))</f>
        <v/>
      </c>
      <c r="AC43" s="4" t="str">
        <f>IF(OR(L43="",Results!L10=""),"",IF(L43=Results!L10,1+IF(OR($O43=11,$P43=11,$Q43=11),1,0),0))</f>
        <v/>
      </c>
      <c r="AD43" s="4" t="str">
        <f>IF(OR(M43="",Results!M10=""),"",IF(M43=Results!M10,1+IF(OR($O43=12,$P43=12,$Q43=12),1,0),0))</f>
        <v/>
      </c>
      <c r="AE43" s="4" t="str">
        <f>IF(OR(N43="",Results!N10=""),"",IF(N43=Results!N10,1+IF(OR($O43=13,$P43=13,$Q43=13),1,0),0))</f>
        <v/>
      </c>
      <c r="AF43" s="11">
        <f t="shared" si="2"/>
        <v>0</v>
      </c>
      <c r="AG43" s="4" t="str">
        <f>IF(OR($R43="",Results!O10=""),"",ABS($R43-Results!O10))</f>
        <v/>
      </c>
      <c r="AH43" s="12">
        <v>22</v>
      </c>
      <c r="AI43" s="13" t="str">
        <f>IF(OR(B43="",Results!B10=""),"",IF(AND(B43=Results!B10,Results!B10&lt;&gt;Games!$C$70),1,0))</f>
        <v/>
      </c>
      <c r="AJ43" s="13" t="str">
        <f>IF(OR(C43="",Results!C10=""),"",IF(AND(C43=Results!C10,Results!C10&lt;&gt;Games!$C$71),1,0))</f>
        <v/>
      </c>
      <c r="AK43" s="13" t="str">
        <f>IF(OR(D43="",Results!D10=""),"",IF(AND(D43=Results!D10,Results!D10&lt;&gt;Games!$C$72),1,0))</f>
        <v/>
      </c>
      <c r="AL43" s="13" t="str">
        <f>IF(OR(E43="",Results!E10=""),"",IF(AND(E43=Results!E10,Results!E10&lt;&gt;Games!$C$73),1,0))</f>
        <v/>
      </c>
      <c r="AM43" s="13" t="str">
        <f>IF(OR(F43="",Results!F10=""),"",IF(AND(F43=Results!F10,Results!F10&lt;&gt;Games!$C$74),1,0))</f>
        <v/>
      </c>
      <c r="AN43" s="13" t="str">
        <f>IF(OR(G43="",Results!G10=""),"",IF(AND(G43=Results!G10,Results!G10&lt;&gt;Games!$C$75),1,0))</f>
        <v/>
      </c>
      <c r="AO43" s="13" t="str">
        <f>IF(OR(H43="",Results!H10=""),"",IF(AND(H43=Results!H10,Results!H10&lt;&gt;Games!$C$76),1,0))</f>
        <v/>
      </c>
      <c r="AP43" s="13" t="str">
        <f>IF(OR(I43="",Results!I10=""),"",IF(AND(I43=Results!I10,Results!I10&lt;&gt;Games!$C$77),1,0))</f>
        <v/>
      </c>
      <c r="AQ43" s="13" t="str">
        <f>IF(OR(J43="",Results!J10=""),"",IF(AND(J43=Results!J10,Results!J10&lt;&gt;Games!$C$78),1,0))</f>
        <v/>
      </c>
      <c r="AR43" s="13" t="str">
        <f>IF(OR(K43="",Results!K10=""),"",IF(AND(K43=Results!K10,Results!K10&lt;&gt;Games!$C$79),1,0))</f>
        <v/>
      </c>
      <c r="AS43" s="13" t="str">
        <f>IF(OR(L43="",Results!L10=""),"",IF(AND(L43=Results!L10,Results!L10&lt;&gt;Games!$C$80),1,0))</f>
        <v/>
      </c>
      <c r="AT43" s="13" t="str">
        <f>IF(OR(M43="",Results!M10=""),"",IF(AND(M43=Results!M10,Results!M10&lt;&gt;Games!$C$81),1,0))</f>
        <v/>
      </c>
      <c r="AU43" s="13" t="str">
        <f>IF(OR(N43="",Results!N10=""),"",IF(AND(N43=Results!N10,Results!N10&lt;&gt;Games!$C$82),1,0))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tr">
        <f>IF(OR(B44="",Results!B10=""),"",IF(B44=Results!B10,1+IF(OR($O44=1,$P44=1,$Q44=1),1,0),0))</f>
        <v/>
      </c>
      <c r="T44" s="4" t="str">
        <f>IF(OR(C44="",Results!C10=""),"",IF(C44=Results!C10,1+IF(OR($O44=2,$P44=2,$Q44=2),1,0),0))</f>
        <v/>
      </c>
      <c r="U44" s="4" t="str">
        <f>IF(OR(D44="",Results!D10=""),"",IF(D44=Results!D10,1+IF(OR($O44=3,$P44=3,$Q44=3),1,0),0))</f>
        <v/>
      </c>
      <c r="V44" s="4" t="str">
        <f>IF(OR(E44="",Results!E10=""),"",IF(E44=Results!E10,1+IF(OR($O44=4,$P44=4,$Q44=4),1,0),0))</f>
        <v/>
      </c>
      <c r="W44" s="4" t="str">
        <f>IF(OR(F44="",Results!F10=""),"",IF(F44=Results!F10,1+IF(OR($O44=5,$P44=5,$Q44=5),1,0),0))</f>
        <v/>
      </c>
      <c r="X44" s="4" t="str">
        <f>IF(OR(G44="",Results!G10=""),"",IF(G44=Results!G10,1+IF(OR($O44=6,$P44=6,$Q44=6),1,0),0))</f>
        <v/>
      </c>
      <c r="Y44" s="4" t="str">
        <f>IF(OR(H44="",Results!H10=""),"",IF(H44=Results!H10,1+IF(OR($O44=7,$P44=7,$Q44=7),1,0),0))</f>
        <v/>
      </c>
      <c r="Z44" s="4" t="str">
        <f>IF(OR(I44="",Results!I10=""),"",IF(I44=Results!I10,1+IF(OR($O44=8,$P44=8,$Q44=8),1,0),0))</f>
        <v/>
      </c>
      <c r="AA44" s="4" t="str">
        <f>IF(OR(J44="",Results!J10=""),"",IF(J44=Results!J10,1+IF(OR($O44=9,$P44=9,$Q44=9),1,0),0))</f>
        <v/>
      </c>
      <c r="AB44" s="4" t="str">
        <f>IF(OR(K44="",Results!K10=""),"",IF(K44=Results!K10,1+IF(OR($O44=10,$P44=10,$Q44=10),1,0),0))</f>
        <v/>
      </c>
      <c r="AC44" s="4" t="str">
        <f>IF(OR(L44="",Results!L10=""),"",IF(L44=Results!L10,1+IF(OR($O44=11,$P44=11,$Q44=11),1,0),0))</f>
        <v/>
      </c>
      <c r="AD44" s="4" t="str">
        <f>IF(OR(M44="",Results!M10=""),"",IF(M44=Results!M10,1+IF(OR($O44=12,$P44=12,$Q44=12),1,0),0))</f>
        <v/>
      </c>
      <c r="AE44" s="4" t="str">
        <f>IF(OR(N44="",Results!N10=""),"",IF(N44=Results!N10,1+IF(OR($O44=13,$P44=13,$Q44=13),1,0),0))</f>
        <v/>
      </c>
      <c r="AF44" s="11">
        <f t="shared" si="2"/>
        <v>0</v>
      </c>
      <c r="AG44" s="4" t="str">
        <f>IF(OR($R44="",Results!O10=""),"",ABS($R44-Results!O10))</f>
        <v/>
      </c>
      <c r="AH44" s="12">
        <v>23</v>
      </c>
      <c r="AI44" s="13" t="str">
        <f>IF(OR(B44="",Results!B10=""),"",IF(AND(B44=Results!B10,Results!B10&lt;&gt;Games!$C$70),1,0))</f>
        <v/>
      </c>
      <c r="AJ44" s="13" t="str">
        <f>IF(OR(C44="",Results!C10=""),"",IF(AND(C44=Results!C10,Results!C10&lt;&gt;Games!$C$71),1,0))</f>
        <v/>
      </c>
      <c r="AK44" s="13" t="str">
        <f>IF(OR(D44="",Results!D10=""),"",IF(AND(D44=Results!D10,Results!D10&lt;&gt;Games!$C$72),1,0))</f>
        <v/>
      </c>
      <c r="AL44" s="13" t="str">
        <f>IF(OR(E44="",Results!E10=""),"",IF(AND(E44=Results!E10,Results!E10&lt;&gt;Games!$C$73),1,0))</f>
        <v/>
      </c>
      <c r="AM44" s="13" t="str">
        <f>IF(OR(F44="",Results!F10=""),"",IF(AND(F44=Results!F10,Results!F10&lt;&gt;Games!$C$74),1,0))</f>
        <v/>
      </c>
      <c r="AN44" s="13" t="str">
        <f>IF(OR(G44="",Results!G10=""),"",IF(AND(G44=Results!G10,Results!G10&lt;&gt;Games!$C$75),1,0))</f>
        <v/>
      </c>
      <c r="AO44" s="13" t="str">
        <f>IF(OR(H44="",Results!H10=""),"",IF(AND(H44=Results!H10,Results!H10&lt;&gt;Games!$C$76),1,0))</f>
        <v/>
      </c>
      <c r="AP44" s="13" t="str">
        <f>IF(OR(I44="",Results!I10=""),"",IF(AND(I44=Results!I10,Results!I10&lt;&gt;Games!$C$77),1,0))</f>
        <v/>
      </c>
      <c r="AQ44" s="13" t="str">
        <f>IF(OR(J44="",Results!J10=""),"",IF(AND(J44=Results!J10,Results!J10&lt;&gt;Games!$C$78),1,0))</f>
        <v/>
      </c>
      <c r="AR44" s="13" t="str">
        <f>IF(OR(K44="",Results!K10=""),"",IF(AND(K44=Results!K10,Results!K10&lt;&gt;Games!$C$79),1,0))</f>
        <v/>
      </c>
      <c r="AS44" s="13" t="str">
        <f>IF(OR(L44="",Results!L10=""),"",IF(AND(L44=Results!L10,Results!L10&lt;&gt;Games!$C$80),1,0))</f>
        <v/>
      </c>
      <c r="AT44" s="13" t="str">
        <f>IF(OR(M44="",Results!M10=""),"",IF(AND(M44=Results!M10,Results!M10&lt;&gt;Games!$C$81),1,0))</f>
        <v/>
      </c>
      <c r="AU44" s="13" t="str">
        <f>IF(OR(N44="",Results!N10=""),"",IF(AND(N44=Results!N10,Results!N10&lt;&gt;Games!$C$82),1,0))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IF(OR(B45="",Results!B10=""),"",IF(B45=Results!B10,1+IF(OR($O45=1,$P45=1,$Q45=1),1,0),0))</f>
        <v/>
      </c>
      <c r="T45" s="4" t="str">
        <f>IF(OR(C45="",Results!C10=""),"",IF(C45=Results!C10,1+IF(OR($O45=2,$P45=2,$Q45=2),1,0),0))</f>
        <v/>
      </c>
      <c r="U45" s="4" t="str">
        <f>IF(OR(D45="",Results!D10=""),"",IF(D45=Results!D10,1+IF(OR($O45=3,$P45=3,$Q45=3),1,0),0))</f>
        <v/>
      </c>
      <c r="V45" s="4" t="str">
        <f>IF(OR(E45="",Results!E10=""),"",IF(E45=Results!E10,1+IF(OR($O45=4,$P45=4,$Q45=4),1,0),0))</f>
        <v/>
      </c>
      <c r="W45" s="4" t="str">
        <f>IF(OR(F45="",Results!F10=""),"",IF(F45=Results!F10,1+IF(OR($O45=5,$P45=5,$Q45=5),1,0),0))</f>
        <v/>
      </c>
      <c r="X45" s="4" t="str">
        <f>IF(OR(G45="",Results!G10=""),"",IF(G45=Results!G10,1+IF(OR($O45=6,$P45=6,$Q45=6),1,0),0))</f>
        <v/>
      </c>
      <c r="Y45" s="4" t="str">
        <f>IF(OR(H45="",Results!H10=""),"",IF(H45=Results!H10,1+IF(OR($O45=7,$P45=7,$Q45=7),1,0),0))</f>
        <v/>
      </c>
      <c r="Z45" s="4" t="str">
        <f>IF(OR(I45="",Results!I10=""),"",IF(I45=Results!I10,1+IF(OR($O45=8,$P45=8,$Q45=8),1,0),0))</f>
        <v/>
      </c>
      <c r="AA45" s="4" t="str">
        <f>IF(OR(J45="",Results!J10=""),"",IF(J45=Results!J10,1+IF(OR($O45=9,$P45=9,$Q45=9),1,0),0))</f>
        <v/>
      </c>
      <c r="AB45" s="4" t="str">
        <f>IF(OR(K45="",Results!K10=""),"",IF(K45=Results!K10,1+IF(OR($O45=10,$P45=10,$Q45=10),1,0),0))</f>
        <v/>
      </c>
      <c r="AC45" s="4" t="str">
        <f>IF(OR(L45="",Results!L10=""),"",IF(L45=Results!L10,1+IF(OR($O45=11,$P45=11,$Q45=11),1,0),0))</f>
        <v/>
      </c>
      <c r="AD45" s="4" t="str">
        <f>IF(OR(M45="",Results!M10=""),"",IF(M45=Results!M10,1+IF(OR($O45=12,$P45=12,$Q45=12),1,0),0))</f>
        <v/>
      </c>
      <c r="AE45" s="4" t="str">
        <f>IF(OR(N45="",Results!N10=""),"",IF(N45=Results!N10,1+IF(OR($O45=13,$P45=13,$Q45=13),1,0),0))</f>
        <v/>
      </c>
      <c r="AF45" s="11">
        <f t="shared" si="2"/>
        <v>0</v>
      </c>
      <c r="AG45" s="4" t="str">
        <f>IF(OR($R45="",Results!O10=""),"",ABS($R45-Results!O10))</f>
        <v/>
      </c>
      <c r="AH45" s="12">
        <v>24</v>
      </c>
      <c r="AI45" s="13" t="str">
        <f>IF(OR(B45="",Results!B10=""),"",IF(AND(B45=Results!B10,Results!B10&lt;&gt;Games!$C$70),1,0))</f>
        <v/>
      </c>
      <c r="AJ45" s="13" t="str">
        <f>IF(OR(C45="",Results!C10=""),"",IF(AND(C45=Results!C10,Results!C10&lt;&gt;Games!$C$71),1,0))</f>
        <v/>
      </c>
      <c r="AK45" s="13" t="str">
        <f>IF(OR(D45="",Results!D10=""),"",IF(AND(D45=Results!D10,Results!D10&lt;&gt;Games!$C$72),1,0))</f>
        <v/>
      </c>
      <c r="AL45" s="13" t="str">
        <f>IF(OR(E45="",Results!E10=""),"",IF(AND(E45=Results!E10,Results!E10&lt;&gt;Games!$C$73),1,0))</f>
        <v/>
      </c>
      <c r="AM45" s="13" t="str">
        <f>IF(OR(F45="",Results!F10=""),"",IF(AND(F45=Results!F10,Results!F10&lt;&gt;Games!$C$74),1,0))</f>
        <v/>
      </c>
      <c r="AN45" s="13" t="str">
        <f>IF(OR(G45="",Results!G10=""),"",IF(AND(G45=Results!G10,Results!G10&lt;&gt;Games!$C$75),1,0))</f>
        <v/>
      </c>
      <c r="AO45" s="13" t="str">
        <f>IF(OR(H45="",Results!H10=""),"",IF(AND(H45=Results!H10,Results!H10&lt;&gt;Games!$C$76),1,0))</f>
        <v/>
      </c>
      <c r="AP45" s="13" t="str">
        <f>IF(OR(I45="",Results!I10=""),"",IF(AND(I45=Results!I10,Results!I10&lt;&gt;Games!$C$77),1,0))</f>
        <v/>
      </c>
      <c r="AQ45" s="13" t="str">
        <f>IF(OR(J45="",Results!J10=""),"",IF(AND(J45=Results!J10,Results!J10&lt;&gt;Games!$C$78),1,0))</f>
        <v/>
      </c>
      <c r="AR45" s="13" t="str">
        <f>IF(OR(K45="",Results!K10=""),"",IF(AND(K45=Results!K10,Results!K10&lt;&gt;Games!$C$79),1,0))</f>
        <v/>
      </c>
      <c r="AS45" s="13" t="str">
        <f>IF(OR(L45="",Results!L10=""),"",IF(AND(L45=Results!L10,Results!L10&lt;&gt;Games!$C$80),1,0))</f>
        <v/>
      </c>
      <c r="AT45" s="13" t="str">
        <f>IF(OR(M45="",Results!M10=""),"",IF(AND(M45=Results!M10,Results!M10&lt;&gt;Games!$C$81),1,0))</f>
        <v/>
      </c>
      <c r="AU45" s="13" t="str">
        <f>IF(OR(N45="",Results!N10=""),"",IF(AND(N45=Results!N10,Results!N10&lt;&gt;Games!$C$82),1,0))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IF(OR(B46="",Results!B10=""),"",IF(B46=Results!B10,1+IF(OR($O46=1,$P46=1,$Q46=1),1,0),0))</f>
        <v/>
      </c>
      <c r="T46" s="4" t="str">
        <f>IF(OR(C46="",Results!C10=""),"",IF(C46=Results!C10,1+IF(OR($O46=2,$P46=2,$Q46=2),1,0),0))</f>
        <v/>
      </c>
      <c r="U46" s="4" t="str">
        <f>IF(OR(D46="",Results!D10=""),"",IF(D46=Results!D10,1+IF(OR($O46=3,$P46=3,$Q46=3),1,0),0))</f>
        <v/>
      </c>
      <c r="V46" s="4" t="str">
        <f>IF(OR(E46="",Results!E10=""),"",IF(E46=Results!E10,1+IF(OR($O46=4,$P46=4,$Q46=4),1,0),0))</f>
        <v/>
      </c>
      <c r="W46" s="4" t="str">
        <f>IF(OR(F46="",Results!F10=""),"",IF(F46=Results!F10,1+IF(OR($O46=5,$P46=5,$Q46=5),1,0),0))</f>
        <v/>
      </c>
      <c r="X46" s="4" t="str">
        <f>IF(OR(G46="",Results!G10=""),"",IF(G46=Results!G10,1+IF(OR($O46=6,$P46=6,$Q46=6),1,0),0))</f>
        <v/>
      </c>
      <c r="Y46" s="4" t="str">
        <f>IF(OR(H46="",Results!H10=""),"",IF(H46=Results!H10,1+IF(OR($O46=7,$P46=7,$Q46=7),1,0),0))</f>
        <v/>
      </c>
      <c r="Z46" s="4" t="str">
        <f>IF(OR(I46="",Results!I10=""),"",IF(I46=Results!I10,1+IF(OR($O46=8,$P46=8,$Q46=8),1,0),0))</f>
        <v/>
      </c>
      <c r="AA46" s="4" t="str">
        <f>IF(OR(J46="",Results!J10=""),"",IF(J46=Results!J10,1+IF(OR($O46=9,$P46=9,$Q46=9),1,0),0))</f>
        <v/>
      </c>
      <c r="AB46" s="4" t="str">
        <f>IF(OR(K46="",Results!K10=""),"",IF(K46=Results!K10,1+IF(OR($O46=10,$P46=10,$Q46=10),1,0),0))</f>
        <v/>
      </c>
      <c r="AC46" s="4" t="str">
        <f>IF(OR(L46="",Results!L10=""),"",IF(L46=Results!L10,1+IF(OR($O46=11,$P46=11,$Q46=11),1,0),0))</f>
        <v/>
      </c>
      <c r="AD46" s="4" t="str">
        <f>IF(OR(M46="",Results!M10=""),"",IF(M46=Results!M10,1+IF(OR($O46=12,$P46=12,$Q46=12),1,0),0))</f>
        <v/>
      </c>
      <c r="AE46" s="4" t="str">
        <f>IF(OR(N46="",Results!N10=""),"",IF(N46=Results!N10,1+IF(OR($O46=13,$P46=13,$Q46=13),1,0),0))</f>
        <v/>
      </c>
      <c r="AF46" s="11">
        <f t="shared" si="2"/>
        <v>0</v>
      </c>
      <c r="AG46" s="4" t="str">
        <f>IF(OR($R46="",Results!O10=""),"",ABS($R46-Results!O10))</f>
        <v/>
      </c>
      <c r="AH46" s="12">
        <v>36</v>
      </c>
      <c r="AI46" s="13" t="str">
        <f>IF(OR(B46="",Results!B10=""),"",IF(AND(B46=Results!B10,Results!B10&lt;&gt;Games!$C$70),1,0))</f>
        <v/>
      </c>
      <c r="AJ46" s="13" t="str">
        <f>IF(OR(C46="",Results!C10=""),"",IF(AND(C46=Results!C10,Results!C10&lt;&gt;Games!$C$71),1,0))</f>
        <v/>
      </c>
      <c r="AK46" s="13" t="str">
        <f>IF(OR(D46="",Results!D10=""),"",IF(AND(D46=Results!D10,Results!D10&lt;&gt;Games!$C$72),1,0))</f>
        <v/>
      </c>
      <c r="AL46" s="13" t="str">
        <f>IF(OR(E46="",Results!E10=""),"",IF(AND(E46=Results!E10,Results!E10&lt;&gt;Games!$C$73),1,0))</f>
        <v/>
      </c>
      <c r="AM46" s="13" t="str">
        <f>IF(OR(F46="",Results!F10=""),"",IF(AND(F46=Results!F10,Results!F10&lt;&gt;Games!$C$74),1,0))</f>
        <v/>
      </c>
      <c r="AN46" s="13" t="str">
        <f>IF(OR(G46="",Results!G10=""),"",IF(AND(G46=Results!G10,Results!G10&lt;&gt;Games!$C$75),1,0))</f>
        <v/>
      </c>
      <c r="AO46" s="13" t="str">
        <f>IF(OR(H46="",Results!H10=""),"",IF(AND(H46=Results!H10,Results!H10&lt;&gt;Games!$C$76),1,0))</f>
        <v/>
      </c>
      <c r="AP46" s="13" t="str">
        <f>IF(OR(I46="",Results!I10=""),"",IF(AND(I46=Results!I10,Results!I10&lt;&gt;Games!$C$77),1,0))</f>
        <v/>
      </c>
      <c r="AQ46" s="13" t="str">
        <f>IF(OR(J46="",Results!J10=""),"",IF(AND(J46=Results!J10,Results!J10&lt;&gt;Games!$C$78),1,0))</f>
        <v/>
      </c>
      <c r="AR46" s="13" t="str">
        <f>IF(OR(K46="",Results!K10=""),"",IF(AND(K46=Results!K10,Results!K10&lt;&gt;Games!$C$79),1,0))</f>
        <v/>
      </c>
      <c r="AS46" s="13" t="str">
        <f>IF(OR(L46="",Results!L10=""),"",IF(AND(L46=Results!L10,Results!L10&lt;&gt;Games!$C$80),1,0))</f>
        <v/>
      </c>
      <c r="AT46" s="13" t="str">
        <f>IF(OR(M46="",Results!M10=""),"",IF(AND(M46=Results!M10,Results!M10&lt;&gt;Games!$C$81),1,0))</f>
        <v/>
      </c>
      <c r="AU46" s="13" t="str">
        <f>IF(OR(N46="",Results!N10=""),"",IF(AND(N46=Results!N10,Results!N10&lt;&gt;Games!$C$82),1,0))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 t="str">
        <f>IF(OR(B47="",Results!B10=""),"",IF(B47=Results!B10,1+IF(OR($O47=1,$P47=1,$Q47=1),1,0),0))</f>
        <v/>
      </c>
      <c r="T47" s="4" t="str">
        <f>IF(OR(C47="",Results!C10=""),"",IF(C47=Results!C10,1+IF(OR($O47=2,$P47=2,$Q47=2),1,0),0))</f>
        <v/>
      </c>
      <c r="U47" s="4" t="str">
        <f>IF(OR(D47="",Results!D10=""),"",IF(D47=Results!D10,1+IF(OR($O47=3,$P47=3,$Q47=3),1,0),0))</f>
        <v/>
      </c>
      <c r="V47" s="4" t="str">
        <f>IF(OR(E47="",Results!E10=""),"",IF(E47=Results!E10,1+IF(OR($O47=4,$P47=4,$Q47=4),1,0),0))</f>
        <v/>
      </c>
      <c r="W47" s="4" t="str">
        <f>IF(OR(F47="",Results!F10=""),"",IF(F47=Results!F10,1+IF(OR($O47=5,$P47=5,$Q47=5),1,0),0))</f>
        <v/>
      </c>
      <c r="X47" s="4" t="str">
        <f>IF(OR(G47="",Results!G10=""),"",IF(G47=Results!G10,1+IF(OR($O47=6,$P47=6,$Q47=6),1,0),0))</f>
        <v/>
      </c>
      <c r="Y47" s="4" t="str">
        <f>IF(OR(H47="",Results!H10=""),"",IF(H47=Results!H10,1+IF(OR($O47=7,$P47=7,$Q47=7),1,0),0))</f>
        <v/>
      </c>
      <c r="Z47" s="4" t="str">
        <f>IF(OR(I47="",Results!I10=""),"",IF(I47=Results!I10,1+IF(OR($O47=8,$P47=8,$Q47=8),1,0),0))</f>
        <v/>
      </c>
      <c r="AA47" s="4" t="str">
        <f>IF(OR(J47="",Results!J10=""),"",IF(J47=Results!J10,1+IF(OR($O47=9,$P47=9,$Q47=9),1,0),0))</f>
        <v/>
      </c>
      <c r="AB47" s="4" t="str">
        <f>IF(OR(K47="",Results!K10=""),"",IF(K47=Results!K10,1+IF(OR($O47=10,$P47=10,$Q47=10),1,0),0))</f>
        <v/>
      </c>
      <c r="AC47" s="4" t="str">
        <f>IF(OR(L47="",Results!L10=""),"",IF(L47=Results!L10,1+IF(OR($O47=11,$P47=11,$Q47=11),1,0),0))</f>
        <v/>
      </c>
      <c r="AD47" s="4" t="str">
        <f>IF(OR(M47="",Results!M10=""),"",IF(M47=Results!M10,1+IF(OR($O47=12,$P47=12,$Q47=12),1,0),0))</f>
        <v/>
      </c>
      <c r="AE47" s="4" t="str">
        <f>IF(OR(N47="",Results!N10=""),"",IF(N47=Results!N10,1+IF(OR($O47=13,$P47=13,$Q47=13),1,0),0))</f>
        <v/>
      </c>
      <c r="AF47" s="11">
        <f t="shared" si="2"/>
        <v>0</v>
      </c>
      <c r="AG47" s="4" t="str">
        <f>IF(OR($R47="",Results!O10=""),"",ABS($R47-Results!O10))</f>
        <v/>
      </c>
      <c r="AH47" s="12">
        <v>25</v>
      </c>
      <c r="AI47" s="13" t="str">
        <f>IF(OR(B47="",Results!B10=""),"",IF(AND(B47=Results!B10,Results!B10&lt;&gt;Games!$C$70),1,0))</f>
        <v/>
      </c>
      <c r="AJ47" s="13" t="str">
        <f>IF(OR(C47="",Results!C10=""),"",IF(AND(C47=Results!C10,Results!C10&lt;&gt;Games!$C$71),1,0))</f>
        <v/>
      </c>
      <c r="AK47" s="13" t="str">
        <f>IF(OR(D47="",Results!D10=""),"",IF(AND(D47=Results!D10,Results!D10&lt;&gt;Games!$C$72),1,0))</f>
        <v/>
      </c>
      <c r="AL47" s="13" t="str">
        <f>IF(OR(E47="",Results!E10=""),"",IF(AND(E47=Results!E10,Results!E10&lt;&gt;Games!$C$73),1,0))</f>
        <v/>
      </c>
      <c r="AM47" s="13" t="str">
        <f>IF(OR(F47="",Results!F10=""),"",IF(AND(F47=Results!F10,Results!F10&lt;&gt;Games!$C$74),1,0))</f>
        <v/>
      </c>
      <c r="AN47" s="13" t="str">
        <f>IF(OR(G47="",Results!G10=""),"",IF(AND(G47=Results!G10,Results!G10&lt;&gt;Games!$C$75),1,0))</f>
        <v/>
      </c>
      <c r="AO47" s="13" t="str">
        <f>IF(OR(H47="",Results!H10=""),"",IF(AND(H47=Results!H10,Results!H10&lt;&gt;Games!$C$76),1,0))</f>
        <v/>
      </c>
      <c r="AP47" s="13" t="str">
        <f>IF(OR(I47="",Results!I10=""),"",IF(AND(I47=Results!I10,Results!I10&lt;&gt;Games!$C$77),1,0))</f>
        <v/>
      </c>
      <c r="AQ47" s="13" t="str">
        <f>IF(OR(J47="",Results!J10=""),"",IF(AND(J47=Results!J10,Results!J10&lt;&gt;Games!$C$78),1,0))</f>
        <v/>
      </c>
      <c r="AR47" s="13" t="str">
        <f>IF(OR(K47="",Results!K10=""),"",IF(AND(K47=Results!K10,Results!K10&lt;&gt;Games!$C$79),1,0))</f>
        <v/>
      </c>
      <c r="AS47" s="13" t="str">
        <f>IF(OR(L47="",Results!L10=""),"",IF(AND(L47=Results!L10,Results!L10&lt;&gt;Games!$C$80),1,0))</f>
        <v/>
      </c>
      <c r="AT47" s="13" t="str">
        <f>IF(OR(M47="",Results!M10=""),"",IF(AND(M47=Results!M10,Results!M10&lt;&gt;Games!$C$81),1,0))</f>
        <v/>
      </c>
      <c r="AU47" s="13" t="str">
        <f>IF(OR(N47="",Results!N10=""),"",IF(AND(N47=Results!N10,Results!N10&lt;&gt;Games!$C$82),1,0))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IF(OR(B48="",Results!B10=""),"",IF(B48=Results!B10,1+IF(OR($O48=1,$P48=1,$Q48=1),1,0),0))</f>
        <v/>
      </c>
      <c r="T48" s="4" t="str">
        <f>IF(OR(C48="",Results!C10=""),"",IF(C48=Results!C10,1+IF(OR($O48=2,$P48=2,$Q48=2),1,0),0))</f>
        <v/>
      </c>
      <c r="U48" s="4" t="str">
        <f>IF(OR(D48="",Results!D10=""),"",IF(D48=Results!D10,1+IF(OR($O48=3,$P48=3,$Q48=3),1,0),0))</f>
        <v/>
      </c>
      <c r="V48" s="4" t="str">
        <f>IF(OR(E48="",Results!E10=""),"",IF(E48=Results!E10,1+IF(OR($O48=4,$P48=4,$Q48=4),1,0),0))</f>
        <v/>
      </c>
      <c r="W48" s="4" t="str">
        <f>IF(OR(F48="",Results!F10=""),"",IF(F48=Results!F10,1+IF(OR($O48=5,$P48=5,$Q48=5),1,0),0))</f>
        <v/>
      </c>
      <c r="X48" s="4" t="str">
        <f>IF(OR(G48="",Results!G10=""),"",IF(G48=Results!G10,1+IF(OR($O48=6,$P48=6,$Q48=6),1,0),0))</f>
        <v/>
      </c>
      <c r="Y48" s="4" t="str">
        <f>IF(OR(H48="",Results!H10=""),"",IF(H48=Results!H10,1+IF(OR($O48=7,$P48=7,$Q48=7),1,0),0))</f>
        <v/>
      </c>
      <c r="Z48" s="4" t="str">
        <f>IF(OR(I48="",Results!I10=""),"",IF(I48=Results!I10,1+IF(OR($O48=8,$P48=8,$Q48=8),1,0),0))</f>
        <v/>
      </c>
      <c r="AA48" s="4" t="str">
        <f>IF(OR(J48="",Results!J10=""),"",IF(J48=Results!J10,1+IF(OR($O48=9,$P48=9,$Q48=9),1,0),0))</f>
        <v/>
      </c>
      <c r="AB48" s="4" t="str">
        <f>IF(OR(K48="",Results!K10=""),"",IF(K48=Results!K10,1+IF(OR($O48=10,$P48=10,$Q48=10),1,0),0))</f>
        <v/>
      </c>
      <c r="AC48" s="4" t="str">
        <f>IF(OR(L48="",Results!L10=""),"",IF(L48=Results!L10,1+IF(OR($O48=11,$P48=11,$Q48=11),1,0),0))</f>
        <v/>
      </c>
      <c r="AD48" s="4" t="str">
        <f>IF(OR(M48="",Results!M10=""),"",IF(M48=Results!M10,1+IF(OR($O48=12,$P48=12,$Q48=12),1,0),0))</f>
        <v/>
      </c>
      <c r="AE48" s="4" t="str">
        <f>IF(OR(N48="",Results!N10=""),"",IF(N48=Results!N10,1+IF(OR($O48=13,$P48=13,$Q48=13),1,0),0))</f>
        <v/>
      </c>
      <c r="AF48" s="11">
        <f t="shared" si="2"/>
        <v>0</v>
      </c>
      <c r="AG48" s="4" t="str">
        <f>IF(OR($R48="",Results!O10=""),"",ABS($R48-Results!O10))</f>
        <v/>
      </c>
      <c r="AH48" s="12">
        <v>56</v>
      </c>
      <c r="AI48" s="13" t="str">
        <f>IF(OR(B48="",Results!B10=""),"",IF(AND(B48=Results!B10,Results!B10&lt;&gt;Games!$C$70),1,0))</f>
        <v/>
      </c>
      <c r="AJ48" s="13" t="str">
        <f>IF(OR(C48="",Results!C10=""),"",IF(AND(C48=Results!C10,Results!C10&lt;&gt;Games!$C$71),1,0))</f>
        <v/>
      </c>
      <c r="AK48" s="13" t="str">
        <f>IF(OR(D48="",Results!D10=""),"",IF(AND(D48=Results!D10,Results!D10&lt;&gt;Games!$C$72),1,0))</f>
        <v/>
      </c>
      <c r="AL48" s="13" t="str">
        <f>IF(OR(E48="",Results!E10=""),"",IF(AND(E48=Results!E10,Results!E10&lt;&gt;Games!$C$73),1,0))</f>
        <v/>
      </c>
      <c r="AM48" s="13" t="str">
        <f>IF(OR(F48="",Results!F10=""),"",IF(AND(F48=Results!F10,Results!F10&lt;&gt;Games!$C$74),1,0))</f>
        <v/>
      </c>
      <c r="AN48" s="13" t="str">
        <f>IF(OR(G48="",Results!G10=""),"",IF(AND(G48=Results!G10,Results!G10&lt;&gt;Games!$C$75),1,0))</f>
        <v/>
      </c>
      <c r="AO48" s="13" t="str">
        <f>IF(OR(H48="",Results!H10=""),"",IF(AND(H48=Results!H10,Results!H10&lt;&gt;Games!$C$76),1,0))</f>
        <v/>
      </c>
      <c r="AP48" s="13" t="str">
        <f>IF(OR(I48="",Results!I10=""),"",IF(AND(I48=Results!I10,Results!I10&lt;&gt;Games!$C$77),1,0))</f>
        <v/>
      </c>
      <c r="AQ48" s="13" t="str">
        <f>IF(OR(J48="",Results!J10=""),"",IF(AND(J48=Results!J10,Results!J10&lt;&gt;Games!$C$78),1,0))</f>
        <v/>
      </c>
      <c r="AR48" s="13" t="str">
        <f>IF(OR(K48="",Results!K10=""),"",IF(AND(K48=Results!K10,Results!K10&lt;&gt;Games!$C$79),1,0))</f>
        <v/>
      </c>
      <c r="AS48" s="13" t="str">
        <f>IF(OR(L48="",Results!L10=""),"",IF(AND(L48=Results!L10,Results!L10&lt;&gt;Games!$C$80),1,0))</f>
        <v/>
      </c>
      <c r="AT48" s="13" t="str">
        <f>IF(OR(M48="",Results!M10=""),"",IF(AND(M48=Results!M10,Results!M10&lt;&gt;Games!$C$81),1,0))</f>
        <v/>
      </c>
      <c r="AU48" s="13" t="str">
        <f>IF(OR(N48="",Results!N10=""),"",IF(AND(N48=Results!N10,Results!N10&lt;&gt;Games!$C$82),1,0))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 t="str">
        <f>IF(OR(B49="",Results!B10=""),"",IF(B49=Results!B10,1+IF(OR($O49=1,$P49=1,$Q49=1),1,0),0))</f>
        <v/>
      </c>
      <c r="T49" s="4" t="str">
        <f>IF(OR(C49="",Results!C10=""),"",IF(C49=Results!C10,1+IF(OR($O49=2,$P49=2,$Q49=2),1,0),0))</f>
        <v/>
      </c>
      <c r="U49" s="4" t="str">
        <f>IF(OR(D49="",Results!D10=""),"",IF(D49=Results!D10,1+IF(OR($O49=3,$P49=3,$Q49=3),1,0),0))</f>
        <v/>
      </c>
      <c r="V49" s="4" t="str">
        <f>IF(OR(E49="",Results!E10=""),"",IF(E49=Results!E10,1+IF(OR($O49=4,$P49=4,$Q49=4),1,0),0))</f>
        <v/>
      </c>
      <c r="W49" s="4" t="str">
        <f>IF(OR(F49="",Results!F10=""),"",IF(F49=Results!F10,1+IF(OR($O49=5,$P49=5,$Q49=5),1,0),0))</f>
        <v/>
      </c>
      <c r="X49" s="4" t="str">
        <f>IF(OR(G49="",Results!G10=""),"",IF(G49=Results!G10,1+IF(OR($O49=6,$P49=6,$Q49=6),1,0),0))</f>
        <v/>
      </c>
      <c r="Y49" s="4" t="str">
        <f>IF(OR(H49="",Results!H10=""),"",IF(H49=Results!H10,1+IF(OR($O49=7,$P49=7,$Q49=7),1,0),0))</f>
        <v/>
      </c>
      <c r="Z49" s="4" t="str">
        <f>IF(OR(I49="",Results!I10=""),"",IF(I49=Results!I10,1+IF(OR($O49=8,$P49=8,$Q49=8),1,0),0))</f>
        <v/>
      </c>
      <c r="AA49" s="4" t="str">
        <f>IF(OR(J49="",Results!J10=""),"",IF(J49=Results!J10,1+IF(OR($O49=9,$P49=9,$Q49=9),1,0),0))</f>
        <v/>
      </c>
      <c r="AB49" s="4" t="str">
        <f>IF(OR(K49="",Results!K10=""),"",IF(K49=Results!K10,1+IF(OR($O49=10,$P49=10,$Q49=10),1,0),0))</f>
        <v/>
      </c>
      <c r="AC49" s="4" t="str">
        <f>IF(OR(L49="",Results!L10=""),"",IF(L49=Results!L10,1+IF(OR($O49=11,$P49=11,$Q49=11),1,0),0))</f>
        <v/>
      </c>
      <c r="AD49" s="4" t="str">
        <f>IF(OR(M49="",Results!M10=""),"",IF(M49=Results!M10,1+IF(OR($O49=12,$P49=12,$Q49=12),1,0),0))</f>
        <v/>
      </c>
      <c r="AE49" s="4" t="str">
        <f>IF(OR(N49="",Results!N10=""),"",IF(N49=Results!N10,1+IF(OR($O49=13,$P49=13,$Q49=13),1,0),0))</f>
        <v/>
      </c>
      <c r="AF49" s="11">
        <f t="shared" si="2"/>
        <v>0</v>
      </c>
      <c r="AG49" s="4" t="str">
        <f>IF(OR($R49="",Results!O10=""),"",ABS($R49-Results!O10))</f>
        <v/>
      </c>
      <c r="AH49" s="12">
        <v>34</v>
      </c>
      <c r="AI49" s="13" t="str">
        <f>IF(OR(B49="",Results!B10=""),"",IF(AND(B49=Results!B10,Results!B10&lt;&gt;Games!$C$70),1,0))</f>
        <v/>
      </c>
      <c r="AJ49" s="13" t="str">
        <f>IF(OR(C49="",Results!C10=""),"",IF(AND(C49=Results!C10,Results!C10&lt;&gt;Games!$C$71),1,0))</f>
        <v/>
      </c>
      <c r="AK49" s="13" t="str">
        <f>IF(OR(D49="",Results!D10=""),"",IF(AND(D49=Results!D10,Results!D10&lt;&gt;Games!$C$72),1,0))</f>
        <v/>
      </c>
      <c r="AL49" s="13" t="str">
        <f>IF(OR(E49="",Results!E10=""),"",IF(AND(E49=Results!E10,Results!E10&lt;&gt;Games!$C$73),1,0))</f>
        <v/>
      </c>
      <c r="AM49" s="13" t="str">
        <f>IF(OR(F49="",Results!F10=""),"",IF(AND(F49=Results!F10,Results!F10&lt;&gt;Games!$C$74),1,0))</f>
        <v/>
      </c>
      <c r="AN49" s="13" t="str">
        <f>IF(OR(G49="",Results!G10=""),"",IF(AND(G49=Results!G10,Results!G10&lt;&gt;Games!$C$75),1,0))</f>
        <v/>
      </c>
      <c r="AO49" s="13" t="str">
        <f>IF(OR(H49="",Results!H10=""),"",IF(AND(H49=Results!H10,Results!H10&lt;&gt;Games!$C$76),1,0))</f>
        <v/>
      </c>
      <c r="AP49" s="13" t="str">
        <f>IF(OR(I49="",Results!I10=""),"",IF(AND(I49=Results!I10,Results!I10&lt;&gt;Games!$C$77),1,0))</f>
        <v/>
      </c>
      <c r="AQ49" s="13" t="str">
        <f>IF(OR(J49="",Results!J10=""),"",IF(AND(J49=Results!J10,Results!J10&lt;&gt;Games!$C$78),1,0))</f>
        <v/>
      </c>
      <c r="AR49" s="13" t="str">
        <f>IF(OR(K49="",Results!K10=""),"",IF(AND(K49=Results!K10,Results!K10&lt;&gt;Games!$C$79),1,0))</f>
        <v/>
      </c>
      <c r="AS49" s="13" t="str">
        <f>IF(OR(L49="",Results!L10=""),"",IF(AND(L49=Results!L10,Results!L10&lt;&gt;Games!$C$80),1,0))</f>
        <v/>
      </c>
      <c r="AT49" s="13" t="str">
        <f>IF(OR(M49="",Results!M10=""),"",IF(AND(M49=Results!M10,Results!M10&lt;&gt;Games!$C$81),1,0))</f>
        <v/>
      </c>
      <c r="AU49" s="13" t="str">
        <f>IF(OR(N49="",Results!N10=""),"",IF(AND(N49=Results!N10,Results!N10&lt;&gt;Games!$C$82),1,0))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IF(OR(B50="",Results!B10=""),"",IF(B50=Results!B10,1+IF(OR($O50=1,$P50=1,$Q50=1),1,0),0))</f>
        <v/>
      </c>
      <c r="T50" s="4" t="str">
        <f>IF(OR(C50="",Results!C10=""),"",IF(C50=Results!C10,1+IF(OR($O50=2,$P50=2,$Q50=2),1,0),0))</f>
        <v/>
      </c>
      <c r="U50" s="4" t="str">
        <f>IF(OR(D50="",Results!D10=""),"",IF(D50=Results!D10,1+IF(OR($O50=3,$P50=3,$Q50=3),1,0),0))</f>
        <v/>
      </c>
      <c r="V50" s="4" t="str">
        <f>IF(OR(E50="",Results!E10=""),"",IF(E50=Results!E10,1+IF(OR($O50=4,$P50=4,$Q50=4),1,0),0))</f>
        <v/>
      </c>
      <c r="W50" s="4" t="str">
        <f>IF(OR(F50="",Results!F10=""),"",IF(F50=Results!F10,1+IF(OR($O50=5,$P50=5,$Q50=5),1,0),0))</f>
        <v/>
      </c>
      <c r="X50" s="4" t="str">
        <f>IF(OR(G50="",Results!G10=""),"",IF(G50=Results!G10,1+IF(OR($O50=6,$P50=6,$Q50=6),1,0),0))</f>
        <v/>
      </c>
      <c r="Y50" s="4" t="str">
        <f>IF(OR(H50="",Results!H10=""),"",IF(H50=Results!H10,1+IF(OR($O50=7,$P50=7,$Q50=7),1,0),0))</f>
        <v/>
      </c>
      <c r="Z50" s="4" t="str">
        <f>IF(OR(I50="",Results!I10=""),"",IF(I50=Results!I10,1+IF(OR($O50=8,$P50=8,$Q50=8),1,0),0))</f>
        <v/>
      </c>
      <c r="AA50" s="4" t="str">
        <f>IF(OR(J50="",Results!J10=""),"",IF(J50=Results!J10,1+IF(OR($O50=9,$P50=9,$Q50=9),1,0),0))</f>
        <v/>
      </c>
      <c r="AB50" s="4" t="str">
        <f>IF(OR(K50="",Results!K10=""),"",IF(K50=Results!K10,1+IF(OR($O50=10,$P50=10,$Q50=10),1,0),0))</f>
        <v/>
      </c>
      <c r="AC50" s="4" t="str">
        <f>IF(OR(L50="",Results!L10=""),"",IF(L50=Results!L10,1+IF(OR($O50=11,$P50=11,$Q50=11),1,0),0))</f>
        <v/>
      </c>
      <c r="AD50" s="4" t="str">
        <f>IF(OR(M50="",Results!M10=""),"",IF(M50=Results!M10,1+IF(OR($O50=12,$P50=12,$Q50=12),1,0),0))</f>
        <v/>
      </c>
      <c r="AE50" s="4" t="str">
        <f>IF(OR(N50="",Results!N10=""),"",IF(N50=Results!N10,1+IF(OR($O50=13,$P50=13,$Q50=13),1,0),0))</f>
        <v/>
      </c>
      <c r="AF50" s="11">
        <f t="shared" si="2"/>
        <v>0</v>
      </c>
      <c r="AG50" s="4" t="str">
        <f>IF(OR($R50="",Results!O10=""),"",ABS($R50-Results!O10))</f>
        <v/>
      </c>
      <c r="AH50" s="12">
        <v>40</v>
      </c>
      <c r="AI50" s="13" t="str">
        <f>IF(OR(B50="",Results!B10=""),"",IF(AND(B50=Results!B10,Results!B10&lt;&gt;Games!$C$70),1,0))</f>
        <v/>
      </c>
      <c r="AJ50" s="13" t="str">
        <f>IF(OR(C50="",Results!C10=""),"",IF(AND(C50=Results!C10,Results!C10&lt;&gt;Games!$C$71),1,0))</f>
        <v/>
      </c>
      <c r="AK50" s="13" t="str">
        <f>IF(OR(D50="",Results!D10=""),"",IF(AND(D50=Results!D10,Results!D10&lt;&gt;Games!$C$72),1,0))</f>
        <v/>
      </c>
      <c r="AL50" s="13" t="str">
        <f>IF(OR(E50="",Results!E10=""),"",IF(AND(E50=Results!E10,Results!E10&lt;&gt;Games!$C$73),1,0))</f>
        <v/>
      </c>
      <c r="AM50" s="13" t="str">
        <f>IF(OR(F50="",Results!F10=""),"",IF(AND(F50=Results!F10,Results!F10&lt;&gt;Games!$C$74),1,0))</f>
        <v/>
      </c>
      <c r="AN50" s="13" t="str">
        <f>IF(OR(G50="",Results!G10=""),"",IF(AND(G50=Results!G10,Results!G10&lt;&gt;Games!$C$75),1,0))</f>
        <v/>
      </c>
      <c r="AO50" s="13" t="str">
        <f>IF(OR(H50="",Results!H10=""),"",IF(AND(H50=Results!H10,Results!H10&lt;&gt;Games!$C$76),1,0))</f>
        <v/>
      </c>
      <c r="AP50" s="13" t="str">
        <f>IF(OR(I50="",Results!I10=""),"",IF(AND(I50=Results!I10,Results!I10&lt;&gt;Games!$C$77),1,0))</f>
        <v/>
      </c>
      <c r="AQ50" s="13" t="str">
        <f>IF(OR(J50="",Results!J10=""),"",IF(AND(J50=Results!J10,Results!J10&lt;&gt;Games!$C$78),1,0))</f>
        <v/>
      </c>
      <c r="AR50" s="13" t="str">
        <f>IF(OR(K50="",Results!K10=""),"",IF(AND(K50=Results!K10,Results!K10&lt;&gt;Games!$C$79),1,0))</f>
        <v/>
      </c>
      <c r="AS50" s="13" t="str">
        <f>IF(OR(L50="",Results!L10=""),"",IF(AND(L50=Results!L10,Results!L10&lt;&gt;Games!$C$80),1,0))</f>
        <v/>
      </c>
      <c r="AT50" s="13" t="str">
        <f>IF(OR(M50="",Results!M10=""),"",IF(AND(M50=Results!M10,Results!M10&lt;&gt;Games!$C$81),1,0))</f>
        <v/>
      </c>
      <c r="AU50" s="13" t="str">
        <f>IF(OR(N50="",Results!N10=""),"",IF(AND(N50=Results!N10,Results!N10&lt;&gt;Games!$C$82),1,0))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IF(OR(B51="",Results!B10=""),"",IF(B51=Results!B10,1+IF(OR($O51=1,$P51=1,$Q51=1),1,0),0))</f>
        <v/>
      </c>
      <c r="T51" s="4" t="str">
        <f>IF(OR(C51="",Results!C10=""),"",IF(C51=Results!C10,1+IF(OR($O51=2,$P51=2,$Q51=2),1,0),0))</f>
        <v/>
      </c>
      <c r="U51" s="4" t="str">
        <f>IF(OR(D51="",Results!D10=""),"",IF(D51=Results!D10,1+IF(OR($O51=3,$P51=3,$Q51=3),1,0),0))</f>
        <v/>
      </c>
      <c r="V51" s="4" t="str">
        <f>IF(OR(E51="",Results!E10=""),"",IF(E51=Results!E10,1+IF(OR($O51=4,$P51=4,$Q51=4),1,0),0))</f>
        <v/>
      </c>
      <c r="W51" s="4" t="str">
        <f>IF(OR(F51="",Results!F10=""),"",IF(F51=Results!F10,1+IF(OR($O51=5,$P51=5,$Q51=5),1,0),0))</f>
        <v/>
      </c>
      <c r="X51" s="4" t="str">
        <f>IF(OR(G51="",Results!G10=""),"",IF(G51=Results!G10,1+IF(OR($O51=6,$P51=6,$Q51=6),1,0),0))</f>
        <v/>
      </c>
      <c r="Y51" s="4" t="str">
        <f>IF(OR(H51="",Results!H10=""),"",IF(H51=Results!H10,1+IF(OR($O51=7,$P51=7,$Q51=7),1,0),0))</f>
        <v/>
      </c>
      <c r="Z51" s="4" t="str">
        <f>IF(OR(I51="",Results!I10=""),"",IF(I51=Results!I10,1+IF(OR($O51=8,$P51=8,$Q51=8),1,0),0))</f>
        <v/>
      </c>
      <c r="AA51" s="4" t="str">
        <f>IF(OR(J51="",Results!J10=""),"",IF(J51=Results!J10,1+IF(OR($O51=9,$P51=9,$Q51=9),1,0),0))</f>
        <v/>
      </c>
      <c r="AB51" s="4" t="str">
        <f>IF(OR(K51="",Results!K10=""),"",IF(K51=Results!K10,1+IF(OR($O51=10,$P51=10,$Q51=10),1,0),0))</f>
        <v/>
      </c>
      <c r="AC51" s="4" t="str">
        <f>IF(OR(L51="",Results!L10=""),"",IF(L51=Results!L10,1+IF(OR($O51=11,$P51=11,$Q51=11),1,0),0))</f>
        <v/>
      </c>
      <c r="AD51" s="4" t="str">
        <f>IF(OR(M51="",Results!M10=""),"",IF(M51=Results!M10,1+IF(OR($O51=12,$P51=12,$Q51=12),1,0),0))</f>
        <v/>
      </c>
      <c r="AE51" s="4" t="str">
        <f>IF(OR(N51="",Results!N10=""),"",IF(N51=Results!N10,1+IF(OR($O51=13,$P51=13,$Q51=13),1,0),0))</f>
        <v/>
      </c>
      <c r="AF51" s="11">
        <f t="shared" si="2"/>
        <v>0</v>
      </c>
      <c r="AG51" s="4" t="str">
        <f>IF(OR($R51="",Results!O10=""),"",ABS($R51-Results!O10))</f>
        <v/>
      </c>
      <c r="AH51" s="12">
        <v>42</v>
      </c>
      <c r="AI51" s="13" t="str">
        <f>IF(OR(B51="",Results!B10=""),"",IF(AND(B51=Results!B10,Results!B10&lt;&gt;Games!$C$70),1,0))</f>
        <v/>
      </c>
      <c r="AJ51" s="13" t="str">
        <f>IF(OR(C51="",Results!C10=""),"",IF(AND(C51=Results!C10,Results!C10&lt;&gt;Games!$C$71),1,0))</f>
        <v/>
      </c>
      <c r="AK51" s="13" t="str">
        <f>IF(OR(D51="",Results!D10=""),"",IF(AND(D51=Results!D10,Results!D10&lt;&gt;Games!$C$72),1,0))</f>
        <v/>
      </c>
      <c r="AL51" s="13" t="str">
        <f>IF(OR(E51="",Results!E10=""),"",IF(AND(E51=Results!E10,Results!E10&lt;&gt;Games!$C$73),1,0))</f>
        <v/>
      </c>
      <c r="AM51" s="13" t="str">
        <f>IF(OR(F51="",Results!F10=""),"",IF(AND(F51=Results!F10,Results!F10&lt;&gt;Games!$C$74),1,0))</f>
        <v/>
      </c>
      <c r="AN51" s="13" t="str">
        <f>IF(OR(G51="",Results!G10=""),"",IF(AND(G51=Results!G10,Results!G10&lt;&gt;Games!$C$75),1,0))</f>
        <v/>
      </c>
      <c r="AO51" s="13" t="str">
        <f>IF(OR(H51="",Results!H10=""),"",IF(AND(H51=Results!H10,Results!H10&lt;&gt;Games!$C$76),1,0))</f>
        <v/>
      </c>
      <c r="AP51" s="13" t="str">
        <f>IF(OR(I51="",Results!I10=""),"",IF(AND(I51=Results!I10,Results!I10&lt;&gt;Games!$C$77),1,0))</f>
        <v/>
      </c>
      <c r="AQ51" s="13" t="str">
        <f>IF(OR(J51="",Results!J10=""),"",IF(AND(J51=Results!J10,Results!J10&lt;&gt;Games!$C$78),1,0))</f>
        <v/>
      </c>
      <c r="AR51" s="13" t="str">
        <f>IF(OR(K51="",Results!K10=""),"",IF(AND(K51=Results!K10,Results!K10&lt;&gt;Games!$C$79),1,0))</f>
        <v/>
      </c>
      <c r="AS51" s="13" t="str">
        <f>IF(OR(L51="",Results!L10=""),"",IF(AND(L51=Results!L10,Results!L10&lt;&gt;Games!$C$80),1,0))</f>
        <v/>
      </c>
      <c r="AT51" s="13" t="str">
        <f>IF(OR(M51="",Results!M10=""),"",IF(AND(M51=Results!M10,Results!M10&lt;&gt;Games!$C$81),1,0))</f>
        <v/>
      </c>
      <c r="AU51" s="13" t="str">
        <f>IF(OR(N51="",Results!N10=""),"",IF(AND(N51=Results!N10,Results!N10&lt;&gt;Games!$C$82),1,0))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 t="str">
        <f>IF(OR(B52="",Results!B10=""),"",IF(B52=Results!B10,1+IF(OR($O52=1,$P52=1,$Q52=1),1,0),0))</f>
        <v/>
      </c>
      <c r="T52" s="4" t="str">
        <f>IF(OR(C52="",Results!C10=""),"",IF(C52=Results!C10,1+IF(OR($O52=2,$P52=2,$Q52=2),1,0),0))</f>
        <v/>
      </c>
      <c r="U52" s="4" t="str">
        <f>IF(OR(D52="",Results!D10=""),"",IF(D52=Results!D10,1+IF(OR($O52=3,$P52=3,$Q52=3),1,0),0))</f>
        <v/>
      </c>
      <c r="V52" s="4" t="str">
        <f>IF(OR(E52="",Results!E10=""),"",IF(E52=Results!E10,1+IF(OR($O52=4,$P52=4,$Q52=4),1,0),0))</f>
        <v/>
      </c>
      <c r="W52" s="4" t="str">
        <f>IF(OR(F52="",Results!F10=""),"",IF(F52=Results!F10,1+IF(OR($O52=5,$P52=5,$Q52=5),1,0),0))</f>
        <v/>
      </c>
      <c r="X52" s="4" t="str">
        <f>IF(OR(G52="",Results!G10=""),"",IF(G52=Results!G10,1+IF(OR($O52=6,$P52=6,$Q52=6),1,0),0))</f>
        <v/>
      </c>
      <c r="Y52" s="4" t="str">
        <f>IF(OR(H52="",Results!H10=""),"",IF(H52=Results!H10,1+IF(OR($O52=7,$P52=7,$Q52=7),1,0),0))</f>
        <v/>
      </c>
      <c r="Z52" s="4" t="str">
        <f>IF(OR(I52="",Results!I10=""),"",IF(I52=Results!I10,1+IF(OR($O52=8,$P52=8,$Q52=8),1,0),0))</f>
        <v/>
      </c>
      <c r="AA52" s="4" t="str">
        <f>IF(OR(J52="",Results!J10=""),"",IF(J52=Results!J10,1+IF(OR($O52=9,$P52=9,$Q52=9),1,0),0))</f>
        <v/>
      </c>
      <c r="AB52" s="4" t="str">
        <f>IF(OR(K52="",Results!K10=""),"",IF(K52=Results!K10,1+IF(OR($O52=10,$P52=10,$Q52=10),1,0),0))</f>
        <v/>
      </c>
      <c r="AC52" s="4" t="str">
        <f>IF(OR(L52="",Results!L10=""),"",IF(L52=Results!L10,1+IF(OR($O52=11,$P52=11,$Q52=11),1,0),0))</f>
        <v/>
      </c>
      <c r="AD52" s="4" t="str">
        <f>IF(OR(M52="",Results!M10=""),"",IF(M52=Results!M10,1+IF(OR($O52=12,$P52=12,$Q52=12),1,0),0))</f>
        <v/>
      </c>
      <c r="AE52" s="4" t="str">
        <f>IF(OR(N52="",Results!N10=""),"",IF(N52=Results!N10,1+IF(OR($O52=13,$P52=13,$Q52=13),1,0),0))</f>
        <v/>
      </c>
      <c r="AF52" s="11">
        <f t="shared" si="2"/>
        <v>0</v>
      </c>
      <c r="AG52" s="4" t="str">
        <f>IF(OR($R52="",Results!O10=""),"",ABS($R52-Results!O10))</f>
        <v/>
      </c>
      <c r="AH52" s="12">
        <v>27</v>
      </c>
      <c r="AI52" s="13" t="str">
        <f>IF(OR(B52="",Results!B10=""),"",IF(AND(B52=Results!B10,Results!B10&lt;&gt;Games!$C$70),1,0))</f>
        <v/>
      </c>
      <c r="AJ52" s="13" t="str">
        <f>IF(OR(C52="",Results!C10=""),"",IF(AND(C52=Results!C10,Results!C10&lt;&gt;Games!$C$71),1,0))</f>
        <v/>
      </c>
      <c r="AK52" s="13" t="str">
        <f>IF(OR(D52="",Results!D10=""),"",IF(AND(D52=Results!D10,Results!D10&lt;&gt;Games!$C$72),1,0))</f>
        <v/>
      </c>
      <c r="AL52" s="13" t="str">
        <f>IF(OR(E52="",Results!E10=""),"",IF(AND(E52=Results!E10,Results!E10&lt;&gt;Games!$C$73),1,0))</f>
        <v/>
      </c>
      <c r="AM52" s="13" t="str">
        <f>IF(OR(F52="",Results!F10=""),"",IF(AND(F52=Results!F10,Results!F10&lt;&gt;Games!$C$74),1,0))</f>
        <v/>
      </c>
      <c r="AN52" s="13" t="str">
        <f>IF(OR(G52="",Results!G10=""),"",IF(AND(G52=Results!G10,Results!G10&lt;&gt;Games!$C$75),1,0))</f>
        <v/>
      </c>
      <c r="AO52" s="13" t="str">
        <f>IF(OR(H52="",Results!H10=""),"",IF(AND(H52=Results!H10,Results!H10&lt;&gt;Games!$C$76),1,0))</f>
        <v/>
      </c>
      <c r="AP52" s="13" t="str">
        <f>IF(OR(I52="",Results!I10=""),"",IF(AND(I52=Results!I10,Results!I10&lt;&gt;Games!$C$77),1,0))</f>
        <v/>
      </c>
      <c r="AQ52" s="13" t="str">
        <f>IF(OR(J52="",Results!J10=""),"",IF(AND(J52=Results!J10,Results!J10&lt;&gt;Games!$C$78),1,0))</f>
        <v/>
      </c>
      <c r="AR52" s="13" t="str">
        <f>IF(OR(K52="",Results!K10=""),"",IF(AND(K52=Results!K10,Results!K10&lt;&gt;Games!$C$79),1,0))</f>
        <v/>
      </c>
      <c r="AS52" s="13" t="str">
        <f>IF(OR(L52="",Results!L10=""),"",IF(AND(L52=Results!L10,Results!L10&lt;&gt;Games!$C$80),1,0))</f>
        <v/>
      </c>
      <c r="AT52" s="13" t="str">
        <f>IF(OR(M52="",Results!M10=""),"",IF(AND(M52=Results!M10,Results!M10&lt;&gt;Games!$C$81),1,0))</f>
        <v/>
      </c>
      <c r="AU52" s="13" t="str">
        <f>IF(OR(N52="",Results!N10=""),"",IF(AND(N52=Results!N10,Results!N10&lt;&gt;Games!$C$82),1,0))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IF(OR(B53="",Results!B10=""),"",IF(B53=Results!B10,1+IF(OR($O53=1,$P53=1,$Q53=1),1,0),0))</f>
        <v/>
      </c>
      <c r="T53" s="4" t="str">
        <f>IF(OR(C53="",Results!C10=""),"",IF(C53=Results!C10,1+IF(OR($O53=2,$P53=2,$Q53=2),1,0),0))</f>
        <v/>
      </c>
      <c r="U53" s="4" t="str">
        <f>IF(OR(D53="",Results!D10=""),"",IF(D53=Results!D10,1+IF(OR($O53=3,$P53=3,$Q53=3),1,0),0))</f>
        <v/>
      </c>
      <c r="V53" s="4" t="str">
        <f>IF(OR(E53="",Results!E10=""),"",IF(E53=Results!E10,1+IF(OR($O53=4,$P53=4,$Q53=4),1,0),0))</f>
        <v/>
      </c>
      <c r="W53" s="4" t="str">
        <f>IF(OR(F53="",Results!F10=""),"",IF(F53=Results!F10,1+IF(OR($O53=5,$P53=5,$Q53=5),1,0),0))</f>
        <v/>
      </c>
      <c r="X53" s="4" t="str">
        <f>IF(OR(G53="",Results!G10=""),"",IF(G53=Results!G10,1+IF(OR($O53=6,$P53=6,$Q53=6),1,0),0))</f>
        <v/>
      </c>
      <c r="Y53" s="4" t="str">
        <f>IF(OR(H53="",Results!H10=""),"",IF(H53=Results!H10,1+IF(OR($O53=7,$P53=7,$Q53=7),1,0),0))</f>
        <v/>
      </c>
      <c r="Z53" s="4" t="str">
        <f>IF(OR(I53="",Results!I10=""),"",IF(I53=Results!I10,1+IF(OR($O53=8,$P53=8,$Q53=8),1,0),0))</f>
        <v/>
      </c>
      <c r="AA53" s="4" t="str">
        <f>IF(OR(J53="",Results!J10=""),"",IF(J53=Results!J10,1+IF(OR($O53=9,$P53=9,$Q53=9),1,0),0))</f>
        <v/>
      </c>
      <c r="AB53" s="4" t="str">
        <f>IF(OR(K53="",Results!K10=""),"",IF(K53=Results!K10,1+IF(OR($O53=10,$P53=10,$Q53=10),1,0),0))</f>
        <v/>
      </c>
      <c r="AC53" s="4" t="str">
        <f>IF(OR(L53="",Results!L10=""),"",IF(L53=Results!L10,1+IF(OR($O53=11,$P53=11,$Q53=11),1,0),0))</f>
        <v/>
      </c>
      <c r="AD53" s="4" t="str">
        <f>IF(OR(M53="",Results!M10=""),"",IF(M53=Results!M10,1+IF(OR($O53=12,$P53=12,$Q53=12),1,0),0))</f>
        <v/>
      </c>
      <c r="AE53" s="4" t="str">
        <f>IF(OR(N53="",Results!N10=""),"",IF(N53=Results!N10,1+IF(OR($O53=13,$P53=13,$Q53=13),1,0),0))</f>
        <v/>
      </c>
      <c r="AF53" s="11">
        <f t="shared" si="2"/>
        <v>0</v>
      </c>
      <c r="AG53" s="4" t="str">
        <f>IF(OR($R53="",Results!O10=""),"",ABS($R53-Results!O10))</f>
        <v/>
      </c>
      <c r="AH53" s="12">
        <v>35</v>
      </c>
      <c r="AI53" s="13" t="str">
        <f>IF(OR(B53="",Results!B10=""),"",IF(AND(B53=Results!B10,Results!B10&lt;&gt;Games!$C$70),1,0))</f>
        <v/>
      </c>
      <c r="AJ53" s="13" t="str">
        <f>IF(OR(C53="",Results!C10=""),"",IF(AND(C53=Results!C10,Results!C10&lt;&gt;Games!$C$71),1,0))</f>
        <v/>
      </c>
      <c r="AK53" s="13" t="str">
        <f>IF(OR(D53="",Results!D10=""),"",IF(AND(D53=Results!D10,Results!D10&lt;&gt;Games!$C$72),1,0))</f>
        <v/>
      </c>
      <c r="AL53" s="13" t="str">
        <f>IF(OR(E53="",Results!E10=""),"",IF(AND(E53=Results!E10,Results!E10&lt;&gt;Games!$C$73),1,0))</f>
        <v/>
      </c>
      <c r="AM53" s="13" t="str">
        <f>IF(OR(F53="",Results!F10=""),"",IF(AND(F53=Results!F10,Results!F10&lt;&gt;Games!$C$74),1,0))</f>
        <v/>
      </c>
      <c r="AN53" s="13" t="str">
        <f>IF(OR(G53="",Results!G10=""),"",IF(AND(G53=Results!G10,Results!G10&lt;&gt;Games!$C$75),1,0))</f>
        <v/>
      </c>
      <c r="AO53" s="13" t="str">
        <f>IF(OR(H53="",Results!H10=""),"",IF(AND(H53=Results!H10,Results!H10&lt;&gt;Games!$C$76),1,0))</f>
        <v/>
      </c>
      <c r="AP53" s="13" t="str">
        <f>IF(OR(I53="",Results!I10=""),"",IF(AND(I53=Results!I10,Results!I10&lt;&gt;Games!$C$77),1,0))</f>
        <v/>
      </c>
      <c r="AQ53" s="13" t="str">
        <f>IF(OR(J53="",Results!J10=""),"",IF(AND(J53=Results!J10,Results!J10&lt;&gt;Games!$C$78),1,0))</f>
        <v/>
      </c>
      <c r="AR53" s="13" t="str">
        <f>IF(OR(K53="",Results!K10=""),"",IF(AND(K53=Results!K10,Results!K10&lt;&gt;Games!$C$79),1,0))</f>
        <v/>
      </c>
      <c r="AS53" s="13" t="str">
        <f>IF(OR(L53="",Results!L10=""),"",IF(AND(L53=Results!L10,Results!L10&lt;&gt;Games!$C$80),1,0))</f>
        <v/>
      </c>
      <c r="AT53" s="13" t="str">
        <f>IF(OR(M53="",Results!M10=""),"",IF(AND(M53=Results!M10,Results!M10&lt;&gt;Games!$C$81),1,0))</f>
        <v/>
      </c>
      <c r="AU53" s="13" t="str">
        <f>IF(OR(N53="",Results!N10=""),"",IF(AND(N53=Results!N10,Results!N10&lt;&gt;Games!$C$82),1,0))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 t="str">
        <f>IF(OR(B54="",Results!B10=""),"",IF(B54=Results!B10,1+IF(OR($O54=1,$P54=1,$Q54=1),1,0),0))</f>
        <v/>
      </c>
      <c r="T54" s="4" t="str">
        <f>IF(OR(C54="",Results!C10=""),"",IF(C54=Results!C10,1+IF(OR($O54=2,$P54=2,$Q54=2),1,0),0))</f>
        <v/>
      </c>
      <c r="U54" s="4" t="str">
        <f>IF(OR(D54="",Results!D10=""),"",IF(D54=Results!D10,1+IF(OR($O54=3,$P54=3,$Q54=3),1,0),0))</f>
        <v/>
      </c>
      <c r="V54" s="4" t="str">
        <f>IF(OR(E54="",Results!E10=""),"",IF(E54=Results!E10,1+IF(OR($O54=4,$P54=4,$Q54=4),1,0),0))</f>
        <v/>
      </c>
      <c r="W54" s="4" t="str">
        <f>IF(OR(F54="",Results!F10=""),"",IF(F54=Results!F10,1+IF(OR($O54=5,$P54=5,$Q54=5),1,0),0))</f>
        <v/>
      </c>
      <c r="X54" s="4" t="str">
        <f>IF(OR(G54="",Results!G10=""),"",IF(G54=Results!G10,1+IF(OR($O54=6,$P54=6,$Q54=6),1,0),0))</f>
        <v/>
      </c>
      <c r="Y54" s="4" t="str">
        <f>IF(OR(H54="",Results!H10=""),"",IF(H54=Results!H10,1+IF(OR($O54=7,$P54=7,$Q54=7),1,0),0))</f>
        <v/>
      </c>
      <c r="Z54" s="4" t="str">
        <f>IF(OR(I54="",Results!I10=""),"",IF(I54=Results!I10,1+IF(OR($O54=8,$P54=8,$Q54=8),1,0),0))</f>
        <v/>
      </c>
      <c r="AA54" s="4" t="str">
        <f>IF(OR(J54="",Results!J10=""),"",IF(J54=Results!J10,1+IF(OR($O54=9,$P54=9,$Q54=9),1,0),0))</f>
        <v/>
      </c>
      <c r="AB54" s="4" t="str">
        <f>IF(OR(K54="",Results!K10=""),"",IF(K54=Results!K10,1+IF(OR($O54=10,$P54=10,$Q54=10),1,0),0))</f>
        <v/>
      </c>
      <c r="AC54" s="4" t="str">
        <f>IF(OR(L54="",Results!L10=""),"",IF(L54=Results!L10,1+IF(OR($O54=11,$P54=11,$Q54=11),1,0),0))</f>
        <v/>
      </c>
      <c r="AD54" s="4" t="str">
        <f>IF(OR(M54="",Results!M10=""),"",IF(M54=Results!M10,1+IF(OR($O54=12,$P54=12,$Q54=12),1,0),0))</f>
        <v/>
      </c>
      <c r="AE54" s="4" t="str">
        <f>IF(OR(N54="",Results!N10=""),"",IF(N54=Results!N10,1+IF(OR($O54=13,$P54=13,$Q54=13),1,0),0))</f>
        <v/>
      </c>
      <c r="AF54" s="11">
        <f t="shared" si="2"/>
        <v>0</v>
      </c>
      <c r="AG54" s="4" t="str">
        <f>IF(OR($R54="",Results!O10=""),"",ABS($R54-Results!O10))</f>
        <v/>
      </c>
      <c r="AH54" s="12">
        <v>43</v>
      </c>
      <c r="AI54" s="13" t="str">
        <f>IF(OR(B54="",Results!B10=""),"",IF(AND(B54=Results!B10,Results!B10&lt;&gt;Games!$C$70),1,0))</f>
        <v/>
      </c>
      <c r="AJ54" s="13" t="str">
        <f>IF(OR(C54="",Results!C10=""),"",IF(AND(C54=Results!C10,Results!C10&lt;&gt;Games!$C$71),1,0))</f>
        <v/>
      </c>
      <c r="AK54" s="13" t="str">
        <f>IF(OR(D54="",Results!D10=""),"",IF(AND(D54=Results!D10,Results!D10&lt;&gt;Games!$C$72),1,0))</f>
        <v/>
      </c>
      <c r="AL54" s="13" t="str">
        <f>IF(OR(E54="",Results!E10=""),"",IF(AND(E54=Results!E10,Results!E10&lt;&gt;Games!$C$73),1,0))</f>
        <v/>
      </c>
      <c r="AM54" s="13" t="str">
        <f>IF(OR(F54="",Results!F10=""),"",IF(AND(F54=Results!F10,Results!F10&lt;&gt;Games!$C$74),1,0))</f>
        <v/>
      </c>
      <c r="AN54" s="13" t="str">
        <f>IF(OR(G54="",Results!G10=""),"",IF(AND(G54=Results!G10,Results!G10&lt;&gt;Games!$C$75),1,0))</f>
        <v/>
      </c>
      <c r="AO54" s="13" t="str">
        <f>IF(OR(H54="",Results!H10=""),"",IF(AND(H54=Results!H10,Results!H10&lt;&gt;Games!$C$76),1,0))</f>
        <v/>
      </c>
      <c r="AP54" s="13" t="str">
        <f>IF(OR(I54="",Results!I10=""),"",IF(AND(I54=Results!I10,Results!I10&lt;&gt;Games!$C$77),1,0))</f>
        <v/>
      </c>
      <c r="AQ54" s="13" t="str">
        <f>IF(OR(J54="",Results!J10=""),"",IF(AND(J54=Results!J10,Results!J10&lt;&gt;Games!$C$78),1,0))</f>
        <v/>
      </c>
      <c r="AR54" s="13" t="str">
        <f>IF(OR(K54="",Results!K10=""),"",IF(AND(K54=Results!K10,Results!K10&lt;&gt;Games!$C$79),1,0))</f>
        <v/>
      </c>
      <c r="AS54" s="13" t="str">
        <f>IF(OR(L54="",Results!L10=""),"",IF(AND(L54=Results!L10,Results!L10&lt;&gt;Games!$C$80),1,0))</f>
        <v/>
      </c>
      <c r="AT54" s="13" t="str">
        <f>IF(OR(M54="",Results!M10=""),"",IF(AND(M54=Results!M10,Results!M10&lt;&gt;Games!$C$81),1,0))</f>
        <v/>
      </c>
      <c r="AU54" s="13" t="str">
        <f>IF(OR(N54="",Results!N10=""),"",IF(AND(N54=Results!N10,Results!N10&lt;&gt;Games!$C$82),1,0))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IF(OR(B55="",Results!B10=""),"",IF(B55=Results!B10,1+IF(OR($O55=1,$P55=1,$Q55=1),1,0),0))</f>
        <v/>
      </c>
      <c r="T55" s="4" t="str">
        <f>IF(OR(C55="",Results!C10=""),"",IF(C55=Results!C10,1+IF(OR($O55=2,$P55=2,$Q55=2),1,0),0))</f>
        <v/>
      </c>
      <c r="U55" s="4" t="str">
        <f>IF(OR(D55="",Results!D10=""),"",IF(D55=Results!D10,1+IF(OR($O55=3,$P55=3,$Q55=3),1,0),0))</f>
        <v/>
      </c>
      <c r="V55" s="4" t="str">
        <f>IF(OR(E55="",Results!E10=""),"",IF(E55=Results!E10,1+IF(OR($O55=4,$P55=4,$Q55=4),1,0),0))</f>
        <v/>
      </c>
      <c r="W55" s="4" t="str">
        <f>IF(OR(F55="",Results!F10=""),"",IF(F55=Results!F10,1+IF(OR($O55=5,$P55=5,$Q55=5),1,0),0))</f>
        <v/>
      </c>
      <c r="X55" s="4" t="str">
        <f>IF(OR(G55="",Results!G10=""),"",IF(G55=Results!G10,1+IF(OR($O55=6,$P55=6,$Q55=6),1,0),0))</f>
        <v/>
      </c>
      <c r="Y55" s="4" t="str">
        <f>IF(OR(H55="",Results!H10=""),"",IF(H55=Results!H10,1+IF(OR($O55=7,$P55=7,$Q55=7),1,0),0))</f>
        <v/>
      </c>
      <c r="Z55" s="4" t="str">
        <f>IF(OR(I55="",Results!I10=""),"",IF(I55=Results!I10,1+IF(OR($O55=8,$P55=8,$Q55=8),1,0),0))</f>
        <v/>
      </c>
      <c r="AA55" s="4" t="str">
        <f>IF(OR(J55="",Results!J10=""),"",IF(J55=Results!J10,1+IF(OR($O55=9,$P55=9,$Q55=9),1,0),0))</f>
        <v/>
      </c>
      <c r="AB55" s="4" t="str">
        <f>IF(OR(K55="",Results!K10=""),"",IF(K55=Results!K10,1+IF(OR($O55=10,$P55=10,$Q55=10),1,0),0))</f>
        <v/>
      </c>
      <c r="AC55" s="4" t="str">
        <f>IF(OR(L55="",Results!L10=""),"",IF(L55=Results!L10,1+IF(OR($O55=11,$P55=11,$Q55=11),1,0),0))</f>
        <v/>
      </c>
      <c r="AD55" s="4" t="str">
        <f>IF(OR(M55="",Results!M10=""),"",IF(M55=Results!M10,1+IF(OR($O55=12,$P55=12,$Q55=12),1,0),0))</f>
        <v/>
      </c>
      <c r="AE55" s="4" t="str">
        <f>IF(OR(N55="",Results!N10=""),"",IF(N55=Results!N10,1+IF(OR($O55=13,$P55=13,$Q55=13),1,0),0))</f>
        <v/>
      </c>
      <c r="AF55" s="11">
        <f t="shared" si="2"/>
        <v>0</v>
      </c>
      <c r="AG55" s="4" t="str">
        <f>IF(OR($R55="",Results!O10=""),"",ABS($R55-Results!O10))</f>
        <v/>
      </c>
      <c r="AH55" s="12">
        <v>44</v>
      </c>
      <c r="AI55" s="13" t="str">
        <f>IF(OR(B55="",Results!B10=""),"",IF(AND(B55=Results!B10,Results!B10&lt;&gt;Games!$C$70),1,0))</f>
        <v/>
      </c>
      <c r="AJ55" s="13" t="str">
        <f>IF(OR(C55="",Results!C10=""),"",IF(AND(C55=Results!C10,Results!C10&lt;&gt;Games!$C$71),1,0))</f>
        <v/>
      </c>
      <c r="AK55" s="13" t="str">
        <f>IF(OR(D55="",Results!D10=""),"",IF(AND(D55=Results!D10,Results!D10&lt;&gt;Games!$C$72),1,0))</f>
        <v/>
      </c>
      <c r="AL55" s="13" t="str">
        <f>IF(OR(E55="",Results!E10=""),"",IF(AND(E55=Results!E10,Results!E10&lt;&gt;Games!$C$73),1,0))</f>
        <v/>
      </c>
      <c r="AM55" s="13" t="str">
        <f>IF(OR(F55="",Results!F10=""),"",IF(AND(F55=Results!F10,Results!F10&lt;&gt;Games!$C$74),1,0))</f>
        <v/>
      </c>
      <c r="AN55" s="13" t="str">
        <f>IF(OR(G55="",Results!G10=""),"",IF(AND(G55=Results!G10,Results!G10&lt;&gt;Games!$C$75),1,0))</f>
        <v/>
      </c>
      <c r="AO55" s="13" t="str">
        <f>IF(OR(H55="",Results!H10=""),"",IF(AND(H55=Results!H10,Results!H10&lt;&gt;Games!$C$76),1,0))</f>
        <v/>
      </c>
      <c r="AP55" s="13" t="str">
        <f>IF(OR(I55="",Results!I10=""),"",IF(AND(I55=Results!I10,Results!I10&lt;&gt;Games!$C$77),1,0))</f>
        <v/>
      </c>
      <c r="AQ55" s="13" t="str">
        <f>IF(OR(J55="",Results!J10=""),"",IF(AND(J55=Results!J10,Results!J10&lt;&gt;Games!$C$78),1,0))</f>
        <v/>
      </c>
      <c r="AR55" s="13" t="str">
        <f>IF(OR(K55="",Results!K10=""),"",IF(AND(K55=Results!K10,Results!K10&lt;&gt;Games!$C$79),1,0))</f>
        <v/>
      </c>
      <c r="AS55" s="13" t="str">
        <f>IF(OR(L55="",Results!L10=""),"",IF(AND(L55=Results!L10,Results!L10&lt;&gt;Games!$C$80),1,0))</f>
        <v/>
      </c>
      <c r="AT55" s="13" t="str">
        <f>IF(OR(M55="",Results!M10=""),"",IF(AND(M55=Results!M10,Results!M10&lt;&gt;Games!$C$81),1,0))</f>
        <v/>
      </c>
      <c r="AU55" s="13" t="str">
        <f>IF(OR(N55="",Results!N10=""),"",IF(AND(N55=Results!N10,Results!N10&lt;&gt;Games!$C$82),1,0))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IF(OR(B56="",Results!B10=""),"",IF(B56=Results!B10,1+IF(OR($O56=1,$P56=1,$Q56=1),1,0),0))</f>
        <v/>
      </c>
      <c r="T56" s="4" t="str">
        <f>IF(OR(C56="",Results!C10=""),"",IF(C56=Results!C10,1+IF(OR($O56=2,$P56=2,$Q56=2),1,0),0))</f>
        <v/>
      </c>
      <c r="U56" s="4" t="str">
        <f>IF(OR(D56="",Results!D10=""),"",IF(D56=Results!D10,1+IF(OR($O56=3,$P56=3,$Q56=3),1,0),0))</f>
        <v/>
      </c>
      <c r="V56" s="4" t="str">
        <f>IF(OR(E56="",Results!E10=""),"",IF(E56=Results!E10,1+IF(OR($O56=4,$P56=4,$Q56=4),1,0),0))</f>
        <v/>
      </c>
      <c r="W56" s="4" t="str">
        <f>IF(OR(F56="",Results!F10=""),"",IF(F56=Results!F10,1+IF(OR($O56=5,$P56=5,$Q56=5),1,0),0))</f>
        <v/>
      </c>
      <c r="X56" s="4" t="str">
        <f>IF(OR(G56="",Results!G10=""),"",IF(G56=Results!G10,1+IF(OR($O56=6,$P56=6,$Q56=6),1,0),0))</f>
        <v/>
      </c>
      <c r="Y56" s="4" t="str">
        <f>IF(OR(H56="",Results!H10=""),"",IF(H56=Results!H10,1+IF(OR($O56=7,$P56=7,$Q56=7),1,0),0))</f>
        <v/>
      </c>
      <c r="Z56" s="4" t="str">
        <f>IF(OR(I56="",Results!I10=""),"",IF(I56=Results!I10,1+IF(OR($O56=8,$P56=8,$Q56=8),1,0),0))</f>
        <v/>
      </c>
      <c r="AA56" s="4" t="str">
        <f>IF(OR(J56="",Results!J10=""),"",IF(J56=Results!J10,1+IF(OR($O56=9,$P56=9,$Q56=9),1,0),0))</f>
        <v/>
      </c>
      <c r="AB56" s="4" t="str">
        <f>IF(OR(K56="",Results!K10=""),"",IF(K56=Results!K10,1+IF(OR($O56=10,$P56=10,$Q56=10),1,0),0))</f>
        <v/>
      </c>
      <c r="AC56" s="4" t="str">
        <f>IF(OR(L56="",Results!L10=""),"",IF(L56=Results!L10,1+IF(OR($O56=11,$P56=11,$Q56=11),1,0),0))</f>
        <v/>
      </c>
      <c r="AD56" s="4" t="str">
        <f>IF(OR(M56="",Results!M10=""),"",IF(M56=Results!M10,1+IF(OR($O56=12,$P56=12,$Q56=12),1,0),0))</f>
        <v/>
      </c>
      <c r="AE56" s="4" t="str">
        <f>IF(OR(N56="",Results!N10=""),"",IF(N56=Results!N10,1+IF(OR($O56=13,$P56=13,$Q56=13),1,0),0))</f>
        <v/>
      </c>
      <c r="AF56" s="11">
        <f t="shared" si="2"/>
        <v>0</v>
      </c>
      <c r="AG56" s="4" t="str">
        <f>IF(OR($R56="",Results!O10=""),"",ABS($R56-Results!O10))</f>
        <v/>
      </c>
      <c r="AH56" s="12">
        <v>59</v>
      </c>
      <c r="AI56" s="13" t="str">
        <f>IF(OR(B56="",Results!B10=""),"",IF(AND(B56=Results!B10,Results!B10&lt;&gt;Games!$C$70),1,0))</f>
        <v/>
      </c>
      <c r="AJ56" s="13" t="str">
        <f>IF(OR(C56="",Results!C10=""),"",IF(AND(C56=Results!C10,Results!C10&lt;&gt;Games!$C$71),1,0))</f>
        <v/>
      </c>
      <c r="AK56" s="13" t="str">
        <f>IF(OR(D56="",Results!D10=""),"",IF(AND(D56=Results!D10,Results!D10&lt;&gt;Games!$C$72),1,0))</f>
        <v/>
      </c>
      <c r="AL56" s="13" t="str">
        <f>IF(OR(E56="",Results!E10=""),"",IF(AND(E56=Results!E10,Results!E10&lt;&gt;Games!$C$73),1,0))</f>
        <v/>
      </c>
      <c r="AM56" s="13" t="str">
        <f>IF(OR(F56="",Results!F10=""),"",IF(AND(F56=Results!F10,Results!F10&lt;&gt;Games!$C$74),1,0))</f>
        <v/>
      </c>
      <c r="AN56" s="13" t="str">
        <f>IF(OR(G56="",Results!G10=""),"",IF(AND(G56=Results!G10,Results!G10&lt;&gt;Games!$C$75),1,0))</f>
        <v/>
      </c>
      <c r="AO56" s="13" t="str">
        <f>IF(OR(H56="",Results!H10=""),"",IF(AND(H56=Results!H10,Results!H10&lt;&gt;Games!$C$76),1,0))</f>
        <v/>
      </c>
      <c r="AP56" s="13" t="str">
        <f>IF(OR(I56="",Results!I10=""),"",IF(AND(I56=Results!I10,Results!I10&lt;&gt;Games!$C$77),1,0))</f>
        <v/>
      </c>
      <c r="AQ56" s="13" t="str">
        <f>IF(OR(J56="",Results!J10=""),"",IF(AND(J56=Results!J10,Results!J10&lt;&gt;Games!$C$78),1,0))</f>
        <v/>
      </c>
      <c r="AR56" s="13" t="str">
        <f>IF(OR(K56="",Results!K10=""),"",IF(AND(K56=Results!K10,Results!K10&lt;&gt;Games!$C$79),1,0))</f>
        <v/>
      </c>
      <c r="AS56" s="13" t="str">
        <f>IF(OR(L56="",Results!L10=""),"",IF(AND(L56=Results!L10,Results!L10&lt;&gt;Games!$C$80),1,0))</f>
        <v/>
      </c>
      <c r="AT56" s="13" t="str">
        <f>IF(OR(M56="",Results!M10=""),"",IF(AND(M56=Results!M10,Results!M10&lt;&gt;Games!$C$81),1,0))</f>
        <v/>
      </c>
      <c r="AU56" s="13" t="str">
        <f>IF(OR(N56="",Results!N10=""),"",IF(AND(N56=Results!N10,Results!N10&lt;&gt;Games!$C$82),1,0))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tr">
        <f>IF(OR(B57="",Results!B10=""),"",IF(B57=Results!B10,1+IF(OR($O57=1,$P57=1,$Q57=1),1,0),0))</f>
        <v/>
      </c>
      <c r="T57" s="4" t="str">
        <f>IF(OR(C57="",Results!C10=""),"",IF(C57=Results!C10,1+IF(OR($O57=2,$P57=2,$Q57=2),1,0),0))</f>
        <v/>
      </c>
      <c r="U57" s="4" t="str">
        <f>IF(OR(D57="",Results!D10=""),"",IF(D57=Results!D10,1+IF(OR($O57=3,$P57=3,$Q57=3),1,0),0))</f>
        <v/>
      </c>
      <c r="V57" s="4" t="str">
        <f>IF(OR(E57="",Results!E10=""),"",IF(E57=Results!E10,1+IF(OR($O57=4,$P57=4,$Q57=4),1,0),0))</f>
        <v/>
      </c>
      <c r="W57" s="4" t="str">
        <f>IF(OR(F57="",Results!F10=""),"",IF(F57=Results!F10,1+IF(OR($O57=5,$P57=5,$Q57=5),1,0),0))</f>
        <v/>
      </c>
      <c r="X57" s="4" t="str">
        <f>IF(OR(G57="",Results!G10=""),"",IF(G57=Results!G10,1+IF(OR($O57=6,$P57=6,$Q57=6),1,0),0))</f>
        <v/>
      </c>
      <c r="Y57" s="4" t="str">
        <f>IF(OR(H57="",Results!H10=""),"",IF(H57=Results!H10,1+IF(OR($O57=7,$P57=7,$Q57=7),1,0),0))</f>
        <v/>
      </c>
      <c r="Z57" s="4" t="str">
        <f>IF(OR(I57="",Results!I10=""),"",IF(I57=Results!I10,1+IF(OR($O57=8,$P57=8,$Q57=8),1,0),0))</f>
        <v/>
      </c>
      <c r="AA57" s="4" t="str">
        <f>IF(OR(J57="",Results!J10=""),"",IF(J57=Results!J10,1+IF(OR($O57=9,$P57=9,$Q57=9),1,0),0))</f>
        <v/>
      </c>
      <c r="AB57" s="4" t="str">
        <f>IF(OR(K57="",Results!K10=""),"",IF(K57=Results!K10,1+IF(OR($O57=10,$P57=10,$Q57=10),1,0),0))</f>
        <v/>
      </c>
      <c r="AC57" s="4" t="str">
        <f>IF(OR(L57="",Results!L10=""),"",IF(L57=Results!L10,1+IF(OR($O57=11,$P57=11,$Q57=11),1,0),0))</f>
        <v/>
      </c>
      <c r="AD57" s="4" t="str">
        <f>IF(OR(M57="",Results!M10=""),"",IF(M57=Results!M10,1+IF(OR($O57=12,$P57=12,$Q57=12),1,0),0))</f>
        <v/>
      </c>
      <c r="AE57" s="4" t="str">
        <f>IF(OR(N57="",Results!N10=""),"",IF(N57=Results!N10,1+IF(OR($O57=13,$P57=13,$Q57=13),1,0),0))</f>
        <v/>
      </c>
      <c r="AF57" s="11">
        <f t="shared" si="2"/>
        <v>0</v>
      </c>
      <c r="AG57" s="4" t="str">
        <f>IF(OR($R57="",Results!O10=""),"",ABS($R57-Results!O10))</f>
        <v/>
      </c>
      <c r="AH57" s="12">
        <v>28</v>
      </c>
      <c r="AI57" s="13" t="str">
        <f>IF(OR(B57="",Results!B10=""),"",IF(AND(B57=Results!B10,Results!B10&lt;&gt;Games!$C$70),1,0))</f>
        <v/>
      </c>
      <c r="AJ57" s="13" t="str">
        <f>IF(OR(C57="",Results!C10=""),"",IF(AND(C57=Results!C10,Results!C10&lt;&gt;Games!$C$71),1,0))</f>
        <v/>
      </c>
      <c r="AK57" s="13" t="str">
        <f>IF(OR(D57="",Results!D10=""),"",IF(AND(D57=Results!D10,Results!D10&lt;&gt;Games!$C$72),1,0))</f>
        <v/>
      </c>
      <c r="AL57" s="13" t="str">
        <f>IF(OR(E57="",Results!E10=""),"",IF(AND(E57=Results!E10,Results!E10&lt;&gt;Games!$C$73),1,0))</f>
        <v/>
      </c>
      <c r="AM57" s="13" t="str">
        <f>IF(OR(F57="",Results!F10=""),"",IF(AND(F57=Results!F10,Results!F10&lt;&gt;Games!$C$74),1,0))</f>
        <v/>
      </c>
      <c r="AN57" s="13" t="str">
        <f>IF(OR(G57="",Results!G10=""),"",IF(AND(G57=Results!G10,Results!G10&lt;&gt;Games!$C$75),1,0))</f>
        <v/>
      </c>
      <c r="AO57" s="13" t="str">
        <f>IF(OR(H57="",Results!H10=""),"",IF(AND(H57=Results!H10,Results!H10&lt;&gt;Games!$C$76),1,0))</f>
        <v/>
      </c>
      <c r="AP57" s="13" t="str">
        <f>IF(OR(I57="",Results!I10=""),"",IF(AND(I57=Results!I10,Results!I10&lt;&gt;Games!$C$77),1,0))</f>
        <v/>
      </c>
      <c r="AQ57" s="13" t="str">
        <f>IF(OR(J57="",Results!J10=""),"",IF(AND(J57=Results!J10,Results!J10&lt;&gt;Games!$C$78),1,0))</f>
        <v/>
      </c>
      <c r="AR57" s="13" t="str">
        <f>IF(OR(K57="",Results!K10=""),"",IF(AND(K57=Results!K10,Results!K10&lt;&gt;Games!$C$79),1,0))</f>
        <v/>
      </c>
      <c r="AS57" s="13" t="str">
        <f>IF(OR(L57="",Results!L10=""),"",IF(AND(L57=Results!L10,Results!L10&lt;&gt;Games!$C$80),1,0))</f>
        <v/>
      </c>
      <c r="AT57" s="13" t="str">
        <f>IF(OR(M57="",Results!M10=""),"",IF(AND(M57=Results!M10,Results!M10&lt;&gt;Games!$C$81),1,0))</f>
        <v/>
      </c>
      <c r="AU57" s="13" t="str">
        <f>IF(OR(N57="",Results!N10=""),"",IF(AND(N57=Results!N10,Results!N10&lt;&gt;Games!$C$82),1,0))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 t="str">
        <f>IF(OR(B58="",Results!B10=""),"",IF(B58=Results!B10,1+IF(OR($O58=1,$P58=1,$Q58=1),1,0),0))</f>
        <v/>
      </c>
      <c r="T58" s="4" t="str">
        <f>IF(OR(C58="",Results!C10=""),"",IF(C58=Results!C10,1+IF(OR($O58=2,$P58=2,$Q58=2),1,0),0))</f>
        <v/>
      </c>
      <c r="U58" s="4" t="str">
        <f>IF(OR(D58="",Results!D10=""),"",IF(D58=Results!D10,1+IF(OR($O58=3,$P58=3,$Q58=3),1,0),0))</f>
        <v/>
      </c>
      <c r="V58" s="4" t="str">
        <f>IF(OR(E58="",Results!E10=""),"",IF(E58=Results!E10,1+IF(OR($O58=4,$P58=4,$Q58=4),1,0),0))</f>
        <v/>
      </c>
      <c r="W58" s="4" t="str">
        <f>IF(OR(F58="",Results!F10=""),"",IF(F58=Results!F10,1+IF(OR($O58=5,$P58=5,$Q58=5),1,0),0))</f>
        <v/>
      </c>
      <c r="X58" s="4" t="str">
        <f>IF(OR(G58="",Results!G10=""),"",IF(G58=Results!G10,1+IF(OR($O58=6,$P58=6,$Q58=6),1,0),0))</f>
        <v/>
      </c>
      <c r="Y58" s="4" t="str">
        <f>IF(OR(H58="",Results!H10=""),"",IF(H58=Results!H10,1+IF(OR($O58=7,$P58=7,$Q58=7),1,0),0))</f>
        <v/>
      </c>
      <c r="Z58" s="4" t="str">
        <f>IF(OR(I58="",Results!I10=""),"",IF(I58=Results!I10,1+IF(OR($O58=8,$P58=8,$Q58=8),1,0),0))</f>
        <v/>
      </c>
      <c r="AA58" s="4" t="str">
        <f>IF(OR(J58="",Results!J10=""),"",IF(J58=Results!J10,1+IF(OR($O58=9,$P58=9,$Q58=9),1,0),0))</f>
        <v/>
      </c>
      <c r="AB58" s="4" t="str">
        <f>IF(OR(K58="",Results!K10=""),"",IF(K58=Results!K10,1+IF(OR($O58=10,$P58=10,$Q58=10),1,0),0))</f>
        <v/>
      </c>
      <c r="AC58" s="4" t="str">
        <f>IF(OR(L58="",Results!L10=""),"",IF(L58=Results!L10,1+IF(OR($O58=11,$P58=11,$Q58=11),1,0),0))</f>
        <v/>
      </c>
      <c r="AD58" s="4" t="str">
        <f>IF(OR(M58="",Results!M10=""),"",IF(M58=Results!M10,1+IF(OR($O58=12,$P58=12,$Q58=12),1,0),0))</f>
        <v/>
      </c>
      <c r="AE58" s="4" t="str">
        <f>IF(OR(N58="",Results!N10=""),"",IF(N58=Results!N10,1+IF(OR($O58=13,$P58=13,$Q58=13),1,0),0))</f>
        <v/>
      </c>
      <c r="AF58" s="11">
        <f t="shared" si="2"/>
        <v>0</v>
      </c>
      <c r="AG58" s="4" t="str">
        <f>IF(OR($R58="",Results!O10=""),"",ABS($R58-Results!O10))</f>
        <v/>
      </c>
      <c r="AH58" s="12">
        <v>29</v>
      </c>
      <c r="AI58" s="13" t="str">
        <f>IF(OR(B58="",Results!B10=""),"",IF(AND(B58=Results!B10,Results!B10&lt;&gt;Games!$C$70),1,0))</f>
        <v/>
      </c>
      <c r="AJ58" s="13" t="str">
        <f>IF(OR(C58="",Results!C10=""),"",IF(AND(C58=Results!C10,Results!C10&lt;&gt;Games!$C$71),1,0))</f>
        <v/>
      </c>
      <c r="AK58" s="13" t="str">
        <f>IF(OR(D58="",Results!D10=""),"",IF(AND(D58=Results!D10,Results!D10&lt;&gt;Games!$C$72),1,0))</f>
        <v/>
      </c>
      <c r="AL58" s="13" t="str">
        <f>IF(OR(E58="",Results!E10=""),"",IF(AND(E58=Results!E10,Results!E10&lt;&gt;Games!$C$73),1,0))</f>
        <v/>
      </c>
      <c r="AM58" s="13" t="str">
        <f>IF(OR(F58="",Results!F10=""),"",IF(AND(F58=Results!F10,Results!F10&lt;&gt;Games!$C$74),1,0))</f>
        <v/>
      </c>
      <c r="AN58" s="13" t="str">
        <f>IF(OR(G58="",Results!G10=""),"",IF(AND(G58=Results!G10,Results!G10&lt;&gt;Games!$C$75),1,0))</f>
        <v/>
      </c>
      <c r="AO58" s="13" t="str">
        <f>IF(OR(H58="",Results!H10=""),"",IF(AND(H58=Results!H10,Results!H10&lt;&gt;Games!$C$76),1,0))</f>
        <v/>
      </c>
      <c r="AP58" s="13" t="str">
        <f>IF(OR(I58="",Results!I10=""),"",IF(AND(I58=Results!I10,Results!I10&lt;&gt;Games!$C$77),1,0))</f>
        <v/>
      </c>
      <c r="AQ58" s="13" t="str">
        <f>IF(OR(J58="",Results!J10=""),"",IF(AND(J58=Results!J10,Results!J10&lt;&gt;Games!$C$78),1,0))</f>
        <v/>
      </c>
      <c r="AR58" s="13" t="str">
        <f>IF(OR(K58="",Results!K10=""),"",IF(AND(K58=Results!K10,Results!K10&lt;&gt;Games!$C$79),1,0))</f>
        <v/>
      </c>
      <c r="AS58" s="13" t="str">
        <f>IF(OR(L58="",Results!L10=""),"",IF(AND(L58=Results!L10,Results!L10&lt;&gt;Games!$C$80),1,0))</f>
        <v/>
      </c>
      <c r="AT58" s="13" t="str">
        <f>IF(OR(M58="",Results!M10=""),"",IF(AND(M58=Results!M10,Results!M10&lt;&gt;Games!$C$81),1,0))</f>
        <v/>
      </c>
      <c r="AU58" s="13" t="str">
        <f>IF(OR(N58="",Results!N10=""),"",IF(AND(N58=Results!N10,Results!N10&lt;&gt;Games!$C$82),1,0))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IF(OR(B59="",Results!B10=""),"",IF(B59=Results!B10,1+IF(OR($O59=1,$P59=1,$Q59=1),1,0),0))</f>
        <v/>
      </c>
      <c r="T59" s="4" t="str">
        <f>IF(OR(C59="",Results!C10=""),"",IF(C59=Results!C10,1+IF(OR($O59=2,$P59=2,$Q59=2),1,0),0))</f>
        <v/>
      </c>
      <c r="U59" s="4" t="str">
        <f>IF(OR(D59="",Results!D10=""),"",IF(D59=Results!D10,1+IF(OR($O59=3,$P59=3,$Q59=3),1,0),0))</f>
        <v/>
      </c>
      <c r="V59" s="4" t="str">
        <f>IF(OR(E59="",Results!E10=""),"",IF(E59=Results!E10,1+IF(OR($O59=4,$P59=4,$Q59=4),1,0),0))</f>
        <v/>
      </c>
      <c r="W59" s="4" t="str">
        <f>IF(OR(F59="",Results!F10=""),"",IF(F59=Results!F10,1+IF(OR($O59=5,$P59=5,$Q59=5),1,0),0))</f>
        <v/>
      </c>
      <c r="X59" s="4" t="str">
        <f>IF(OR(G59="",Results!G10=""),"",IF(G59=Results!G10,1+IF(OR($O59=6,$P59=6,$Q59=6),1,0),0))</f>
        <v/>
      </c>
      <c r="Y59" s="4" t="str">
        <f>IF(OR(H59="",Results!H10=""),"",IF(H59=Results!H10,1+IF(OR($O59=7,$P59=7,$Q59=7),1,0),0))</f>
        <v/>
      </c>
      <c r="Z59" s="4" t="str">
        <f>IF(OR(I59="",Results!I10=""),"",IF(I59=Results!I10,1+IF(OR($O59=8,$P59=8,$Q59=8),1,0),0))</f>
        <v/>
      </c>
      <c r="AA59" s="4" t="str">
        <f>IF(OR(J59="",Results!J10=""),"",IF(J59=Results!J10,1+IF(OR($O59=9,$P59=9,$Q59=9),1,0),0))</f>
        <v/>
      </c>
      <c r="AB59" s="4" t="str">
        <f>IF(OR(K59="",Results!K10=""),"",IF(K59=Results!K10,1+IF(OR($O59=10,$P59=10,$Q59=10),1,0),0))</f>
        <v/>
      </c>
      <c r="AC59" s="4" t="str">
        <f>IF(OR(L59="",Results!L10=""),"",IF(L59=Results!L10,1+IF(OR($O59=11,$P59=11,$Q59=11),1,0),0))</f>
        <v/>
      </c>
      <c r="AD59" s="4" t="str">
        <f>IF(OR(M59="",Results!M10=""),"",IF(M59=Results!M10,1+IF(OR($O59=12,$P59=12,$Q59=12),1,0),0))</f>
        <v/>
      </c>
      <c r="AE59" s="4" t="str">
        <f>IF(OR(N59="",Results!N10=""),"",IF(N59=Results!N10,1+IF(OR($O59=13,$P59=13,$Q59=13),1,0),0))</f>
        <v/>
      </c>
      <c r="AF59" s="11">
        <f t="shared" si="2"/>
        <v>0</v>
      </c>
      <c r="AG59" s="4" t="str">
        <f>IF(OR($R59="",Results!O10=""),"",ABS($R59-Results!O10))</f>
        <v/>
      </c>
      <c r="AH59" s="12">
        <v>51</v>
      </c>
      <c r="AI59" s="13" t="str">
        <f>IF(OR(B59="",Results!B10=""),"",IF(AND(B59=Results!B10,Results!B10&lt;&gt;Games!$C$70),1,0))</f>
        <v/>
      </c>
      <c r="AJ59" s="13" t="str">
        <f>IF(OR(C59="",Results!C10=""),"",IF(AND(C59=Results!C10,Results!C10&lt;&gt;Games!$C$71),1,0))</f>
        <v/>
      </c>
      <c r="AK59" s="13" t="str">
        <f>IF(OR(D59="",Results!D10=""),"",IF(AND(D59=Results!D10,Results!D10&lt;&gt;Games!$C$72),1,0))</f>
        <v/>
      </c>
      <c r="AL59" s="13" t="str">
        <f>IF(OR(E59="",Results!E10=""),"",IF(AND(E59=Results!E10,Results!E10&lt;&gt;Games!$C$73),1,0))</f>
        <v/>
      </c>
      <c r="AM59" s="13" t="str">
        <f>IF(OR(F59="",Results!F10=""),"",IF(AND(F59=Results!F10,Results!F10&lt;&gt;Games!$C$74),1,0))</f>
        <v/>
      </c>
      <c r="AN59" s="13" t="str">
        <f>IF(OR(G59="",Results!G10=""),"",IF(AND(G59=Results!G10,Results!G10&lt;&gt;Games!$C$75),1,0))</f>
        <v/>
      </c>
      <c r="AO59" s="13" t="str">
        <f>IF(OR(H59="",Results!H10=""),"",IF(AND(H59=Results!H10,Results!H10&lt;&gt;Games!$C$76),1,0))</f>
        <v/>
      </c>
      <c r="AP59" s="13" t="str">
        <f>IF(OR(I59="",Results!I10=""),"",IF(AND(I59=Results!I10,Results!I10&lt;&gt;Games!$C$77),1,0))</f>
        <v/>
      </c>
      <c r="AQ59" s="13" t="str">
        <f>IF(OR(J59="",Results!J10=""),"",IF(AND(J59=Results!J10,Results!J10&lt;&gt;Games!$C$78),1,0))</f>
        <v/>
      </c>
      <c r="AR59" s="13" t="str">
        <f>IF(OR(K59="",Results!K10=""),"",IF(AND(K59=Results!K10,Results!K10&lt;&gt;Games!$C$79),1,0))</f>
        <v/>
      </c>
      <c r="AS59" s="13" t="str">
        <f>IF(OR(L59="",Results!L10=""),"",IF(AND(L59=Results!L10,Results!L10&lt;&gt;Games!$C$80),1,0))</f>
        <v/>
      </c>
      <c r="AT59" s="13" t="str">
        <f>IF(OR(M59="",Results!M10=""),"",IF(AND(M59=Results!M10,Results!M10&lt;&gt;Games!$C$81),1,0))</f>
        <v/>
      </c>
      <c r="AU59" s="13" t="str">
        <f>IF(OR(N59="",Results!N10=""),"",IF(AND(N59=Results!N10,Results!N10&lt;&gt;Games!$C$82),1,0))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IF(OR(B60="",Results!B10=""),"",IF(B60=Results!B10,1+IF(OR($O60=1,$P60=1,$Q60=1),1,0),0))</f>
        <v/>
      </c>
      <c r="T60" s="4" t="str">
        <f>IF(OR(C60="",Results!C10=""),"",IF(C60=Results!C10,1+IF(OR($O60=2,$P60=2,$Q60=2),1,0),0))</f>
        <v/>
      </c>
      <c r="U60" s="4" t="str">
        <f>IF(OR(D60="",Results!D10=""),"",IF(D60=Results!D10,1+IF(OR($O60=3,$P60=3,$Q60=3),1,0),0))</f>
        <v/>
      </c>
      <c r="V60" s="4" t="str">
        <f>IF(OR(E60="",Results!E10=""),"",IF(E60=Results!E10,1+IF(OR($O60=4,$P60=4,$Q60=4),1,0),0))</f>
        <v/>
      </c>
      <c r="W60" s="4" t="str">
        <f>IF(OR(F60="",Results!F10=""),"",IF(F60=Results!F10,1+IF(OR($O60=5,$P60=5,$Q60=5),1,0),0))</f>
        <v/>
      </c>
      <c r="X60" s="4" t="str">
        <f>IF(OR(G60="",Results!G10=""),"",IF(G60=Results!G10,1+IF(OR($O60=6,$P60=6,$Q60=6),1,0),0))</f>
        <v/>
      </c>
      <c r="Y60" s="4" t="str">
        <f>IF(OR(H60="",Results!H10=""),"",IF(H60=Results!H10,1+IF(OR($O60=7,$P60=7,$Q60=7),1,0),0))</f>
        <v/>
      </c>
      <c r="Z60" s="4" t="str">
        <f>IF(OR(I60="",Results!I10=""),"",IF(I60=Results!I10,1+IF(OR($O60=8,$P60=8,$Q60=8),1,0),0))</f>
        <v/>
      </c>
      <c r="AA60" s="4" t="str">
        <f>IF(OR(J60="",Results!J10=""),"",IF(J60=Results!J10,1+IF(OR($O60=9,$P60=9,$Q60=9),1,0),0))</f>
        <v/>
      </c>
      <c r="AB60" s="4" t="str">
        <f>IF(OR(K60="",Results!K10=""),"",IF(K60=Results!K10,1+IF(OR($O60=10,$P60=10,$Q60=10),1,0),0))</f>
        <v/>
      </c>
      <c r="AC60" s="4" t="str">
        <f>IF(OR(L60="",Results!L10=""),"",IF(L60=Results!L10,1+IF(OR($O60=11,$P60=11,$Q60=11),1,0),0))</f>
        <v/>
      </c>
      <c r="AD60" s="4" t="str">
        <f>IF(OR(M60="",Results!M10=""),"",IF(M60=Results!M10,1+IF(OR($O60=12,$P60=12,$Q60=12),1,0),0))</f>
        <v/>
      </c>
      <c r="AE60" s="4" t="str">
        <f>IF(OR(N60="",Results!N10=""),"",IF(N60=Results!N10,1+IF(OR($O60=13,$P60=13,$Q60=13),1,0),0))</f>
        <v/>
      </c>
      <c r="AF60" s="11">
        <f t="shared" si="2"/>
        <v>0</v>
      </c>
      <c r="AG60" s="4" t="str">
        <f>IF(OR($R60="",Results!O10=""),"",ABS($R60-Results!O10))</f>
        <v/>
      </c>
      <c r="AH60" s="12">
        <v>45</v>
      </c>
      <c r="AI60" s="13" t="str">
        <f>IF(OR(B60="",Results!B10=""),"",IF(AND(B60=Results!B10,Results!B10&lt;&gt;Games!$C$70),1,0))</f>
        <v/>
      </c>
      <c r="AJ60" s="13" t="str">
        <f>IF(OR(C60="",Results!C10=""),"",IF(AND(C60=Results!C10,Results!C10&lt;&gt;Games!$C$71),1,0))</f>
        <v/>
      </c>
      <c r="AK60" s="13" t="str">
        <f>IF(OR(D60="",Results!D10=""),"",IF(AND(D60=Results!D10,Results!D10&lt;&gt;Games!$C$72),1,0))</f>
        <v/>
      </c>
      <c r="AL60" s="13" t="str">
        <f>IF(OR(E60="",Results!E10=""),"",IF(AND(E60=Results!E10,Results!E10&lt;&gt;Games!$C$73),1,0))</f>
        <v/>
      </c>
      <c r="AM60" s="13" t="str">
        <f>IF(OR(F60="",Results!F10=""),"",IF(AND(F60=Results!F10,Results!F10&lt;&gt;Games!$C$74),1,0))</f>
        <v/>
      </c>
      <c r="AN60" s="13" t="str">
        <f>IF(OR(G60="",Results!G10=""),"",IF(AND(G60=Results!G10,Results!G10&lt;&gt;Games!$C$75),1,0))</f>
        <v/>
      </c>
      <c r="AO60" s="13" t="str">
        <f>IF(OR(H60="",Results!H10=""),"",IF(AND(H60=Results!H10,Results!H10&lt;&gt;Games!$C$76),1,0))</f>
        <v/>
      </c>
      <c r="AP60" s="13" t="str">
        <f>IF(OR(I60="",Results!I10=""),"",IF(AND(I60=Results!I10,Results!I10&lt;&gt;Games!$C$77),1,0))</f>
        <v/>
      </c>
      <c r="AQ60" s="13" t="str">
        <f>IF(OR(J60="",Results!J10=""),"",IF(AND(J60=Results!J10,Results!J10&lt;&gt;Games!$C$78),1,0))</f>
        <v/>
      </c>
      <c r="AR60" s="13" t="str">
        <f>IF(OR(K60="",Results!K10=""),"",IF(AND(K60=Results!K10,Results!K10&lt;&gt;Games!$C$79),1,0))</f>
        <v/>
      </c>
      <c r="AS60" s="13" t="str">
        <f>IF(OR(L60="",Results!L10=""),"",IF(AND(L60=Results!L10,Results!L10&lt;&gt;Games!$C$80),1,0))</f>
        <v/>
      </c>
      <c r="AT60" s="13" t="str">
        <f>IF(OR(M60="",Results!M10=""),"",IF(AND(M60=Results!M10,Results!M10&lt;&gt;Games!$C$81),1,0))</f>
        <v/>
      </c>
      <c r="AU60" s="13" t="str">
        <f>IF(OR(N60="",Results!N10=""),"",IF(AND(N60=Results!N10,Results!N10&lt;&gt;Games!$C$82),1,0))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 t="str">
        <f>IF(OR(B61="",Results!B10=""),"",IF(B61=Results!B10,1+IF(OR($O61=1,$P61=1,$Q61=1),1,0),0))</f>
        <v/>
      </c>
      <c r="T61" s="4" t="str">
        <f>IF(OR(C61="",Results!C10=""),"",IF(C61=Results!C10,1+IF(OR($O61=2,$P61=2,$Q61=2),1,0),0))</f>
        <v/>
      </c>
      <c r="U61" s="4" t="str">
        <f>IF(OR(D61="",Results!D10=""),"",IF(D61=Results!D10,1+IF(OR($O61=3,$P61=3,$Q61=3),1,0),0))</f>
        <v/>
      </c>
      <c r="V61" s="4" t="str">
        <f>IF(OR(E61="",Results!E10=""),"",IF(E61=Results!E10,1+IF(OR($O61=4,$P61=4,$Q61=4),1,0),0))</f>
        <v/>
      </c>
      <c r="W61" s="4" t="str">
        <f>IF(OR(F61="",Results!F10=""),"",IF(F61=Results!F10,1+IF(OR($O61=5,$P61=5,$Q61=5),1,0),0))</f>
        <v/>
      </c>
      <c r="X61" s="4" t="str">
        <f>IF(OR(G61="",Results!G10=""),"",IF(G61=Results!G10,1+IF(OR($O61=6,$P61=6,$Q61=6),1,0),0))</f>
        <v/>
      </c>
      <c r="Y61" s="4" t="str">
        <f>IF(OR(H61="",Results!H10=""),"",IF(H61=Results!H10,1+IF(OR($O61=7,$P61=7,$Q61=7),1,0),0))</f>
        <v/>
      </c>
      <c r="Z61" s="4" t="str">
        <f>IF(OR(I61="",Results!I10=""),"",IF(I61=Results!I10,1+IF(OR($O61=8,$P61=8,$Q61=8),1,0),0))</f>
        <v/>
      </c>
      <c r="AA61" s="4" t="str">
        <f>IF(OR(J61="",Results!J10=""),"",IF(J61=Results!J10,1+IF(OR($O61=9,$P61=9,$Q61=9),1,0),0))</f>
        <v/>
      </c>
      <c r="AB61" s="4" t="str">
        <f>IF(OR(K61="",Results!K10=""),"",IF(K61=Results!K10,1+IF(OR($O61=10,$P61=10,$Q61=10),1,0),0))</f>
        <v/>
      </c>
      <c r="AC61" s="4" t="str">
        <f>IF(OR(L61="",Results!L10=""),"",IF(L61=Results!L10,1+IF(OR($O61=11,$P61=11,$Q61=11),1,0),0))</f>
        <v/>
      </c>
      <c r="AD61" s="4" t="str">
        <f>IF(OR(M61="",Results!M10=""),"",IF(M61=Results!M10,1+IF(OR($O61=12,$P61=12,$Q61=12),1,0),0))</f>
        <v/>
      </c>
      <c r="AE61" s="4" t="str">
        <f>IF(OR(N61="",Results!N10=""),"",IF(N61=Results!N10,1+IF(OR($O61=13,$P61=13,$Q61=13),1,0),0))</f>
        <v/>
      </c>
      <c r="AF61" s="11">
        <f t="shared" si="2"/>
        <v>0</v>
      </c>
      <c r="AG61" s="4" t="str">
        <f>IF(OR($R61="",Results!O10=""),"",ABS($R61-Results!O10))</f>
        <v/>
      </c>
      <c r="AH61" s="12">
        <v>30</v>
      </c>
      <c r="AI61" s="13" t="str">
        <f>IF(OR(B61="",Results!B10=""),"",IF(AND(B61=Results!B10,Results!B10&lt;&gt;Games!$C$70),1,0))</f>
        <v/>
      </c>
      <c r="AJ61" s="13" t="str">
        <f>IF(OR(C61="",Results!C10=""),"",IF(AND(C61=Results!C10,Results!C10&lt;&gt;Games!$C$71),1,0))</f>
        <v/>
      </c>
      <c r="AK61" s="13" t="str">
        <f>IF(OR(D61="",Results!D10=""),"",IF(AND(D61=Results!D10,Results!D10&lt;&gt;Games!$C$72),1,0))</f>
        <v/>
      </c>
      <c r="AL61" s="13" t="str">
        <f>IF(OR(E61="",Results!E10=""),"",IF(AND(E61=Results!E10,Results!E10&lt;&gt;Games!$C$73),1,0))</f>
        <v/>
      </c>
      <c r="AM61" s="13" t="str">
        <f>IF(OR(F61="",Results!F10=""),"",IF(AND(F61=Results!F10,Results!F10&lt;&gt;Games!$C$74),1,0))</f>
        <v/>
      </c>
      <c r="AN61" s="13" t="str">
        <f>IF(OR(G61="",Results!G10=""),"",IF(AND(G61=Results!G10,Results!G10&lt;&gt;Games!$C$75),1,0))</f>
        <v/>
      </c>
      <c r="AO61" s="13" t="str">
        <f>IF(OR(H61="",Results!H10=""),"",IF(AND(H61=Results!H10,Results!H10&lt;&gt;Games!$C$76),1,0))</f>
        <v/>
      </c>
      <c r="AP61" s="13" t="str">
        <f>IF(OR(I61="",Results!I10=""),"",IF(AND(I61=Results!I10,Results!I10&lt;&gt;Games!$C$77),1,0))</f>
        <v/>
      </c>
      <c r="AQ61" s="13" t="str">
        <f>IF(OR(J61="",Results!J10=""),"",IF(AND(J61=Results!J10,Results!J10&lt;&gt;Games!$C$78),1,0))</f>
        <v/>
      </c>
      <c r="AR61" s="13" t="str">
        <f>IF(OR(K61="",Results!K10=""),"",IF(AND(K61=Results!K10,Results!K10&lt;&gt;Games!$C$79),1,0))</f>
        <v/>
      </c>
      <c r="AS61" s="13" t="str">
        <f>IF(OR(L61="",Results!L10=""),"",IF(AND(L61=Results!L10,Results!L10&lt;&gt;Games!$C$80),1,0))</f>
        <v/>
      </c>
      <c r="AT61" s="13" t="str">
        <f>IF(OR(M61="",Results!M10=""),"",IF(AND(M61=Results!M10,Results!M10&lt;&gt;Games!$C$81),1,0))</f>
        <v/>
      </c>
      <c r="AU61" s="13" t="str">
        <f>IF(OR(N61="",Results!N10=""),"",IF(AND(N61=Results!N10,Results!N10&lt;&gt;Games!$C$82),1,0))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IF(OR(B62="",Results!B10=""),"",IF(B62=Results!B10,1+IF(OR($O62=1,$P62=1,$Q62=1),1,0),0))</f>
        <v/>
      </c>
      <c r="T62" s="4" t="str">
        <f>IF(OR(C62="",Results!C10=""),"",IF(C62=Results!C10,1+IF(OR($O62=2,$P62=2,$Q62=2),1,0),0))</f>
        <v/>
      </c>
      <c r="U62" s="4" t="str">
        <f>IF(OR(D62="",Results!D10=""),"",IF(D62=Results!D10,1+IF(OR($O62=3,$P62=3,$Q62=3),1,0),0))</f>
        <v/>
      </c>
      <c r="V62" s="4" t="str">
        <f>IF(OR(E62="",Results!E10=""),"",IF(E62=Results!E10,1+IF(OR($O62=4,$P62=4,$Q62=4),1,0),0))</f>
        <v/>
      </c>
      <c r="W62" s="4" t="str">
        <f>IF(OR(F62="",Results!F10=""),"",IF(F62=Results!F10,1+IF(OR($O62=5,$P62=5,$Q62=5),1,0),0))</f>
        <v/>
      </c>
      <c r="X62" s="4" t="str">
        <f>IF(OR(G62="",Results!G10=""),"",IF(G62=Results!G10,1+IF(OR($O62=6,$P62=6,$Q62=6),1,0),0))</f>
        <v/>
      </c>
      <c r="Y62" s="4" t="str">
        <f>IF(OR(H62="",Results!H10=""),"",IF(H62=Results!H10,1+IF(OR($O62=7,$P62=7,$Q62=7),1,0),0))</f>
        <v/>
      </c>
      <c r="Z62" s="4" t="str">
        <f>IF(OR(I62="",Results!I10=""),"",IF(I62=Results!I10,1+IF(OR($O62=8,$P62=8,$Q62=8),1,0),0))</f>
        <v/>
      </c>
      <c r="AA62" s="4" t="str">
        <f>IF(OR(J62="",Results!J10=""),"",IF(J62=Results!J10,1+IF(OR($O62=9,$P62=9,$Q62=9),1,0),0))</f>
        <v/>
      </c>
      <c r="AB62" s="4" t="str">
        <f>IF(OR(K62="",Results!K10=""),"",IF(K62=Results!K10,1+IF(OR($O62=10,$P62=10,$Q62=10),1,0),0))</f>
        <v/>
      </c>
      <c r="AC62" s="4" t="str">
        <f>IF(OR(L62="",Results!L10=""),"",IF(L62=Results!L10,1+IF(OR($O62=11,$P62=11,$Q62=11),1,0),0))</f>
        <v/>
      </c>
      <c r="AD62" s="4" t="str">
        <f>IF(OR(M62="",Results!M10=""),"",IF(M62=Results!M10,1+IF(OR($O62=12,$P62=12,$Q62=12),1,0),0))</f>
        <v/>
      </c>
      <c r="AE62" s="4" t="str">
        <f>IF(OR(N62="",Results!N10=""),"",IF(N62=Results!N10,1+IF(OR($O62=13,$P62=13,$Q62=13),1,0),0))</f>
        <v/>
      </c>
      <c r="AF62" s="11">
        <f t="shared" si="2"/>
        <v>0</v>
      </c>
      <c r="AG62" s="4" t="str">
        <f>IF(OR($R62="",Results!O10=""),"",ABS($R62-Results!O10))</f>
        <v/>
      </c>
      <c r="AH62" s="12">
        <v>31</v>
      </c>
      <c r="AI62" s="13" t="str">
        <f>IF(OR(B62="",Results!B10=""),"",IF(AND(B62=Results!B10,Results!B10&lt;&gt;Games!$C$70),1,0))</f>
        <v/>
      </c>
      <c r="AJ62" s="13" t="str">
        <f>IF(OR(C62="",Results!C10=""),"",IF(AND(C62=Results!C10,Results!C10&lt;&gt;Games!$C$71),1,0))</f>
        <v/>
      </c>
      <c r="AK62" s="13" t="str">
        <f>IF(OR(D62="",Results!D10=""),"",IF(AND(D62=Results!D10,Results!D10&lt;&gt;Games!$C$72),1,0))</f>
        <v/>
      </c>
      <c r="AL62" s="13" t="str">
        <f>IF(OR(E62="",Results!E10=""),"",IF(AND(E62=Results!E10,Results!E10&lt;&gt;Games!$C$73),1,0))</f>
        <v/>
      </c>
      <c r="AM62" s="13" t="str">
        <f>IF(OR(F62="",Results!F10=""),"",IF(AND(F62=Results!F10,Results!F10&lt;&gt;Games!$C$74),1,0))</f>
        <v/>
      </c>
      <c r="AN62" s="13" t="str">
        <f>IF(OR(G62="",Results!G10=""),"",IF(AND(G62=Results!G10,Results!G10&lt;&gt;Games!$C$75),1,0))</f>
        <v/>
      </c>
      <c r="AO62" s="13" t="str">
        <f>IF(OR(H62="",Results!H10=""),"",IF(AND(H62=Results!H10,Results!H10&lt;&gt;Games!$C$76),1,0))</f>
        <v/>
      </c>
      <c r="AP62" s="13" t="str">
        <f>IF(OR(I62="",Results!I10=""),"",IF(AND(I62=Results!I10,Results!I10&lt;&gt;Games!$C$77),1,0))</f>
        <v/>
      </c>
      <c r="AQ62" s="13" t="str">
        <f>IF(OR(J62="",Results!J10=""),"",IF(AND(J62=Results!J10,Results!J10&lt;&gt;Games!$C$78),1,0))</f>
        <v/>
      </c>
      <c r="AR62" s="13" t="str">
        <f>IF(OR(K62="",Results!K10=""),"",IF(AND(K62=Results!K10,Results!K10&lt;&gt;Games!$C$79),1,0))</f>
        <v/>
      </c>
      <c r="AS62" s="13" t="str">
        <f>IF(OR(L62="",Results!L10=""),"",IF(AND(L62=Results!L10,Results!L10&lt;&gt;Games!$C$80),1,0))</f>
        <v/>
      </c>
      <c r="AT62" s="13" t="str">
        <f>IF(OR(M62="",Results!M10=""),"",IF(AND(M62=Results!M10,Results!M10&lt;&gt;Games!$C$81),1,0))</f>
        <v/>
      </c>
      <c r="AU62" s="13" t="str">
        <f>IF(OR(N62="",Results!N10=""),"",IF(AND(N62=Results!N10,Results!N10&lt;&gt;Games!$C$82),1,0))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 t="str">
        <f>IF(OR(B63="",Results!B10=""),"",IF(B63=Results!B10,1+IF(OR($O63=1,$P63=1,$Q63=1),1,0),0))</f>
        <v/>
      </c>
      <c r="T63" s="4" t="str">
        <f>IF(OR(C63="",Results!C10=""),"",IF(C63=Results!C10,1+IF(OR($O63=2,$P63=2,$Q63=2),1,0),0))</f>
        <v/>
      </c>
      <c r="U63" s="4" t="str">
        <f>IF(OR(D63="",Results!D10=""),"",IF(D63=Results!D10,1+IF(OR($O63=3,$P63=3,$Q63=3),1,0),0))</f>
        <v/>
      </c>
      <c r="V63" s="4" t="str">
        <f>IF(OR(E63="",Results!E10=""),"",IF(E63=Results!E10,1+IF(OR($O63=4,$P63=4,$Q63=4),1,0),0))</f>
        <v/>
      </c>
      <c r="W63" s="4" t="str">
        <f>IF(OR(F63="",Results!F10=""),"",IF(F63=Results!F10,1+IF(OR($O63=5,$P63=5,$Q63=5),1,0),0))</f>
        <v/>
      </c>
      <c r="X63" s="4" t="str">
        <f>IF(OR(G63="",Results!G10=""),"",IF(G63=Results!G10,1+IF(OR($O63=6,$P63=6,$Q63=6),1,0),0))</f>
        <v/>
      </c>
      <c r="Y63" s="4" t="str">
        <f>IF(OR(H63="",Results!H10=""),"",IF(H63=Results!H10,1+IF(OR($O63=7,$P63=7,$Q63=7),1,0),0))</f>
        <v/>
      </c>
      <c r="Z63" s="4" t="str">
        <f>IF(OR(I63="",Results!I10=""),"",IF(I63=Results!I10,1+IF(OR($O63=8,$P63=8,$Q63=8),1,0),0))</f>
        <v/>
      </c>
      <c r="AA63" s="4" t="str">
        <f>IF(OR(J63="",Results!J10=""),"",IF(J63=Results!J10,1+IF(OR($O63=9,$P63=9,$Q63=9),1,0),0))</f>
        <v/>
      </c>
      <c r="AB63" s="4" t="str">
        <f>IF(OR(K63="",Results!K10=""),"",IF(K63=Results!K10,1+IF(OR($O63=10,$P63=10,$Q63=10),1,0),0))</f>
        <v/>
      </c>
      <c r="AC63" s="4" t="str">
        <f>IF(OR(L63="",Results!L10=""),"",IF(L63=Results!L10,1+IF(OR($O63=11,$P63=11,$Q63=11),1,0),0))</f>
        <v/>
      </c>
      <c r="AD63" s="4" t="str">
        <f>IF(OR(M63="",Results!M10=""),"",IF(M63=Results!M10,1+IF(OR($O63=12,$P63=12,$Q63=12),1,0),0))</f>
        <v/>
      </c>
      <c r="AE63" s="4" t="str">
        <f>IF(OR(N63="",Results!N10=""),"",IF(N63=Results!N10,1+IF(OR($O63=13,$P63=13,$Q63=13),1,0),0))</f>
        <v/>
      </c>
      <c r="AF63" s="11">
        <f t="shared" si="2"/>
        <v>0</v>
      </c>
      <c r="AG63" s="4" t="str">
        <f>IF(OR($R63="",Results!O10=""),"",ABS($R63-Results!O10))</f>
        <v/>
      </c>
      <c r="AH63" s="12">
        <v>32</v>
      </c>
      <c r="AI63" s="13" t="str">
        <f>IF(OR(B63="",Results!B10=""),"",IF(AND(B63=Results!B10,Results!B10&lt;&gt;Games!$C$70),1,0))</f>
        <v/>
      </c>
      <c r="AJ63" s="13" t="str">
        <f>IF(OR(C63="",Results!C10=""),"",IF(AND(C63=Results!C10,Results!C10&lt;&gt;Games!$C$71),1,0))</f>
        <v/>
      </c>
      <c r="AK63" s="13" t="str">
        <f>IF(OR(D63="",Results!D10=""),"",IF(AND(D63=Results!D10,Results!D10&lt;&gt;Games!$C$72),1,0))</f>
        <v/>
      </c>
      <c r="AL63" s="13" t="str">
        <f>IF(OR(E63="",Results!E10=""),"",IF(AND(E63=Results!E10,Results!E10&lt;&gt;Games!$C$73),1,0))</f>
        <v/>
      </c>
      <c r="AM63" s="13" t="str">
        <f>IF(OR(F63="",Results!F10=""),"",IF(AND(F63=Results!F10,Results!F10&lt;&gt;Games!$C$74),1,0))</f>
        <v/>
      </c>
      <c r="AN63" s="13" t="str">
        <f>IF(OR(G63="",Results!G10=""),"",IF(AND(G63=Results!G10,Results!G10&lt;&gt;Games!$C$75),1,0))</f>
        <v/>
      </c>
      <c r="AO63" s="13" t="str">
        <f>IF(OR(H63="",Results!H10=""),"",IF(AND(H63=Results!H10,Results!H10&lt;&gt;Games!$C$76),1,0))</f>
        <v/>
      </c>
      <c r="AP63" s="13" t="str">
        <f>IF(OR(I63="",Results!I10=""),"",IF(AND(I63=Results!I10,Results!I10&lt;&gt;Games!$C$77),1,0))</f>
        <v/>
      </c>
      <c r="AQ63" s="13" t="str">
        <f>IF(OR(J63="",Results!J10=""),"",IF(AND(J63=Results!J10,Results!J10&lt;&gt;Games!$C$78),1,0))</f>
        <v/>
      </c>
      <c r="AR63" s="13" t="str">
        <f>IF(OR(K63="",Results!K10=""),"",IF(AND(K63=Results!K10,Results!K10&lt;&gt;Games!$C$79),1,0))</f>
        <v/>
      </c>
      <c r="AS63" s="13" t="str">
        <f>IF(OR(L63="",Results!L10=""),"",IF(AND(L63=Results!L10,Results!L10&lt;&gt;Games!$C$80),1,0))</f>
        <v/>
      </c>
      <c r="AT63" s="13" t="str">
        <f>IF(OR(M63="",Results!M10=""),"",IF(AND(M63=Results!M10,Results!M10&lt;&gt;Games!$C$81),1,0))</f>
        <v/>
      </c>
      <c r="AU63" s="13" t="str">
        <f>IF(OR(N63="",Results!N10=""),"",IF(AND(N63=Results!N10,Results!N10&lt;&gt;Games!$C$82),1,0))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 t="str">
        <f>IF(OR(B64="",Results!B10=""),"",IF(B64=Results!B10,1+IF(OR($O64=1,$P64=1,$Q64=1),1,0),0))</f>
        <v/>
      </c>
      <c r="T64" s="4" t="str">
        <f>IF(OR(C64="",Results!C10=""),"",IF(C64=Results!C10,1+IF(OR($O64=2,$P64=2,$Q64=2),1,0),0))</f>
        <v/>
      </c>
      <c r="U64" s="4" t="str">
        <f>IF(OR(D64="",Results!D10=""),"",IF(D64=Results!D10,1+IF(OR($O64=3,$P64=3,$Q64=3),1,0),0))</f>
        <v/>
      </c>
      <c r="V64" s="4" t="str">
        <f>IF(OR(E64="",Results!E10=""),"",IF(E64=Results!E10,1+IF(OR($O64=4,$P64=4,$Q64=4),1,0),0))</f>
        <v/>
      </c>
      <c r="W64" s="4" t="str">
        <f>IF(OR(F64="",Results!F10=""),"",IF(F64=Results!F10,1+IF(OR($O64=5,$P64=5,$Q64=5),1,0),0))</f>
        <v/>
      </c>
      <c r="X64" s="4" t="str">
        <f>IF(OR(G64="",Results!G10=""),"",IF(G64=Results!G10,1+IF(OR($O64=6,$P64=6,$Q64=6),1,0),0))</f>
        <v/>
      </c>
      <c r="Y64" s="4" t="str">
        <f>IF(OR(H64="",Results!H10=""),"",IF(H64=Results!H10,1+IF(OR($O64=7,$P64=7,$Q64=7),1,0),0))</f>
        <v/>
      </c>
      <c r="Z64" s="4" t="str">
        <f>IF(OR(I64="",Results!I10=""),"",IF(I64=Results!I10,1+IF(OR($O64=8,$P64=8,$Q64=8),1,0),0))</f>
        <v/>
      </c>
      <c r="AA64" s="4" t="str">
        <f>IF(OR(J64="",Results!J10=""),"",IF(J64=Results!J10,1+IF(OR($O64=9,$P64=9,$Q64=9),1,0),0))</f>
        <v/>
      </c>
      <c r="AB64" s="4" t="str">
        <f>IF(OR(K64="",Results!K10=""),"",IF(K64=Results!K10,1+IF(OR($O64=10,$P64=10,$Q64=10),1,0),0))</f>
        <v/>
      </c>
      <c r="AC64" s="4" t="str">
        <f>IF(OR(L64="",Results!L10=""),"",IF(L64=Results!L10,1+IF(OR($O64=11,$P64=11,$Q64=11),1,0),0))</f>
        <v/>
      </c>
      <c r="AD64" s="4" t="str">
        <f>IF(OR(M64="",Results!M10=""),"",IF(M64=Results!M10,1+IF(OR($O64=12,$P64=12,$Q64=12),1,0),0))</f>
        <v/>
      </c>
      <c r="AE64" s="4" t="str">
        <f>IF(OR(N64="",Results!N10=""),"",IF(N64=Results!N10,1+IF(OR($O64=13,$P64=13,$Q64=13),1,0),0))</f>
        <v/>
      </c>
      <c r="AF64" s="11">
        <f t="shared" si="2"/>
        <v>0</v>
      </c>
      <c r="AG64" s="4" t="str">
        <f>IF(OR($R64="",Results!O10=""),"",ABS($R64-Results!O10))</f>
        <v/>
      </c>
      <c r="AH64" s="12">
        <v>46</v>
      </c>
      <c r="AI64" s="13" t="str">
        <f>IF(OR(B64="",Results!B10=""),"",IF(AND(B64=Results!B10,Results!B10&lt;&gt;Games!$C$70),1,0))</f>
        <v/>
      </c>
      <c r="AJ64" s="13" t="str">
        <f>IF(OR(C64="",Results!C10=""),"",IF(AND(C64=Results!C10,Results!C10&lt;&gt;Games!$C$71),1,0))</f>
        <v/>
      </c>
      <c r="AK64" s="13" t="str">
        <f>IF(OR(D64="",Results!D10=""),"",IF(AND(D64=Results!D10,Results!D10&lt;&gt;Games!$C$72),1,0))</f>
        <v/>
      </c>
      <c r="AL64" s="13" t="str">
        <f>IF(OR(E64="",Results!E10=""),"",IF(AND(E64=Results!E10,Results!E10&lt;&gt;Games!$C$73),1,0))</f>
        <v/>
      </c>
      <c r="AM64" s="13" t="str">
        <f>IF(OR(F64="",Results!F10=""),"",IF(AND(F64=Results!F10,Results!F10&lt;&gt;Games!$C$74),1,0))</f>
        <v/>
      </c>
      <c r="AN64" s="13" t="str">
        <f>IF(OR(G64="",Results!G10=""),"",IF(AND(G64=Results!G10,Results!G10&lt;&gt;Games!$C$75),1,0))</f>
        <v/>
      </c>
      <c r="AO64" s="13" t="str">
        <f>IF(OR(H64="",Results!H10=""),"",IF(AND(H64=Results!H10,Results!H10&lt;&gt;Games!$C$76),1,0))</f>
        <v/>
      </c>
      <c r="AP64" s="13" t="str">
        <f>IF(OR(I64="",Results!I10=""),"",IF(AND(I64=Results!I10,Results!I10&lt;&gt;Games!$C$77),1,0))</f>
        <v/>
      </c>
      <c r="AQ64" s="13" t="str">
        <f>IF(OR(J64="",Results!J10=""),"",IF(AND(J64=Results!J10,Results!J10&lt;&gt;Games!$C$78),1,0))</f>
        <v/>
      </c>
      <c r="AR64" s="13" t="str">
        <f>IF(OR(K64="",Results!K10=""),"",IF(AND(K64=Results!K10,Results!K10&lt;&gt;Games!$C$79),1,0))</f>
        <v/>
      </c>
      <c r="AS64" s="13" t="str">
        <f>IF(OR(L64="",Results!L10=""),"",IF(AND(L64=Results!L10,Results!L10&lt;&gt;Games!$C$80),1,0))</f>
        <v/>
      </c>
      <c r="AT64" s="13" t="str">
        <f>IF(OR(M64="",Results!M10=""),"",IF(AND(M64=Results!M10,Results!M10&lt;&gt;Games!$C$81),1,0))</f>
        <v/>
      </c>
      <c r="AU64" s="13" t="str">
        <f>IF(OR(N64="",Results!N10=""),"",IF(AND(N64=Results!N10,Results!N10&lt;&gt;Games!$C$82),1,0))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IF(OR(B65="",Results!B10=""),"",IF(B65=Results!B10,1+IF(OR($O65=1,$P65=1,$Q65=1),1,0),0))</f>
        <v/>
      </c>
      <c r="T65" s="4" t="str">
        <f>IF(OR(C65="",Results!C10=""),"",IF(C65=Results!C10,1+IF(OR($O65=2,$P65=2,$Q65=2),1,0),0))</f>
        <v/>
      </c>
      <c r="U65" s="4" t="str">
        <f>IF(OR(D65="",Results!D10=""),"",IF(D65=Results!D10,1+IF(OR($O65=3,$P65=3,$Q65=3),1,0),0))</f>
        <v/>
      </c>
      <c r="V65" s="4" t="str">
        <f>IF(OR(E65="",Results!E10=""),"",IF(E65=Results!E10,1+IF(OR($O65=4,$P65=4,$Q65=4),1,0),0))</f>
        <v/>
      </c>
      <c r="W65" s="4" t="str">
        <f>IF(OR(F65="",Results!F10=""),"",IF(F65=Results!F10,1+IF(OR($O65=5,$P65=5,$Q65=5),1,0),0))</f>
        <v/>
      </c>
      <c r="X65" s="4" t="str">
        <f>IF(OR(G65="",Results!G10=""),"",IF(G65=Results!G10,1+IF(OR($O65=6,$P65=6,$Q65=6),1,0),0))</f>
        <v/>
      </c>
      <c r="Y65" s="4" t="str">
        <f>IF(OR(H65="",Results!H10=""),"",IF(H65=Results!H10,1+IF(OR($O65=7,$P65=7,$Q65=7),1,0),0))</f>
        <v/>
      </c>
      <c r="Z65" s="4" t="str">
        <f>IF(OR(I65="",Results!I10=""),"",IF(I65=Results!I10,1+IF(OR($O65=8,$P65=8,$Q65=8),1,0),0))</f>
        <v/>
      </c>
      <c r="AA65" s="4" t="str">
        <f>IF(OR(J65="",Results!J10=""),"",IF(J65=Results!J10,1+IF(OR($O65=9,$P65=9,$Q65=9),1,0),0))</f>
        <v/>
      </c>
      <c r="AB65" s="4" t="str">
        <f>IF(OR(K65="",Results!K10=""),"",IF(K65=Results!K10,1+IF(OR($O65=10,$P65=10,$Q65=10),1,0),0))</f>
        <v/>
      </c>
      <c r="AC65" s="4" t="str">
        <f>IF(OR(L65="",Results!L10=""),"",IF(L65=Results!L10,1+IF(OR($O65=11,$P65=11,$Q65=11),1,0),0))</f>
        <v/>
      </c>
      <c r="AD65" s="4" t="str">
        <f>IF(OR(M65="",Results!M10=""),"",IF(M65=Results!M10,1+IF(OR($O65=12,$P65=12,$Q65=12),1,0),0))</f>
        <v/>
      </c>
      <c r="AE65" s="4" t="str">
        <f>IF(OR(N65="",Results!N10=""),"",IF(N65=Results!N10,1+IF(OR($O65=13,$P65=13,$Q65=13),1,0),0))</f>
        <v/>
      </c>
      <c r="AF65" s="11">
        <f t="shared" si="2"/>
        <v>0</v>
      </c>
      <c r="AG65" s="4" t="str">
        <f>IF(OR($R65="",Results!O10=""),"",ABS($R65-Results!O10))</f>
        <v/>
      </c>
      <c r="AH65" s="12">
        <v>33</v>
      </c>
      <c r="AI65" s="13" t="str">
        <f>IF(OR(B65="",Results!B10=""),"",IF(AND(B65=Results!B10,Results!B10&lt;&gt;Games!$C$70),1,0))</f>
        <v/>
      </c>
      <c r="AJ65" s="13" t="str">
        <f>IF(OR(C65="",Results!C10=""),"",IF(AND(C65=Results!C10,Results!C10&lt;&gt;Games!$C$71),1,0))</f>
        <v/>
      </c>
      <c r="AK65" s="13" t="str">
        <f>IF(OR(D65="",Results!D10=""),"",IF(AND(D65=Results!D10,Results!D10&lt;&gt;Games!$C$72),1,0))</f>
        <v/>
      </c>
      <c r="AL65" s="13" t="str">
        <f>IF(OR(E65="",Results!E10=""),"",IF(AND(E65=Results!E10,Results!E10&lt;&gt;Games!$C$73),1,0))</f>
        <v/>
      </c>
      <c r="AM65" s="13" t="str">
        <f>IF(OR(F65="",Results!F10=""),"",IF(AND(F65=Results!F10,Results!F10&lt;&gt;Games!$C$74),1,0))</f>
        <v/>
      </c>
      <c r="AN65" s="13" t="str">
        <f>IF(OR(G65="",Results!G10=""),"",IF(AND(G65=Results!G10,Results!G10&lt;&gt;Games!$C$75),1,0))</f>
        <v/>
      </c>
      <c r="AO65" s="13" t="str">
        <f>IF(OR(H65="",Results!H10=""),"",IF(AND(H65=Results!H10,Results!H10&lt;&gt;Games!$C$76),1,0))</f>
        <v/>
      </c>
      <c r="AP65" s="13" t="str">
        <f>IF(OR(I65="",Results!I10=""),"",IF(AND(I65=Results!I10,Results!I10&lt;&gt;Games!$C$77),1,0))</f>
        <v/>
      </c>
      <c r="AQ65" s="13" t="str">
        <f>IF(OR(J65="",Results!J10=""),"",IF(AND(J65=Results!J10,Results!J10&lt;&gt;Games!$C$78),1,0))</f>
        <v/>
      </c>
      <c r="AR65" s="13" t="str">
        <f>IF(OR(K65="",Results!K10=""),"",IF(AND(K65=Results!K10,Results!K10&lt;&gt;Games!$C$79),1,0))</f>
        <v/>
      </c>
      <c r="AS65" s="13" t="str">
        <f>IF(OR(L65="",Results!L10=""),"",IF(AND(L65=Results!L10,Results!L10&lt;&gt;Games!$C$80),1,0))</f>
        <v/>
      </c>
      <c r="AT65" s="13" t="str">
        <f>IF(OR(M65="",Results!M10=""),"",IF(AND(M65=Results!M10,Results!M10&lt;&gt;Games!$C$81),1,0))</f>
        <v/>
      </c>
      <c r="AU65" s="13" t="str">
        <f>IF(OR(N65="",Results!N10=""),"",IF(AND(N65=Results!N10,Results!N10&lt;&gt;Games!$C$82),1,0))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7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700-000001000000}">
          <x14:formula1>
            <xm:f>Games!$C$70:$D$70</xm:f>
          </x14:formula1>
          <x14:formula2>
            <xm:f>0</xm:f>
          </x14:formula2>
          <xm:sqref>B6:B65</xm:sqref>
        </x14:dataValidation>
        <x14:dataValidation type="list" allowBlank="1" xr:uid="{00000000-0002-0000-0700-000002000000}">
          <x14:formula1>
            <xm:f>Games!$C$71:$D$71</xm:f>
          </x14:formula1>
          <x14:formula2>
            <xm:f>0</xm:f>
          </x14:formula2>
          <xm:sqref>C6:C65</xm:sqref>
        </x14:dataValidation>
        <x14:dataValidation type="list" allowBlank="1" xr:uid="{00000000-0002-0000-0700-000003000000}">
          <x14:formula1>
            <xm:f>Games!$C$72:$D$72</xm:f>
          </x14:formula1>
          <x14:formula2>
            <xm:f>0</xm:f>
          </x14:formula2>
          <xm:sqref>D6:D65</xm:sqref>
        </x14:dataValidation>
        <x14:dataValidation type="list" allowBlank="1" xr:uid="{00000000-0002-0000-0700-000004000000}">
          <x14:formula1>
            <xm:f>Games!$C$73:$D$73</xm:f>
          </x14:formula1>
          <x14:formula2>
            <xm:f>0</xm:f>
          </x14:formula2>
          <xm:sqref>E6:E65</xm:sqref>
        </x14:dataValidation>
        <x14:dataValidation type="list" allowBlank="1" xr:uid="{00000000-0002-0000-0700-000005000000}">
          <x14:formula1>
            <xm:f>Games!$C$74:$D$74</xm:f>
          </x14:formula1>
          <x14:formula2>
            <xm:f>0</xm:f>
          </x14:formula2>
          <xm:sqref>F6:F65</xm:sqref>
        </x14:dataValidation>
        <x14:dataValidation type="list" allowBlank="1" xr:uid="{00000000-0002-0000-0700-000006000000}">
          <x14:formula1>
            <xm:f>Games!$C$75:$D$75</xm:f>
          </x14:formula1>
          <x14:formula2>
            <xm:f>0</xm:f>
          </x14:formula2>
          <xm:sqref>G6:G65</xm:sqref>
        </x14:dataValidation>
        <x14:dataValidation type="list" allowBlank="1" xr:uid="{00000000-0002-0000-0700-000007000000}">
          <x14:formula1>
            <xm:f>Games!$C$76:$D$76</xm:f>
          </x14:formula1>
          <x14:formula2>
            <xm:f>0</xm:f>
          </x14:formula2>
          <xm:sqref>H6:H65</xm:sqref>
        </x14:dataValidation>
        <x14:dataValidation type="list" allowBlank="1" xr:uid="{00000000-0002-0000-0700-000008000000}">
          <x14:formula1>
            <xm:f>Games!$C$77:$D$77</xm:f>
          </x14:formula1>
          <x14:formula2>
            <xm:f>0</xm:f>
          </x14:formula2>
          <xm:sqref>I6:I65</xm:sqref>
        </x14:dataValidation>
        <x14:dataValidation type="list" allowBlank="1" xr:uid="{00000000-0002-0000-0700-000009000000}">
          <x14:formula1>
            <xm:f>Games!$C$78:$D$78</xm:f>
          </x14:formula1>
          <x14:formula2>
            <xm:f>0</xm:f>
          </x14:formula2>
          <xm:sqref>J6:J65</xm:sqref>
        </x14:dataValidation>
        <x14:dataValidation type="list" allowBlank="1" xr:uid="{00000000-0002-0000-0700-00000A000000}">
          <x14:formula1>
            <xm:f>Games!$C$79:$D$79</xm:f>
          </x14:formula1>
          <x14:formula2>
            <xm:f>0</xm:f>
          </x14:formula2>
          <xm:sqref>K6:K65</xm:sqref>
        </x14:dataValidation>
        <x14:dataValidation type="list" allowBlank="1" xr:uid="{00000000-0002-0000-0700-00000B000000}">
          <x14:formula1>
            <xm:f>Games!$C$80:$D$80</xm:f>
          </x14:formula1>
          <x14:formula2>
            <xm:f>0</xm:f>
          </x14:formula2>
          <xm:sqref>L6:L65</xm:sqref>
        </x14:dataValidation>
        <x14:dataValidation type="list" allowBlank="1" xr:uid="{00000000-0002-0000-0700-00000C000000}">
          <x14:formula1>
            <xm:f>Games!$C$81:$D$81</xm:f>
          </x14:formula1>
          <x14:formula2>
            <xm:f>0</xm:f>
          </x14:formula2>
          <xm:sqref>M6:M65</xm:sqref>
        </x14:dataValidation>
        <x14:dataValidation type="list" allowBlank="1" xr:uid="{00000000-0002-0000-0700-00000D000000}">
          <x14:formula1>
            <xm:f>Games!$C$82:$D$82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320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1&amp;CHAR(10)&amp;Games!C83&amp;" vs "&amp;Games!D83</f>
        <v xml:space="preserve">1
 vs </v>
      </c>
      <c r="C4" s="10" t="str">
        <f>2&amp;CHAR(10)&amp;Games!C84&amp;" vs "&amp;Games!D84</f>
        <v xml:space="preserve">2
 vs </v>
      </c>
      <c r="D4" s="10" t="str">
        <f>3&amp;CHAR(10)&amp;Games!C85&amp;" vs "&amp;Games!D85</f>
        <v xml:space="preserve">3
 vs </v>
      </c>
      <c r="E4" s="10" t="str">
        <f>4&amp;CHAR(10)&amp;Games!C86&amp;" vs "&amp;Games!D86</f>
        <v xml:space="preserve">4
 vs </v>
      </c>
      <c r="F4" s="10" t="str">
        <f>5&amp;CHAR(10)&amp;Games!C87&amp;" vs "&amp;Games!D87</f>
        <v xml:space="preserve">5
 vs </v>
      </c>
      <c r="G4" s="10" t="str">
        <f>6&amp;CHAR(10)&amp;Games!C88&amp;" vs "&amp;Games!D88</f>
        <v xml:space="preserve">6
 vs </v>
      </c>
      <c r="H4" s="10" t="str">
        <f>7&amp;CHAR(10)&amp;Games!C89&amp;" vs "&amp;Games!D89</f>
        <v xml:space="preserve">7
 vs </v>
      </c>
      <c r="I4" s="10" t="str">
        <f>8&amp;CHAR(10)&amp;Games!C90&amp;" vs "&amp;Games!D90</f>
        <v xml:space="preserve">8
 vs </v>
      </c>
      <c r="J4" s="10" t="str">
        <f>9&amp;CHAR(10)&amp;Games!C91&amp;" vs "&amp;Games!D91</f>
        <v xml:space="preserve">9
 vs </v>
      </c>
      <c r="K4" s="10" t="str">
        <f>10&amp;CHAR(10)&amp;Games!C92&amp;" vs "&amp;Games!D92</f>
        <v xml:space="preserve">10
 vs </v>
      </c>
      <c r="L4" s="10" t="str">
        <f>11&amp;CHAR(10)&amp;Games!C93&amp;" vs "&amp;Games!D93</f>
        <v xml:space="preserve">11
 vs </v>
      </c>
      <c r="M4" s="10" t="str">
        <f>12&amp;CHAR(10)&amp;Games!C94&amp;" vs "&amp;Games!D94</f>
        <v xml:space="preserve">12
 vs </v>
      </c>
      <c r="N4" s="10" t="str">
        <f>13&amp;CHAR(10)&amp;Games!C95&amp;" vs "&amp;Games!D95</f>
        <v xml:space="preserve">13
 vs 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 t="str">
        <f>IF(OR(B6="",Results!B11=""),"",IF(B6=Results!B11,1+IF(OR($O6=1,$P6=1,$Q6=1),1,0),0))</f>
        <v/>
      </c>
      <c r="T6" s="4" t="str">
        <f>IF(OR(C6="",Results!C11=""),"",IF(C6=Results!C11,1+IF(OR($O6=2,$P6=2,$Q6=2),1,0),0))</f>
        <v/>
      </c>
      <c r="U6" s="4" t="str">
        <f>IF(OR(D6="",Results!D11=""),"",IF(D6=Results!D11,1+IF(OR($O6=3,$P6=3,$Q6=3),1,0),0))</f>
        <v/>
      </c>
      <c r="V6" s="4" t="str">
        <f>IF(OR(E6="",Results!E11=""),"",IF(E6=Results!E11,1+IF(OR($O6=4,$P6=4,$Q6=4),1,0),0))</f>
        <v/>
      </c>
      <c r="W6" s="4" t="str">
        <f>IF(OR(F6="",Results!F11=""),"",IF(F6=Results!F11,1+IF(OR($O6=5,$P6=5,$Q6=5),1,0),0))</f>
        <v/>
      </c>
      <c r="X6" s="4" t="str">
        <f>IF(OR(G6="",Results!G11=""),"",IF(G6=Results!G11,1+IF(OR($O6=6,$P6=6,$Q6=6),1,0),0))</f>
        <v/>
      </c>
      <c r="Y6" s="4" t="str">
        <f>IF(OR(H6="",Results!H11=""),"",IF(H6=Results!H11,1+IF(OR($O6=7,$P6=7,$Q6=7),1,0),0))</f>
        <v/>
      </c>
      <c r="Z6" s="4" t="str">
        <f>IF(OR(I6="",Results!I11=""),"",IF(I6=Results!I11,1+IF(OR($O6=8,$P6=8,$Q6=8),1,0),0))</f>
        <v/>
      </c>
      <c r="AA6" s="4" t="str">
        <f>IF(OR(J6="",Results!J11=""),"",IF(J6=Results!J11,1+IF(OR($O6=9,$P6=9,$Q6=9),1,0),0))</f>
        <v/>
      </c>
      <c r="AB6" s="4" t="str">
        <f>IF(OR(K6="",Results!K11=""),"",IF(K6=Results!K11,1+IF(OR($O6=10,$P6=10,$Q6=10),1,0),0))</f>
        <v/>
      </c>
      <c r="AC6" s="4" t="str">
        <f>IF(OR(L6="",Results!L11=""),"",IF(L6=Results!L11,1+IF(OR($O6=11,$P6=11,$Q6=11),1,0),0))</f>
        <v/>
      </c>
      <c r="AD6" s="4" t="str">
        <f>IF(OR(M6="",Results!M11=""),"",IF(M6=Results!M11,1+IF(OR($O6=12,$P6=12,$Q6=12),1,0),0))</f>
        <v/>
      </c>
      <c r="AE6" s="4" t="str">
        <f>IF(OR(N6="",Results!N11=""),"",IF(N6=Results!N11,1+IF(OR($O6=13,$P6=13,$Q6=13),1,0),0))</f>
        <v/>
      </c>
      <c r="AF6" s="11">
        <f t="shared" ref="AF6:AF37" si="0">SUM(S6:AE6)</f>
        <v>0</v>
      </c>
      <c r="AG6" s="4" t="str">
        <f>IF(OR($R6="",Results!O11=""),"",ABS($R6-Results!O11))</f>
        <v/>
      </c>
      <c r="AH6" s="12">
        <v>2</v>
      </c>
      <c r="AI6" s="13" t="str">
        <f>IF(OR(B6="",Results!B11=""),"",IF(AND(B6=Results!B11,Results!B11&lt;&gt;Games!$C$83),1,0))</f>
        <v/>
      </c>
      <c r="AJ6" s="13" t="str">
        <f>IF(OR(C6="",Results!C11=""),"",IF(AND(C6=Results!C11,Results!C11&lt;&gt;Games!$C$84),1,0))</f>
        <v/>
      </c>
      <c r="AK6" s="13" t="str">
        <f>IF(OR(D6="",Results!D11=""),"",IF(AND(D6=Results!D11,Results!D11&lt;&gt;Games!$C$85),1,0))</f>
        <v/>
      </c>
      <c r="AL6" s="13" t="str">
        <f>IF(OR(E6="",Results!E11=""),"",IF(AND(E6=Results!E11,Results!E11&lt;&gt;Games!$C$86),1,0))</f>
        <v/>
      </c>
      <c r="AM6" s="13" t="str">
        <f>IF(OR(F6="",Results!F11=""),"",IF(AND(F6=Results!F11,Results!F11&lt;&gt;Games!$C$87),1,0))</f>
        <v/>
      </c>
      <c r="AN6" s="13" t="str">
        <f>IF(OR(G6="",Results!G11=""),"",IF(AND(G6=Results!G11,Results!G11&lt;&gt;Games!$C$88),1,0))</f>
        <v/>
      </c>
      <c r="AO6" s="13" t="str">
        <f>IF(OR(H6="",Results!H11=""),"",IF(AND(H6=Results!H11,Results!H11&lt;&gt;Games!$C$89),1,0))</f>
        <v/>
      </c>
      <c r="AP6" s="13" t="str">
        <f>IF(OR(I6="",Results!I11=""),"",IF(AND(I6=Results!I11,Results!I11&lt;&gt;Games!$C$90),1,0))</f>
        <v/>
      </c>
      <c r="AQ6" s="13" t="str">
        <f>IF(OR(J6="",Results!J11=""),"",IF(AND(J6=Results!J11,Results!J11&lt;&gt;Games!$C$91),1,0))</f>
        <v/>
      </c>
      <c r="AR6" s="13" t="str">
        <f>IF(OR(K6="",Results!K11=""),"",IF(AND(K6=Results!K11,Results!K11&lt;&gt;Games!$C$92),1,0))</f>
        <v/>
      </c>
      <c r="AS6" s="13" t="str">
        <f>IF(OR(L6="",Results!L11=""),"",IF(AND(L6=Results!L11,Results!L11&lt;&gt;Games!$C$93),1,0))</f>
        <v/>
      </c>
      <c r="AT6" s="13" t="str">
        <f>IF(OR(M6="",Results!M11=""),"",IF(AND(M6=Results!M11,Results!M11&lt;&gt;Games!$C$94),1,0))</f>
        <v/>
      </c>
      <c r="AU6" s="13" t="str">
        <f>IF(OR(N6="",Results!N11=""),"",IF(AND(N6=Results!N11,Results!N11&lt;&gt;Games!$C$95),1,0))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IF(OR(B7="",Results!B11=""),"",IF(B7=Results!B11,1+IF(OR($O7=1,$P7=1,$Q7=1),1,0),0))</f>
        <v/>
      </c>
      <c r="T7" s="4" t="str">
        <f>IF(OR(C7="",Results!C11=""),"",IF(C7=Results!C11,1+IF(OR($O7=2,$P7=2,$Q7=2),1,0),0))</f>
        <v/>
      </c>
      <c r="U7" s="4" t="str">
        <f>IF(OR(D7="",Results!D11=""),"",IF(D7=Results!D11,1+IF(OR($O7=3,$P7=3,$Q7=3),1,0),0))</f>
        <v/>
      </c>
      <c r="V7" s="4" t="str">
        <f>IF(OR(E7="",Results!E11=""),"",IF(E7=Results!E11,1+IF(OR($O7=4,$P7=4,$Q7=4),1,0),0))</f>
        <v/>
      </c>
      <c r="W7" s="4" t="str">
        <f>IF(OR(F7="",Results!F11=""),"",IF(F7=Results!F11,1+IF(OR($O7=5,$P7=5,$Q7=5),1,0),0))</f>
        <v/>
      </c>
      <c r="X7" s="4" t="str">
        <f>IF(OR(G7="",Results!G11=""),"",IF(G7=Results!G11,1+IF(OR($O7=6,$P7=6,$Q7=6),1,0),0))</f>
        <v/>
      </c>
      <c r="Y7" s="4" t="str">
        <f>IF(OR(H7="",Results!H11=""),"",IF(H7=Results!H11,1+IF(OR($O7=7,$P7=7,$Q7=7),1,0),0))</f>
        <v/>
      </c>
      <c r="Z7" s="4" t="str">
        <f>IF(OR(I7="",Results!I11=""),"",IF(I7=Results!I11,1+IF(OR($O7=8,$P7=8,$Q7=8),1,0),0))</f>
        <v/>
      </c>
      <c r="AA7" s="4" t="str">
        <f>IF(OR(J7="",Results!J11=""),"",IF(J7=Results!J11,1+IF(OR($O7=9,$P7=9,$Q7=9),1,0),0))</f>
        <v/>
      </c>
      <c r="AB7" s="4" t="str">
        <f>IF(OR(K7="",Results!K11=""),"",IF(K7=Results!K11,1+IF(OR($O7=10,$P7=10,$Q7=10),1,0),0))</f>
        <v/>
      </c>
      <c r="AC7" s="4" t="str">
        <f>IF(OR(L7="",Results!L11=""),"",IF(L7=Results!L11,1+IF(OR($O7=11,$P7=11,$Q7=11),1,0),0))</f>
        <v/>
      </c>
      <c r="AD7" s="4" t="str">
        <f>IF(OR(M7="",Results!M11=""),"",IF(M7=Results!M11,1+IF(OR($O7=12,$P7=12,$Q7=12),1,0),0))</f>
        <v/>
      </c>
      <c r="AE7" s="4" t="str">
        <f>IF(OR(N7="",Results!N11=""),"",IF(N7=Results!N11,1+IF(OR($O7=13,$P7=13,$Q7=13),1,0),0))</f>
        <v/>
      </c>
      <c r="AF7" s="11">
        <f t="shared" si="0"/>
        <v>0</v>
      </c>
      <c r="AG7" s="4" t="str">
        <f>IF(OR($R7="",Results!O11=""),"",ABS($R7-Results!O11))</f>
        <v/>
      </c>
      <c r="AH7" s="12">
        <v>53</v>
      </c>
      <c r="AI7" s="13" t="str">
        <f>IF(OR(B7="",Results!B11=""),"",IF(AND(B7=Results!B11,Results!B11&lt;&gt;Games!$C$83),1,0))</f>
        <v/>
      </c>
      <c r="AJ7" s="13" t="str">
        <f>IF(OR(C7="",Results!C11=""),"",IF(AND(C7=Results!C11,Results!C11&lt;&gt;Games!$C$84),1,0))</f>
        <v/>
      </c>
      <c r="AK7" s="13" t="str">
        <f>IF(OR(D7="",Results!D11=""),"",IF(AND(D7=Results!D11,Results!D11&lt;&gt;Games!$C$85),1,0))</f>
        <v/>
      </c>
      <c r="AL7" s="13" t="str">
        <f>IF(OR(E7="",Results!E11=""),"",IF(AND(E7=Results!E11,Results!E11&lt;&gt;Games!$C$86),1,0))</f>
        <v/>
      </c>
      <c r="AM7" s="13" t="str">
        <f>IF(OR(F7="",Results!F11=""),"",IF(AND(F7=Results!F11,Results!F11&lt;&gt;Games!$C$87),1,0))</f>
        <v/>
      </c>
      <c r="AN7" s="13" t="str">
        <f>IF(OR(G7="",Results!G11=""),"",IF(AND(G7=Results!G11,Results!G11&lt;&gt;Games!$C$88),1,0))</f>
        <v/>
      </c>
      <c r="AO7" s="13" t="str">
        <f>IF(OR(H7="",Results!H11=""),"",IF(AND(H7=Results!H11,Results!H11&lt;&gt;Games!$C$89),1,0))</f>
        <v/>
      </c>
      <c r="AP7" s="13" t="str">
        <f>IF(OR(I7="",Results!I11=""),"",IF(AND(I7=Results!I11,Results!I11&lt;&gt;Games!$C$90),1,0))</f>
        <v/>
      </c>
      <c r="AQ7" s="13" t="str">
        <f>IF(OR(J7="",Results!J11=""),"",IF(AND(J7=Results!J11,Results!J11&lt;&gt;Games!$C$91),1,0))</f>
        <v/>
      </c>
      <c r="AR7" s="13" t="str">
        <f>IF(OR(K7="",Results!K11=""),"",IF(AND(K7=Results!K11,Results!K11&lt;&gt;Games!$C$92),1,0))</f>
        <v/>
      </c>
      <c r="AS7" s="13" t="str">
        <f>IF(OR(L7="",Results!L11=""),"",IF(AND(L7=Results!L11,Results!L11&lt;&gt;Games!$C$93),1,0))</f>
        <v/>
      </c>
      <c r="AT7" s="13" t="str">
        <f>IF(OR(M7="",Results!M11=""),"",IF(AND(M7=Results!M11,Results!M11&lt;&gt;Games!$C$94),1,0))</f>
        <v/>
      </c>
      <c r="AU7" s="13" t="str">
        <f>IF(OR(N7="",Results!N11=""),"",IF(AND(N7=Results!N11,Results!N11&lt;&gt;Games!$C$95),1,0))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" t="str">
        <f>IF(OR(B8="",Results!B11=""),"",IF(B8=Results!B11,1+IF(OR($O8=1,$P8=1,$Q8=1),1,0),0))</f>
        <v/>
      </c>
      <c r="T8" s="4" t="str">
        <f>IF(OR(C8="",Results!C11=""),"",IF(C8=Results!C11,1+IF(OR($O8=2,$P8=2,$Q8=2),1,0),0))</f>
        <v/>
      </c>
      <c r="U8" s="4" t="str">
        <f>IF(OR(D8="",Results!D11=""),"",IF(D8=Results!D11,1+IF(OR($O8=3,$P8=3,$Q8=3),1,0),0))</f>
        <v/>
      </c>
      <c r="V8" s="4" t="str">
        <f>IF(OR(E8="",Results!E11=""),"",IF(E8=Results!E11,1+IF(OR($O8=4,$P8=4,$Q8=4),1,0),0))</f>
        <v/>
      </c>
      <c r="W8" s="4" t="str">
        <f>IF(OR(F8="",Results!F11=""),"",IF(F8=Results!F11,1+IF(OR($O8=5,$P8=5,$Q8=5),1,0),0))</f>
        <v/>
      </c>
      <c r="X8" s="4" t="str">
        <f>IF(OR(G8="",Results!G11=""),"",IF(G8=Results!G11,1+IF(OR($O8=6,$P8=6,$Q8=6),1,0),0))</f>
        <v/>
      </c>
      <c r="Y8" s="4" t="str">
        <f>IF(OR(H8="",Results!H11=""),"",IF(H8=Results!H11,1+IF(OR($O8=7,$P8=7,$Q8=7),1,0),0))</f>
        <v/>
      </c>
      <c r="Z8" s="4" t="str">
        <f>IF(OR(I8="",Results!I11=""),"",IF(I8=Results!I11,1+IF(OR($O8=8,$P8=8,$Q8=8),1,0),0))</f>
        <v/>
      </c>
      <c r="AA8" s="4" t="str">
        <f>IF(OR(J8="",Results!J11=""),"",IF(J8=Results!J11,1+IF(OR($O8=9,$P8=9,$Q8=9),1,0),0))</f>
        <v/>
      </c>
      <c r="AB8" s="4" t="str">
        <f>IF(OR(K8="",Results!K11=""),"",IF(K8=Results!K11,1+IF(OR($O8=10,$P8=10,$Q8=10),1,0),0))</f>
        <v/>
      </c>
      <c r="AC8" s="4" t="str">
        <f>IF(OR(L8="",Results!L11=""),"",IF(L8=Results!L11,1+IF(OR($O8=11,$P8=11,$Q8=11),1,0),0))</f>
        <v/>
      </c>
      <c r="AD8" s="4" t="str">
        <f>IF(OR(M8="",Results!M11=""),"",IF(M8=Results!M11,1+IF(OR($O8=12,$P8=12,$Q8=12),1,0),0))</f>
        <v/>
      </c>
      <c r="AE8" s="4" t="str">
        <f>IF(OR(N8="",Results!N11=""),"",IF(N8=Results!N11,1+IF(OR($O8=13,$P8=13,$Q8=13),1,0),0))</f>
        <v/>
      </c>
      <c r="AF8" s="11">
        <f t="shared" si="0"/>
        <v>0</v>
      </c>
      <c r="AG8" s="4" t="str">
        <f>IF(OR($R8="",Results!O11=""),"",ABS($R8-Results!O11))</f>
        <v/>
      </c>
      <c r="AH8" s="12">
        <v>61</v>
      </c>
      <c r="AI8" s="13" t="str">
        <f>IF(OR(B8="",Results!B11=""),"",IF(AND(B8=Results!B11,Results!B11&lt;&gt;Games!$C$83),1,0))</f>
        <v/>
      </c>
      <c r="AJ8" s="13" t="str">
        <f>IF(OR(C8="",Results!C11=""),"",IF(AND(C8=Results!C11,Results!C11&lt;&gt;Games!$C$84),1,0))</f>
        <v/>
      </c>
      <c r="AK8" s="13" t="str">
        <f>IF(OR(D8="",Results!D11=""),"",IF(AND(D8=Results!D11,Results!D11&lt;&gt;Games!$C$85),1,0))</f>
        <v/>
      </c>
      <c r="AL8" s="13" t="str">
        <f>IF(OR(E8="",Results!E11=""),"",IF(AND(E8=Results!E11,Results!E11&lt;&gt;Games!$C$86),1,0))</f>
        <v/>
      </c>
      <c r="AM8" s="13" t="str">
        <f>IF(OR(F8="",Results!F11=""),"",IF(AND(F8=Results!F11,Results!F11&lt;&gt;Games!$C$87),1,0))</f>
        <v/>
      </c>
      <c r="AN8" s="13" t="str">
        <f>IF(OR(G8="",Results!G11=""),"",IF(AND(G8=Results!G11,Results!G11&lt;&gt;Games!$C$88),1,0))</f>
        <v/>
      </c>
      <c r="AO8" s="13" t="str">
        <f>IF(OR(H8="",Results!H11=""),"",IF(AND(H8=Results!H11,Results!H11&lt;&gt;Games!$C$89),1,0))</f>
        <v/>
      </c>
      <c r="AP8" s="13" t="str">
        <f>IF(OR(I8="",Results!I11=""),"",IF(AND(I8=Results!I11,Results!I11&lt;&gt;Games!$C$90),1,0))</f>
        <v/>
      </c>
      <c r="AQ8" s="13" t="str">
        <f>IF(OR(J8="",Results!J11=""),"",IF(AND(J8=Results!J11,Results!J11&lt;&gt;Games!$C$91),1,0))</f>
        <v/>
      </c>
      <c r="AR8" s="13" t="str">
        <f>IF(OR(K8="",Results!K11=""),"",IF(AND(K8=Results!K11,Results!K11&lt;&gt;Games!$C$92),1,0))</f>
        <v/>
      </c>
      <c r="AS8" s="13" t="str">
        <f>IF(OR(L8="",Results!L11=""),"",IF(AND(L8=Results!L11,Results!L11&lt;&gt;Games!$C$93),1,0))</f>
        <v/>
      </c>
      <c r="AT8" s="13" t="str">
        <f>IF(OR(M8="",Results!M11=""),"",IF(AND(M8=Results!M11,Results!M11&lt;&gt;Games!$C$94),1,0))</f>
        <v/>
      </c>
      <c r="AU8" s="13" t="str">
        <f>IF(OR(N8="",Results!N11=""),"",IF(AND(N8=Results!N11,Results!N11&lt;&gt;Games!$C$95),1,0))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IF(OR(B9="",Results!B11=""),"",IF(B9=Results!B11,1+IF(OR($O9=1,$P9=1,$Q9=1),1,0),0))</f>
        <v/>
      </c>
      <c r="T9" s="4" t="str">
        <f>IF(OR(C9="",Results!C11=""),"",IF(C9=Results!C11,1+IF(OR($O9=2,$P9=2,$Q9=2),1,0),0))</f>
        <v/>
      </c>
      <c r="U9" s="4" t="str">
        <f>IF(OR(D9="",Results!D11=""),"",IF(D9=Results!D11,1+IF(OR($O9=3,$P9=3,$Q9=3),1,0),0))</f>
        <v/>
      </c>
      <c r="V9" s="4" t="str">
        <f>IF(OR(E9="",Results!E11=""),"",IF(E9=Results!E11,1+IF(OR($O9=4,$P9=4,$Q9=4),1,0),0))</f>
        <v/>
      </c>
      <c r="W9" s="4" t="str">
        <f>IF(OR(F9="",Results!F11=""),"",IF(F9=Results!F11,1+IF(OR($O9=5,$P9=5,$Q9=5),1,0),0))</f>
        <v/>
      </c>
      <c r="X9" s="4" t="str">
        <f>IF(OR(G9="",Results!G11=""),"",IF(G9=Results!G11,1+IF(OR($O9=6,$P9=6,$Q9=6),1,0),0))</f>
        <v/>
      </c>
      <c r="Y9" s="4" t="str">
        <f>IF(OR(H9="",Results!H11=""),"",IF(H9=Results!H11,1+IF(OR($O9=7,$P9=7,$Q9=7),1,0),0))</f>
        <v/>
      </c>
      <c r="Z9" s="4" t="str">
        <f>IF(OR(I9="",Results!I11=""),"",IF(I9=Results!I11,1+IF(OR($O9=8,$P9=8,$Q9=8),1,0),0))</f>
        <v/>
      </c>
      <c r="AA9" s="4" t="str">
        <f>IF(OR(J9="",Results!J11=""),"",IF(J9=Results!J11,1+IF(OR($O9=9,$P9=9,$Q9=9),1,0),0))</f>
        <v/>
      </c>
      <c r="AB9" s="4" t="str">
        <f>IF(OR(K9="",Results!K11=""),"",IF(K9=Results!K11,1+IF(OR($O9=10,$P9=10,$Q9=10),1,0),0))</f>
        <v/>
      </c>
      <c r="AC9" s="4" t="str">
        <f>IF(OR(L9="",Results!L11=""),"",IF(L9=Results!L11,1+IF(OR($O9=11,$P9=11,$Q9=11),1,0),0))</f>
        <v/>
      </c>
      <c r="AD9" s="4" t="str">
        <f>IF(OR(M9="",Results!M11=""),"",IF(M9=Results!M11,1+IF(OR($O9=12,$P9=12,$Q9=12),1,0),0))</f>
        <v/>
      </c>
      <c r="AE9" s="4" t="str">
        <f>IF(OR(N9="",Results!N11=""),"",IF(N9=Results!N11,1+IF(OR($O9=13,$P9=13,$Q9=13),1,0),0))</f>
        <v/>
      </c>
      <c r="AF9" s="11">
        <f t="shared" si="0"/>
        <v>0</v>
      </c>
      <c r="AG9" s="4" t="str">
        <f>IF(OR($R9="",Results!O11=""),"",ABS($R9-Results!O11))</f>
        <v/>
      </c>
      <c r="AH9" s="12">
        <v>41</v>
      </c>
      <c r="AI9" s="13" t="str">
        <f>IF(OR(B9="",Results!B11=""),"",IF(AND(B9=Results!B11,Results!B11&lt;&gt;Games!$C$83),1,0))</f>
        <v/>
      </c>
      <c r="AJ9" s="13" t="str">
        <f>IF(OR(C9="",Results!C11=""),"",IF(AND(C9=Results!C11,Results!C11&lt;&gt;Games!$C$84),1,0))</f>
        <v/>
      </c>
      <c r="AK9" s="13" t="str">
        <f>IF(OR(D9="",Results!D11=""),"",IF(AND(D9=Results!D11,Results!D11&lt;&gt;Games!$C$85),1,0))</f>
        <v/>
      </c>
      <c r="AL9" s="13" t="str">
        <f>IF(OR(E9="",Results!E11=""),"",IF(AND(E9=Results!E11,Results!E11&lt;&gt;Games!$C$86),1,0))</f>
        <v/>
      </c>
      <c r="AM9" s="13" t="str">
        <f>IF(OR(F9="",Results!F11=""),"",IF(AND(F9=Results!F11,Results!F11&lt;&gt;Games!$C$87),1,0))</f>
        <v/>
      </c>
      <c r="AN9" s="13" t="str">
        <f>IF(OR(G9="",Results!G11=""),"",IF(AND(G9=Results!G11,Results!G11&lt;&gt;Games!$C$88),1,0))</f>
        <v/>
      </c>
      <c r="AO9" s="13" t="str">
        <f>IF(OR(H9="",Results!H11=""),"",IF(AND(H9=Results!H11,Results!H11&lt;&gt;Games!$C$89),1,0))</f>
        <v/>
      </c>
      <c r="AP9" s="13" t="str">
        <f>IF(OR(I9="",Results!I11=""),"",IF(AND(I9=Results!I11,Results!I11&lt;&gt;Games!$C$90),1,0))</f>
        <v/>
      </c>
      <c r="AQ9" s="13" t="str">
        <f>IF(OR(J9="",Results!J11=""),"",IF(AND(J9=Results!J11,Results!J11&lt;&gt;Games!$C$91),1,0))</f>
        <v/>
      </c>
      <c r="AR9" s="13" t="str">
        <f>IF(OR(K9="",Results!K11=""),"",IF(AND(K9=Results!K11,Results!K11&lt;&gt;Games!$C$92),1,0))</f>
        <v/>
      </c>
      <c r="AS9" s="13" t="str">
        <f>IF(OR(L9="",Results!L11=""),"",IF(AND(L9=Results!L11,Results!L11&lt;&gt;Games!$C$93),1,0))</f>
        <v/>
      </c>
      <c r="AT9" s="13" t="str">
        <f>IF(OR(M9="",Results!M11=""),"",IF(AND(M9=Results!M11,Results!M11&lt;&gt;Games!$C$94),1,0))</f>
        <v/>
      </c>
      <c r="AU9" s="13" t="str">
        <f>IF(OR(N9="",Results!N11=""),"",IF(AND(N9=Results!N11,Results!N11&lt;&gt;Games!$C$95),1,0))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tr">
        <f>IF(OR(B10="",Results!B11=""),"",IF(B10=Results!B11,1+IF(OR($O10=1,$P10=1,$Q10=1),1,0),0))</f>
        <v/>
      </c>
      <c r="T10" s="4" t="str">
        <f>IF(OR(C10="",Results!C11=""),"",IF(C10=Results!C11,1+IF(OR($O10=2,$P10=2,$Q10=2),1,0),0))</f>
        <v/>
      </c>
      <c r="U10" s="4" t="str">
        <f>IF(OR(D10="",Results!D11=""),"",IF(D10=Results!D11,1+IF(OR($O10=3,$P10=3,$Q10=3),1,0),0))</f>
        <v/>
      </c>
      <c r="V10" s="4" t="str">
        <f>IF(OR(E10="",Results!E11=""),"",IF(E10=Results!E11,1+IF(OR($O10=4,$P10=4,$Q10=4),1,0),0))</f>
        <v/>
      </c>
      <c r="W10" s="4" t="str">
        <f>IF(OR(F10="",Results!F11=""),"",IF(F10=Results!F11,1+IF(OR($O10=5,$P10=5,$Q10=5),1,0),0))</f>
        <v/>
      </c>
      <c r="X10" s="4" t="str">
        <f>IF(OR(G10="",Results!G11=""),"",IF(G10=Results!G11,1+IF(OR($O10=6,$P10=6,$Q10=6),1,0),0))</f>
        <v/>
      </c>
      <c r="Y10" s="4" t="str">
        <f>IF(OR(H10="",Results!H11=""),"",IF(H10=Results!H11,1+IF(OR($O10=7,$P10=7,$Q10=7),1,0),0))</f>
        <v/>
      </c>
      <c r="Z10" s="4" t="str">
        <f>IF(OR(I10="",Results!I11=""),"",IF(I10=Results!I11,1+IF(OR($O10=8,$P10=8,$Q10=8),1,0),0))</f>
        <v/>
      </c>
      <c r="AA10" s="4" t="str">
        <f>IF(OR(J10="",Results!J11=""),"",IF(J10=Results!J11,1+IF(OR($O10=9,$P10=9,$Q10=9),1,0),0))</f>
        <v/>
      </c>
      <c r="AB10" s="4" t="str">
        <f>IF(OR(K10="",Results!K11=""),"",IF(K10=Results!K11,1+IF(OR($O10=10,$P10=10,$Q10=10),1,0),0))</f>
        <v/>
      </c>
      <c r="AC10" s="4" t="str">
        <f>IF(OR(L10="",Results!L11=""),"",IF(L10=Results!L11,1+IF(OR($O10=11,$P10=11,$Q10=11),1,0),0))</f>
        <v/>
      </c>
      <c r="AD10" s="4" t="str">
        <f>IF(OR(M10="",Results!M11=""),"",IF(M10=Results!M11,1+IF(OR($O10=12,$P10=12,$Q10=12),1,0),0))</f>
        <v/>
      </c>
      <c r="AE10" s="4" t="str">
        <f>IF(OR(N10="",Results!N11=""),"",IF(N10=Results!N11,1+IF(OR($O10=13,$P10=13,$Q10=13),1,0),0))</f>
        <v/>
      </c>
      <c r="AF10" s="11">
        <f t="shared" si="0"/>
        <v>0</v>
      </c>
      <c r="AG10" s="4" t="str">
        <f>IF(OR($R10="",Results!O11=""),"",ABS($R10-Results!O11))</f>
        <v/>
      </c>
      <c r="AH10" s="12">
        <v>3</v>
      </c>
      <c r="AI10" s="13" t="str">
        <f>IF(OR(B10="",Results!B11=""),"",IF(AND(B10=Results!B11,Results!B11&lt;&gt;Games!$C$83),1,0))</f>
        <v/>
      </c>
      <c r="AJ10" s="13" t="str">
        <f>IF(OR(C10="",Results!C11=""),"",IF(AND(C10=Results!C11,Results!C11&lt;&gt;Games!$C$84),1,0))</f>
        <v/>
      </c>
      <c r="AK10" s="13" t="str">
        <f>IF(OR(D10="",Results!D11=""),"",IF(AND(D10=Results!D11,Results!D11&lt;&gt;Games!$C$85),1,0))</f>
        <v/>
      </c>
      <c r="AL10" s="13" t="str">
        <f>IF(OR(E10="",Results!E11=""),"",IF(AND(E10=Results!E11,Results!E11&lt;&gt;Games!$C$86),1,0))</f>
        <v/>
      </c>
      <c r="AM10" s="13" t="str">
        <f>IF(OR(F10="",Results!F11=""),"",IF(AND(F10=Results!F11,Results!F11&lt;&gt;Games!$C$87),1,0))</f>
        <v/>
      </c>
      <c r="AN10" s="13" t="str">
        <f>IF(OR(G10="",Results!G11=""),"",IF(AND(G10=Results!G11,Results!G11&lt;&gt;Games!$C$88),1,0))</f>
        <v/>
      </c>
      <c r="AO10" s="13" t="str">
        <f>IF(OR(H10="",Results!H11=""),"",IF(AND(H10=Results!H11,Results!H11&lt;&gt;Games!$C$89),1,0))</f>
        <v/>
      </c>
      <c r="AP10" s="13" t="str">
        <f>IF(OR(I10="",Results!I11=""),"",IF(AND(I10=Results!I11,Results!I11&lt;&gt;Games!$C$90),1,0))</f>
        <v/>
      </c>
      <c r="AQ10" s="13" t="str">
        <f>IF(OR(J10="",Results!J11=""),"",IF(AND(J10=Results!J11,Results!J11&lt;&gt;Games!$C$91),1,0))</f>
        <v/>
      </c>
      <c r="AR10" s="13" t="str">
        <f>IF(OR(K10="",Results!K11=""),"",IF(AND(K10=Results!K11,Results!K11&lt;&gt;Games!$C$92),1,0))</f>
        <v/>
      </c>
      <c r="AS10" s="13" t="str">
        <f>IF(OR(L10="",Results!L11=""),"",IF(AND(L10=Results!L11,Results!L11&lt;&gt;Games!$C$93),1,0))</f>
        <v/>
      </c>
      <c r="AT10" s="13" t="str">
        <f>IF(OR(M10="",Results!M11=""),"",IF(AND(M10=Results!M11,Results!M11&lt;&gt;Games!$C$94),1,0))</f>
        <v/>
      </c>
      <c r="AU10" s="13" t="str">
        <f>IF(OR(N10="",Results!N11=""),"",IF(AND(N10=Results!N11,Results!N11&lt;&gt;Games!$C$95),1,0))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IF(OR(B11="",Results!B11=""),"",IF(B11=Results!B11,1+IF(OR($O11=1,$P11=1,$Q11=1),1,0),0))</f>
        <v/>
      </c>
      <c r="T11" s="4" t="str">
        <f>IF(OR(C11="",Results!C11=""),"",IF(C11=Results!C11,1+IF(OR($O11=2,$P11=2,$Q11=2),1,0),0))</f>
        <v/>
      </c>
      <c r="U11" s="4" t="str">
        <f>IF(OR(D11="",Results!D11=""),"",IF(D11=Results!D11,1+IF(OR($O11=3,$P11=3,$Q11=3),1,0),0))</f>
        <v/>
      </c>
      <c r="V11" s="4" t="str">
        <f>IF(OR(E11="",Results!E11=""),"",IF(E11=Results!E11,1+IF(OR($O11=4,$P11=4,$Q11=4),1,0),0))</f>
        <v/>
      </c>
      <c r="W11" s="4" t="str">
        <f>IF(OR(F11="",Results!F11=""),"",IF(F11=Results!F11,1+IF(OR($O11=5,$P11=5,$Q11=5),1,0),0))</f>
        <v/>
      </c>
      <c r="X11" s="4" t="str">
        <f>IF(OR(G11="",Results!G11=""),"",IF(G11=Results!G11,1+IF(OR($O11=6,$P11=6,$Q11=6),1,0),0))</f>
        <v/>
      </c>
      <c r="Y11" s="4" t="str">
        <f>IF(OR(H11="",Results!H11=""),"",IF(H11=Results!H11,1+IF(OR($O11=7,$P11=7,$Q11=7),1,0),0))</f>
        <v/>
      </c>
      <c r="Z11" s="4" t="str">
        <f>IF(OR(I11="",Results!I11=""),"",IF(I11=Results!I11,1+IF(OR($O11=8,$P11=8,$Q11=8),1,0),0))</f>
        <v/>
      </c>
      <c r="AA11" s="4" t="str">
        <f>IF(OR(J11="",Results!J11=""),"",IF(J11=Results!J11,1+IF(OR($O11=9,$P11=9,$Q11=9),1,0),0))</f>
        <v/>
      </c>
      <c r="AB11" s="4" t="str">
        <f>IF(OR(K11="",Results!K11=""),"",IF(K11=Results!K11,1+IF(OR($O11=10,$P11=10,$Q11=10),1,0),0))</f>
        <v/>
      </c>
      <c r="AC11" s="4" t="str">
        <f>IF(OR(L11="",Results!L11=""),"",IF(L11=Results!L11,1+IF(OR($O11=11,$P11=11,$Q11=11),1,0),0))</f>
        <v/>
      </c>
      <c r="AD11" s="4" t="str">
        <f>IF(OR(M11="",Results!M11=""),"",IF(M11=Results!M11,1+IF(OR($O11=12,$P11=12,$Q11=12),1,0),0))</f>
        <v/>
      </c>
      <c r="AE11" s="4" t="str">
        <f>IF(OR(N11="",Results!N11=""),"",IF(N11=Results!N11,1+IF(OR($O11=13,$P11=13,$Q11=13),1,0),0))</f>
        <v/>
      </c>
      <c r="AF11" s="11">
        <f t="shared" si="0"/>
        <v>0</v>
      </c>
      <c r="AG11" s="4" t="str">
        <f>IF(OR($R11="",Results!O11=""),"",ABS($R11-Results!O11))</f>
        <v/>
      </c>
      <c r="AH11" s="12">
        <v>58</v>
      </c>
      <c r="AI11" s="13" t="str">
        <f>IF(OR(B11="",Results!B11=""),"",IF(AND(B11=Results!B11,Results!B11&lt;&gt;Games!$C$83),1,0))</f>
        <v/>
      </c>
      <c r="AJ11" s="13" t="str">
        <f>IF(OR(C11="",Results!C11=""),"",IF(AND(C11=Results!C11,Results!C11&lt;&gt;Games!$C$84),1,0))</f>
        <v/>
      </c>
      <c r="AK11" s="13" t="str">
        <f>IF(OR(D11="",Results!D11=""),"",IF(AND(D11=Results!D11,Results!D11&lt;&gt;Games!$C$85),1,0))</f>
        <v/>
      </c>
      <c r="AL11" s="13" t="str">
        <f>IF(OR(E11="",Results!E11=""),"",IF(AND(E11=Results!E11,Results!E11&lt;&gt;Games!$C$86),1,0))</f>
        <v/>
      </c>
      <c r="AM11" s="13" t="str">
        <f>IF(OR(F11="",Results!F11=""),"",IF(AND(F11=Results!F11,Results!F11&lt;&gt;Games!$C$87),1,0))</f>
        <v/>
      </c>
      <c r="AN11" s="13" t="str">
        <f>IF(OR(G11="",Results!G11=""),"",IF(AND(G11=Results!G11,Results!G11&lt;&gt;Games!$C$88),1,0))</f>
        <v/>
      </c>
      <c r="AO11" s="13" t="str">
        <f>IF(OR(H11="",Results!H11=""),"",IF(AND(H11=Results!H11,Results!H11&lt;&gt;Games!$C$89),1,0))</f>
        <v/>
      </c>
      <c r="AP11" s="13" t="str">
        <f>IF(OR(I11="",Results!I11=""),"",IF(AND(I11=Results!I11,Results!I11&lt;&gt;Games!$C$90),1,0))</f>
        <v/>
      </c>
      <c r="AQ11" s="13" t="str">
        <f>IF(OR(J11="",Results!J11=""),"",IF(AND(J11=Results!J11,Results!J11&lt;&gt;Games!$C$91),1,0))</f>
        <v/>
      </c>
      <c r="AR11" s="13" t="str">
        <f>IF(OR(K11="",Results!K11=""),"",IF(AND(K11=Results!K11,Results!K11&lt;&gt;Games!$C$92),1,0))</f>
        <v/>
      </c>
      <c r="AS11" s="13" t="str">
        <f>IF(OR(L11="",Results!L11=""),"",IF(AND(L11=Results!L11,Results!L11&lt;&gt;Games!$C$93),1,0))</f>
        <v/>
      </c>
      <c r="AT11" s="13" t="str">
        <f>IF(OR(M11="",Results!M11=""),"",IF(AND(M11=Results!M11,Results!M11&lt;&gt;Games!$C$94),1,0))</f>
        <v/>
      </c>
      <c r="AU11" s="13" t="str">
        <f>IF(OR(N11="",Results!N11=""),"",IF(AND(N11=Results!N11,Results!N11&lt;&gt;Games!$C$95),1,0))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 t="str">
        <f>IF(OR(B12="",Results!B11=""),"",IF(B12=Results!B11,1+IF(OR($O12=1,$P12=1,$Q12=1),1,0),0))</f>
        <v/>
      </c>
      <c r="T12" s="4" t="str">
        <f>IF(OR(C12="",Results!C11=""),"",IF(C12=Results!C11,1+IF(OR($O12=2,$P12=2,$Q12=2),1,0),0))</f>
        <v/>
      </c>
      <c r="U12" s="4" t="str">
        <f>IF(OR(D12="",Results!D11=""),"",IF(D12=Results!D11,1+IF(OR($O12=3,$P12=3,$Q12=3),1,0),0))</f>
        <v/>
      </c>
      <c r="V12" s="4" t="str">
        <f>IF(OR(E12="",Results!E11=""),"",IF(E12=Results!E11,1+IF(OR($O12=4,$P12=4,$Q12=4),1,0),0))</f>
        <v/>
      </c>
      <c r="W12" s="4" t="str">
        <f>IF(OR(F12="",Results!F11=""),"",IF(F12=Results!F11,1+IF(OR($O12=5,$P12=5,$Q12=5),1,0),0))</f>
        <v/>
      </c>
      <c r="X12" s="4" t="str">
        <f>IF(OR(G12="",Results!G11=""),"",IF(G12=Results!G11,1+IF(OR($O12=6,$P12=6,$Q12=6),1,0),0))</f>
        <v/>
      </c>
      <c r="Y12" s="4" t="str">
        <f>IF(OR(H12="",Results!H11=""),"",IF(H12=Results!H11,1+IF(OR($O12=7,$P12=7,$Q12=7),1,0),0))</f>
        <v/>
      </c>
      <c r="Z12" s="4" t="str">
        <f>IF(OR(I12="",Results!I11=""),"",IF(I12=Results!I11,1+IF(OR($O12=8,$P12=8,$Q12=8),1,0),0))</f>
        <v/>
      </c>
      <c r="AA12" s="4" t="str">
        <f>IF(OR(J12="",Results!J11=""),"",IF(J12=Results!J11,1+IF(OR($O12=9,$P12=9,$Q12=9),1,0),0))</f>
        <v/>
      </c>
      <c r="AB12" s="4" t="str">
        <f>IF(OR(K12="",Results!K11=""),"",IF(K12=Results!K11,1+IF(OR($O12=10,$P12=10,$Q12=10),1,0),0))</f>
        <v/>
      </c>
      <c r="AC12" s="4" t="str">
        <f>IF(OR(L12="",Results!L11=""),"",IF(L12=Results!L11,1+IF(OR($O12=11,$P12=11,$Q12=11),1,0),0))</f>
        <v/>
      </c>
      <c r="AD12" s="4" t="str">
        <f>IF(OR(M12="",Results!M11=""),"",IF(M12=Results!M11,1+IF(OR($O12=12,$P12=12,$Q12=12),1,0),0))</f>
        <v/>
      </c>
      <c r="AE12" s="4" t="str">
        <f>IF(OR(N12="",Results!N11=""),"",IF(N12=Results!N11,1+IF(OR($O12=13,$P12=13,$Q12=13),1,0),0))</f>
        <v/>
      </c>
      <c r="AF12" s="11">
        <f t="shared" si="0"/>
        <v>0</v>
      </c>
      <c r="AG12" s="4" t="str">
        <f>IF(OR($R12="",Results!O11=""),"",ABS($R12-Results!O11))</f>
        <v/>
      </c>
      <c r="AH12" s="12">
        <v>4</v>
      </c>
      <c r="AI12" s="13" t="str">
        <f>IF(OR(B12="",Results!B11=""),"",IF(AND(B12=Results!B11,Results!B11&lt;&gt;Games!$C$83),1,0))</f>
        <v/>
      </c>
      <c r="AJ12" s="13" t="str">
        <f>IF(OR(C12="",Results!C11=""),"",IF(AND(C12=Results!C11,Results!C11&lt;&gt;Games!$C$84),1,0))</f>
        <v/>
      </c>
      <c r="AK12" s="13" t="str">
        <f>IF(OR(D12="",Results!D11=""),"",IF(AND(D12=Results!D11,Results!D11&lt;&gt;Games!$C$85),1,0))</f>
        <v/>
      </c>
      <c r="AL12" s="13" t="str">
        <f>IF(OR(E12="",Results!E11=""),"",IF(AND(E12=Results!E11,Results!E11&lt;&gt;Games!$C$86),1,0))</f>
        <v/>
      </c>
      <c r="AM12" s="13" t="str">
        <f>IF(OR(F12="",Results!F11=""),"",IF(AND(F12=Results!F11,Results!F11&lt;&gt;Games!$C$87),1,0))</f>
        <v/>
      </c>
      <c r="AN12" s="13" t="str">
        <f>IF(OR(G12="",Results!G11=""),"",IF(AND(G12=Results!G11,Results!G11&lt;&gt;Games!$C$88),1,0))</f>
        <v/>
      </c>
      <c r="AO12" s="13" t="str">
        <f>IF(OR(H12="",Results!H11=""),"",IF(AND(H12=Results!H11,Results!H11&lt;&gt;Games!$C$89),1,0))</f>
        <v/>
      </c>
      <c r="AP12" s="13" t="str">
        <f>IF(OR(I12="",Results!I11=""),"",IF(AND(I12=Results!I11,Results!I11&lt;&gt;Games!$C$90),1,0))</f>
        <v/>
      </c>
      <c r="AQ12" s="13" t="str">
        <f>IF(OR(J12="",Results!J11=""),"",IF(AND(J12=Results!J11,Results!J11&lt;&gt;Games!$C$91),1,0))</f>
        <v/>
      </c>
      <c r="AR12" s="13" t="str">
        <f>IF(OR(K12="",Results!K11=""),"",IF(AND(K12=Results!K11,Results!K11&lt;&gt;Games!$C$92),1,0))</f>
        <v/>
      </c>
      <c r="AS12" s="13" t="str">
        <f>IF(OR(L12="",Results!L11=""),"",IF(AND(L12=Results!L11,Results!L11&lt;&gt;Games!$C$93),1,0))</f>
        <v/>
      </c>
      <c r="AT12" s="13" t="str">
        <f>IF(OR(M12="",Results!M11=""),"",IF(AND(M12=Results!M11,Results!M11&lt;&gt;Games!$C$94),1,0))</f>
        <v/>
      </c>
      <c r="AU12" s="13" t="str">
        <f>IF(OR(N12="",Results!N11=""),"",IF(AND(N12=Results!N11,Results!N11&lt;&gt;Games!$C$95),1,0))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IF(OR(B13="",Results!B11=""),"",IF(B13=Results!B11,1+IF(OR($O13=1,$P13=1,$Q13=1),1,0),0))</f>
        <v/>
      </c>
      <c r="T13" s="4" t="str">
        <f>IF(OR(C13="",Results!C11=""),"",IF(C13=Results!C11,1+IF(OR($O13=2,$P13=2,$Q13=2),1,0),0))</f>
        <v/>
      </c>
      <c r="U13" s="4" t="str">
        <f>IF(OR(D13="",Results!D11=""),"",IF(D13=Results!D11,1+IF(OR($O13=3,$P13=3,$Q13=3),1,0),0))</f>
        <v/>
      </c>
      <c r="V13" s="4" t="str">
        <f>IF(OR(E13="",Results!E11=""),"",IF(E13=Results!E11,1+IF(OR($O13=4,$P13=4,$Q13=4),1,0),0))</f>
        <v/>
      </c>
      <c r="W13" s="4" t="str">
        <f>IF(OR(F13="",Results!F11=""),"",IF(F13=Results!F11,1+IF(OR($O13=5,$P13=5,$Q13=5),1,0),0))</f>
        <v/>
      </c>
      <c r="X13" s="4" t="str">
        <f>IF(OR(G13="",Results!G11=""),"",IF(G13=Results!G11,1+IF(OR($O13=6,$P13=6,$Q13=6),1,0),0))</f>
        <v/>
      </c>
      <c r="Y13" s="4" t="str">
        <f>IF(OR(H13="",Results!H11=""),"",IF(H13=Results!H11,1+IF(OR($O13=7,$P13=7,$Q13=7),1,0),0))</f>
        <v/>
      </c>
      <c r="Z13" s="4" t="str">
        <f>IF(OR(I13="",Results!I11=""),"",IF(I13=Results!I11,1+IF(OR($O13=8,$P13=8,$Q13=8),1,0),0))</f>
        <v/>
      </c>
      <c r="AA13" s="4" t="str">
        <f>IF(OR(J13="",Results!J11=""),"",IF(J13=Results!J11,1+IF(OR($O13=9,$P13=9,$Q13=9),1,0),0))</f>
        <v/>
      </c>
      <c r="AB13" s="4" t="str">
        <f>IF(OR(K13="",Results!K11=""),"",IF(K13=Results!K11,1+IF(OR($O13=10,$P13=10,$Q13=10),1,0),0))</f>
        <v/>
      </c>
      <c r="AC13" s="4" t="str">
        <f>IF(OR(L13="",Results!L11=""),"",IF(L13=Results!L11,1+IF(OR($O13=11,$P13=11,$Q13=11),1,0),0))</f>
        <v/>
      </c>
      <c r="AD13" s="4" t="str">
        <f>IF(OR(M13="",Results!M11=""),"",IF(M13=Results!M11,1+IF(OR($O13=12,$P13=12,$Q13=12),1,0),0))</f>
        <v/>
      </c>
      <c r="AE13" s="4" t="str">
        <f>IF(OR(N13="",Results!N11=""),"",IF(N13=Results!N11,1+IF(OR($O13=13,$P13=13,$Q13=13),1,0),0))</f>
        <v/>
      </c>
      <c r="AF13" s="11">
        <f t="shared" si="0"/>
        <v>0</v>
      </c>
      <c r="AG13" s="4" t="str">
        <f>IF(OR($R13="",Results!O11=""),"",ABS($R13-Results!O11))</f>
        <v/>
      </c>
      <c r="AH13" s="12">
        <v>57</v>
      </c>
      <c r="AI13" s="13" t="str">
        <f>IF(OR(B13="",Results!B11=""),"",IF(AND(B13=Results!B11,Results!B11&lt;&gt;Games!$C$83),1,0))</f>
        <v/>
      </c>
      <c r="AJ13" s="13" t="str">
        <f>IF(OR(C13="",Results!C11=""),"",IF(AND(C13=Results!C11,Results!C11&lt;&gt;Games!$C$84),1,0))</f>
        <v/>
      </c>
      <c r="AK13" s="13" t="str">
        <f>IF(OR(D13="",Results!D11=""),"",IF(AND(D13=Results!D11,Results!D11&lt;&gt;Games!$C$85),1,0))</f>
        <v/>
      </c>
      <c r="AL13" s="13" t="str">
        <f>IF(OR(E13="",Results!E11=""),"",IF(AND(E13=Results!E11,Results!E11&lt;&gt;Games!$C$86),1,0))</f>
        <v/>
      </c>
      <c r="AM13" s="13" t="str">
        <f>IF(OR(F13="",Results!F11=""),"",IF(AND(F13=Results!F11,Results!F11&lt;&gt;Games!$C$87),1,0))</f>
        <v/>
      </c>
      <c r="AN13" s="13" t="str">
        <f>IF(OR(G13="",Results!G11=""),"",IF(AND(G13=Results!G11,Results!G11&lt;&gt;Games!$C$88),1,0))</f>
        <v/>
      </c>
      <c r="AO13" s="13" t="str">
        <f>IF(OR(H13="",Results!H11=""),"",IF(AND(H13=Results!H11,Results!H11&lt;&gt;Games!$C$89),1,0))</f>
        <v/>
      </c>
      <c r="AP13" s="13" t="str">
        <f>IF(OR(I13="",Results!I11=""),"",IF(AND(I13=Results!I11,Results!I11&lt;&gt;Games!$C$90),1,0))</f>
        <v/>
      </c>
      <c r="AQ13" s="13" t="str">
        <f>IF(OR(J13="",Results!J11=""),"",IF(AND(J13=Results!J11,Results!J11&lt;&gt;Games!$C$91),1,0))</f>
        <v/>
      </c>
      <c r="AR13" s="13" t="str">
        <f>IF(OR(K13="",Results!K11=""),"",IF(AND(K13=Results!K11,Results!K11&lt;&gt;Games!$C$92),1,0))</f>
        <v/>
      </c>
      <c r="AS13" s="13" t="str">
        <f>IF(OR(L13="",Results!L11=""),"",IF(AND(L13=Results!L11,Results!L11&lt;&gt;Games!$C$93),1,0))</f>
        <v/>
      </c>
      <c r="AT13" s="13" t="str">
        <f>IF(OR(M13="",Results!M11=""),"",IF(AND(M13=Results!M11,Results!M11&lt;&gt;Games!$C$94),1,0))</f>
        <v/>
      </c>
      <c r="AU13" s="13" t="str">
        <f>IF(OR(N13="",Results!N11=""),"",IF(AND(N13=Results!N11,Results!N11&lt;&gt;Games!$C$95),1,0))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 t="str">
        <f>IF(OR(B14="",Results!B11=""),"",IF(B14=Results!B11,1+IF(OR($O14=1,$P14=1,$Q14=1),1,0),0))</f>
        <v/>
      </c>
      <c r="T14" s="4" t="str">
        <f>IF(OR(C14="",Results!C11=""),"",IF(C14=Results!C11,1+IF(OR($O14=2,$P14=2,$Q14=2),1,0),0))</f>
        <v/>
      </c>
      <c r="U14" s="4" t="str">
        <f>IF(OR(D14="",Results!D11=""),"",IF(D14=Results!D11,1+IF(OR($O14=3,$P14=3,$Q14=3),1,0),0))</f>
        <v/>
      </c>
      <c r="V14" s="4" t="str">
        <f>IF(OR(E14="",Results!E11=""),"",IF(E14=Results!E11,1+IF(OR($O14=4,$P14=4,$Q14=4),1,0),0))</f>
        <v/>
      </c>
      <c r="W14" s="4" t="str">
        <f>IF(OR(F14="",Results!F11=""),"",IF(F14=Results!F11,1+IF(OR($O14=5,$P14=5,$Q14=5),1,0),0))</f>
        <v/>
      </c>
      <c r="X14" s="4" t="str">
        <f>IF(OR(G14="",Results!G11=""),"",IF(G14=Results!G11,1+IF(OR($O14=6,$P14=6,$Q14=6),1,0),0))</f>
        <v/>
      </c>
      <c r="Y14" s="4" t="str">
        <f>IF(OR(H14="",Results!H11=""),"",IF(H14=Results!H11,1+IF(OR($O14=7,$P14=7,$Q14=7),1,0),0))</f>
        <v/>
      </c>
      <c r="Z14" s="4" t="str">
        <f>IF(OR(I14="",Results!I11=""),"",IF(I14=Results!I11,1+IF(OR($O14=8,$P14=8,$Q14=8),1,0),0))</f>
        <v/>
      </c>
      <c r="AA14" s="4" t="str">
        <f>IF(OR(J14="",Results!J11=""),"",IF(J14=Results!J11,1+IF(OR($O14=9,$P14=9,$Q14=9),1,0),0))</f>
        <v/>
      </c>
      <c r="AB14" s="4" t="str">
        <f>IF(OR(K14="",Results!K11=""),"",IF(K14=Results!K11,1+IF(OR($O14=10,$P14=10,$Q14=10),1,0),0))</f>
        <v/>
      </c>
      <c r="AC14" s="4" t="str">
        <f>IF(OR(L14="",Results!L11=""),"",IF(L14=Results!L11,1+IF(OR($O14=11,$P14=11,$Q14=11),1,0),0))</f>
        <v/>
      </c>
      <c r="AD14" s="4" t="str">
        <f>IF(OR(M14="",Results!M11=""),"",IF(M14=Results!M11,1+IF(OR($O14=12,$P14=12,$Q14=12),1,0),0))</f>
        <v/>
      </c>
      <c r="AE14" s="4" t="str">
        <f>IF(OR(N14="",Results!N11=""),"",IF(N14=Results!N11,1+IF(OR($O14=13,$P14=13,$Q14=13),1,0),0))</f>
        <v/>
      </c>
      <c r="AF14" s="11">
        <f t="shared" si="0"/>
        <v>0</v>
      </c>
      <c r="AG14" s="4" t="str">
        <f>IF(OR($R14="",Results!O11=""),"",ABS($R14-Results!O11))</f>
        <v/>
      </c>
      <c r="AH14" s="12">
        <v>6</v>
      </c>
      <c r="AI14" s="13" t="str">
        <f>IF(OR(B14="",Results!B11=""),"",IF(AND(B14=Results!B11,Results!B11&lt;&gt;Games!$C$83),1,0))</f>
        <v/>
      </c>
      <c r="AJ14" s="13" t="str">
        <f>IF(OR(C14="",Results!C11=""),"",IF(AND(C14=Results!C11,Results!C11&lt;&gt;Games!$C$84),1,0))</f>
        <v/>
      </c>
      <c r="AK14" s="13" t="str">
        <f>IF(OR(D14="",Results!D11=""),"",IF(AND(D14=Results!D11,Results!D11&lt;&gt;Games!$C$85),1,0))</f>
        <v/>
      </c>
      <c r="AL14" s="13" t="str">
        <f>IF(OR(E14="",Results!E11=""),"",IF(AND(E14=Results!E11,Results!E11&lt;&gt;Games!$C$86),1,0))</f>
        <v/>
      </c>
      <c r="AM14" s="13" t="str">
        <f>IF(OR(F14="",Results!F11=""),"",IF(AND(F14=Results!F11,Results!F11&lt;&gt;Games!$C$87),1,0))</f>
        <v/>
      </c>
      <c r="AN14" s="13" t="str">
        <f>IF(OR(G14="",Results!G11=""),"",IF(AND(G14=Results!G11,Results!G11&lt;&gt;Games!$C$88),1,0))</f>
        <v/>
      </c>
      <c r="AO14" s="13" t="str">
        <f>IF(OR(H14="",Results!H11=""),"",IF(AND(H14=Results!H11,Results!H11&lt;&gt;Games!$C$89),1,0))</f>
        <v/>
      </c>
      <c r="AP14" s="13" t="str">
        <f>IF(OR(I14="",Results!I11=""),"",IF(AND(I14=Results!I11,Results!I11&lt;&gt;Games!$C$90),1,0))</f>
        <v/>
      </c>
      <c r="AQ14" s="13" t="str">
        <f>IF(OR(J14="",Results!J11=""),"",IF(AND(J14=Results!J11,Results!J11&lt;&gt;Games!$C$91),1,0))</f>
        <v/>
      </c>
      <c r="AR14" s="13" t="str">
        <f>IF(OR(K14="",Results!K11=""),"",IF(AND(K14=Results!K11,Results!K11&lt;&gt;Games!$C$92),1,0))</f>
        <v/>
      </c>
      <c r="AS14" s="13" t="str">
        <f>IF(OR(L14="",Results!L11=""),"",IF(AND(L14=Results!L11,Results!L11&lt;&gt;Games!$C$93),1,0))</f>
        <v/>
      </c>
      <c r="AT14" s="13" t="str">
        <f>IF(OR(M14="",Results!M11=""),"",IF(AND(M14=Results!M11,Results!M11&lt;&gt;Games!$C$94),1,0))</f>
        <v/>
      </c>
      <c r="AU14" s="13" t="str">
        <f>IF(OR(N14="",Results!N11=""),"",IF(AND(N14=Results!N11,Results!N11&lt;&gt;Games!$C$95),1,0))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IF(OR(B15="",Results!B11=""),"",IF(B15=Results!B11,1+IF(OR($O15=1,$P15=1,$Q15=1),1,0),0))</f>
        <v/>
      </c>
      <c r="T15" s="4" t="str">
        <f>IF(OR(C15="",Results!C11=""),"",IF(C15=Results!C11,1+IF(OR($O15=2,$P15=2,$Q15=2),1,0),0))</f>
        <v/>
      </c>
      <c r="U15" s="4" t="str">
        <f>IF(OR(D15="",Results!D11=""),"",IF(D15=Results!D11,1+IF(OR($O15=3,$P15=3,$Q15=3),1,0),0))</f>
        <v/>
      </c>
      <c r="V15" s="4" t="str">
        <f>IF(OR(E15="",Results!E11=""),"",IF(E15=Results!E11,1+IF(OR($O15=4,$P15=4,$Q15=4),1,0),0))</f>
        <v/>
      </c>
      <c r="W15" s="4" t="str">
        <f>IF(OR(F15="",Results!F11=""),"",IF(F15=Results!F11,1+IF(OR($O15=5,$P15=5,$Q15=5),1,0),0))</f>
        <v/>
      </c>
      <c r="X15" s="4" t="str">
        <f>IF(OR(G15="",Results!G11=""),"",IF(G15=Results!G11,1+IF(OR($O15=6,$P15=6,$Q15=6),1,0),0))</f>
        <v/>
      </c>
      <c r="Y15" s="4" t="str">
        <f>IF(OR(H15="",Results!H11=""),"",IF(H15=Results!H11,1+IF(OR($O15=7,$P15=7,$Q15=7),1,0),0))</f>
        <v/>
      </c>
      <c r="Z15" s="4" t="str">
        <f>IF(OR(I15="",Results!I11=""),"",IF(I15=Results!I11,1+IF(OR($O15=8,$P15=8,$Q15=8),1,0),0))</f>
        <v/>
      </c>
      <c r="AA15" s="4" t="str">
        <f>IF(OR(J15="",Results!J11=""),"",IF(J15=Results!J11,1+IF(OR($O15=9,$P15=9,$Q15=9),1,0),0))</f>
        <v/>
      </c>
      <c r="AB15" s="4" t="str">
        <f>IF(OR(K15="",Results!K11=""),"",IF(K15=Results!K11,1+IF(OR($O15=10,$P15=10,$Q15=10),1,0),0))</f>
        <v/>
      </c>
      <c r="AC15" s="4" t="str">
        <f>IF(OR(L15="",Results!L11=""),"",IF(L15=Results!L11,1+IF(OR($O15=11,$P15=11,$Q15=11),1,0),0))</f>
        <v/>
      </c>
      <c r="AD15" s="4" t="str">
        <f>IF(OR(M15="",Results!M11=""),"",IF(M15=Results!M11,1+IF(OR($O15=12,$P15=12,$Q15=12),1,0),0))</f>
        <v/>
      </c>
      <c r="AE15" s="4" t="str">
        <f>IF(OR(N15="",Results!N11=""),"",IF(N15=Results!N11,1+IF(OR($O15=13,$P15=13,$Q15=13),1,0),0))</f>
        <v/>
      </c>
      <c r="AF15" s="11">
        <f t="shared" si="0"/>
        <v>0</v>
      </c>
      <c r="AG15" s="4" t="str">
        <f>IF(OR($R15="",Results!O11=""),"",ABS($R15-Results!O11))</f>
        <v/>
      </c>
      <c r="AH15" s="12">
        <v>5</v>
      </c>
      <c r="AI15" s="13" t="str">
        <f>IF(OR(B15="",Results!B11=""),"",IF(AND(B15=Results!B11,Results!B11&lt;&gt;Games!$C$83),1,0))</f>
        <v/>
      </c>
      <c r="AJ15" s="13" t="str">
        <f>IF(OR(C15="",Results!C11=""),"",IF(AND(C15=Results!C11,Results!C11&lt;&gt;Games!$C$84),1,0))</f>
        <v/>
      </c>
      <c r="AK15" s="13" t="str">
        <f>IF(OR(D15="",Results!D11=""),"",IF(AND(D15=Results!D11,Results!D11&lt;&gt;Games!$C$85),1,0))</f>
        <v/>
      </c>
      <c r="AL15" s="13" t="str">
        <f>IF(OR(E15="",Results!E11=""),"",IF(AND(E15=Results!E11,Results!E11&lt;&gt;Games!$C$86),1,0))</f>
        <v/>
      </c>
      <c r="AM15" s="13" t="str">
        <f>IF(OR(F15="",Results!F11=""),"",IF(AND(F15=Results!F11,Results!F11&lt;&gt;Games!$C$87),1,0))</f>
        <v/>
      </c>
      <c r="AN15" s="13" t="str">
        <f>IF(OR(G15="",Results!G11=""),"",IF(AND(G15=Results!G11,Results!G11&lt;&gt;Games!$C$88),1,0))</f>
        <v/>
      </c>
      <c r="AO15" s="13" t="str">
        <f>IF(OR(H15="",Results!H11=""),"",IF(AND(H15=Results!H11,Results!H11&lt;&gt;Games!$C$89),1,0))</f>
        <v/>
      </c>
      <c r="AP15" s="13" t="str">
        <f>IF(OR(I15="",Results!I11=""),"",IF(AND(I15=Results!I11,Results!I11&lt;&gt;Games!$C$90),1,0))</f>
        <v/>
      </c>
      <c r="AQ15" s="13" t="str">
        <f>IF(OR(J15="",Results!J11=""),"",IF(AND(J15=Results!J11,Results!J11&lt;&gt;Games!$C$91),1,0))</f>
        <v/>
      </c>
      <c r="AR15" s="13" t="str">
        <f>IF(OR(K15="",Results!K11=""),"",IF(AND(K15=Results!K11,Results!K11&lt;&gt;Games!$C$92),1,0))</f>
        <v/>
      </c>
      <c r="AS15" s="13" t="str">
        <f>IF(OR(L15="",Results!L11=""),"",IF(AND(L15=Results!L11,Results!L11&lt;&gt;Games!$C$93),1,0))</f>
        <v/>
      </c>
      <c r="AT15" s="13" t="str">
        <f>IF(OR(M15="",Results!M11=""),"",IF(AND(M15=Results!M11,Results!M11&lt;&gt;Games!$C$94),1,0))</f>
        <v/>
      </c>
      <c r="AU15" s="13" t="str">
        <f>IF(OR(N15="",Results!N11=""),"",IF(AND(N15=Results!N11,Results!N11&lt;&gt;Games!$C$95),1,0))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tr">
        <f>IF(OR(B16="",Results!B11=""),"",IF(B16=Results!B11,1+IF(OR($O16=1,$P16=1,$Q16=1),1,0),0))</f>
        <v/>
      </c>
      <c r="T16" s="4" t="str">
        <f>IF(OR(C16="",Results!C11=""),"",IF(C16=Results!C11,1+IF(OR($O16=2,$P16=2,$Q16=2),1,0),0))</f>
        <v/>
      </c>
      <c r="U16" s="4" t="str">
        <f>IF(OR(D16="",Results!D11=""),"",IF(D16=Results!D11,1+IF(OR($O16=3,$P16=3,$Q16=3),1,0),0))</f>
        <v/>
      </c>
      <c r="V16" s="4" t="str">
        <f>IF(OR(E16="",Results!E11=""),"",IF(E16=Results!E11,1+IF(OR($O16=4,$P16=4,$Q16=4),1,0),0))</f>
        <v/>
      </c>
      <c r="W16" s="4" t="str">
        <f>IF(OR(F16="",Results!F11=""),"",IF(F16=Results!F11,1+IF(OR($O16=5,$P16=5,$Q16=5),1,0),0))</f>
        <v/>
      </c>
      <c r="X16" s="4" t="str">
        <f>IF(OR(G16="",Results!G11=""),"",IF(G16=Results!G11,1+IF(OR($O16=6,$P16=6,$Q16=6),1,0),0))</f>
        <v/>
      </c>
      <c r="Y16" s="4" t="str">
        <f>IF(OR(H16="",Results!H11=""),"",IF(H16=Results!H11,1+IF(OR($O16=7,$P16=7,$Q16=7),1,0),0))</f>
        <v/>
      </c>
      <c r="Z16" s="4" t="str">
        <f>IF(OR(I16="",Results!I11=""),"",IF(I16=Results!I11,1+IF(OR($O16=8,$P16=8,$Q16=8),1,0),0))</f>
        <v/>
      </c>
      <c r="AA16" s="4" t="str">
        <f>IF(OR(J16="",Results!J11=""),"",IF(J16=Results!J11,1+IF(OR($O16=9,$P16=9,$Q16=9),1,0),0))</f>
        <v/>
      </c>
      <c r="AB16" s="4" t="str">
        <f>IF(OR(K16="",Results!K11=""),"",IF(K16=Results!K11,1+IF(OR($O16=10,$P16=10,$Q16=10),1,0),0))</f>
        <v/>
      </c>
      <c r="AC16" s="4" t="str">
        <f>IF(OR(L16="",Results!L11=""),"",IF(L16=Results!L11,1+IF(OR($O16=11,$P16=11,$Q16=11),1,0),0))</f>
        <v/>
      </c>
      <c r="AD16" s="4" t="str">
        <f>IF(OR(M16="",Results!M11=""),"",IF(M16=Results!M11,1+IF(OR($O16=12,$P16=12,$Q16=12),1,0),0))</f>
        <v/>
      </c>
      <c r="AE16" s="4" t="str">
        <f>IF(OR(N16="",Results!N11=""),"",IF(N16=Results!N11,1+IF(OR($O16=13,$P16=13,$Q16=13),1,0),0))</f>
        <v/>
      </c>
      <c r="AF16" s="11">
        <f t="shared" si="0"/>
        <v>0</v>
      </c>
      <c r="AG16" s="4" t="str">
        <f>IF(OR($R16="",Results!O11=""),"",ABS($R16-Results!O11))</f>
        <v/>
      </c>
      <c r="AH16" s="12">
        <v>8</v>
      </c>
      <c r="AI16" s="13" t="str">
        <f>IF(OR(B16="",Results!B11=""),"",IF(AND(B16=Results!B11,Results!B11&lt;&gt;Games!$C$83),1,0))</f>
        <v/>
      </c>
      <c r="AJ16" s="13" t="str">
        <f>IF(OR(C16="",Results!C11=""),"",IF(AND(C16=Results!C11,Results!C11&lt;&gt;Games!$C$84),1,0))</f>
        <v/>
      </c>
      <c r="AK16" s="13" t="str">
        <f>IF(OR(D16="",Results!D11=""),"",IF(AND(D16=Results!D11,Results!D11&lt;&gt;Games!$C$85),1,0))</f>
        <v/>
      </c>
      <c r="AL16" s="13" t="str">
        <f>IF(OR(E16="",Results!E11=""),"",IF(AND(E16=Results!E11,Results!E11&lt;&gt;Games!$C$86),1,0))</f>
        <v/>
      </c>
      <c r="AM16" s="13" t="str">
        <f>IF(OR(F16="",Results!F11=""),"",IF(AND(F16=Results!F11,Results!F11&lt;&gt;Games!$C$87),1,0))</f>
        <v/>
      </c>
      <c r="AN16" s="13" t="str">
        <f>IF(OR(G16="",Results!G11=""),"",IF(AND(G16=Results!G11,Results!G11&lt;&gt;Games!$C$88),1,0))</f>
        <v/>
      </c>
      <c r="AO16" s="13" t="str">
        <f>IF(OR(H16="",Results!H11=""),"",IF(AND(H16=Results!H11,Results!H11&lt;&gt;Games!$C$89),1,0))</f>
        <v/>
      </c>
      <c r="AP16" s="13" t="str">
        <f>IF(OR(I16="",Results!I11=""),"",IF(AND(I16=Results!I11,Results!I11&lt;&gt;Games!$C$90),1,0))</f>
        <v/>
      </c>
      <c r="AQ16" s="13" t="str">
        <f>IF(OR(J16="",Results!J11=""),"",IF(AND(J16=Results!J11,Results!J11&lt;&gt;Games!$C$91),1,0))</f>
        <v/>
      </c>
      <c r="AR16" s="13" t="str">
        <f>IF(OR(K16="",Results!K11=""),"",IF(AND(K16=Results!K11,Results!K11&lt;&gt;Games!$C$92),1,0))</f>
        <v/>
      </c>
      <c r="AS16" s="13" t="str">
        <f>IF(OR(L16="",Results!L11=""),"",IF(AND(L16=Results!L11,Results!L11&lt;&gt;Games!$C$93),1,0))</f>
        <v/>
      </c>
      <c r="AT16" s="13" t="str">
        <f>IF(OR(M16="",Results!M11=""),"",IF(AND(M16=Results!M11,Results!M11&lt;&gt;Games!$C$94),1,0))</f>
        <v/>
      </c>
      <c r="AU16" s="13" t="str">
        <f>IF(OR(N16="",Results!N11=""),"",IF(AND(N16=Results!N11,Results!N11&lt;&gt;Games!$C$95),1,0))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IF(OR(B17="",Results!B11=""),"",IF(B17=Results!B11,1+IF(OR($O17=1,$P17=1,$Q17=1),1,0),0))</f>
        <v/>
      </c>
      <c r="T17" s="4" t="str">
        <f>IF(OR(C17="",Results!C11=""),"",IF(C17=Results!C11,1+IF(OR($O17=2,$P17=2,$Q17=2),1,0),0))</f>
        <v/>
      </c>
      <c r="U17" s="4" t="str">
        <f>IF(OR(D17="",Results!D11=""),"",IF(D17=Results!D11,1+IF(OR($O17=3,$P17=3,$Q17=3),1,0),0))</f>
        <v/>
      </c>
      <c r="V17" s="4" t="str">
        <f>IF(OR(E17="",Results!E11=""),"",IF(E17=Results!E11,1+IF(OR($O17=4,$P17=4,$Q17=4),1,0),0))</f>
        <v/>
      </c>
      <c r="W17" s="4" t="str">
        <f>IF(OR(F17="",Results!F11=""),"",IF(F17=Results!F11,1+IF(OR($O17=5,$P17=5,$Q17=5),1,0),0))</f>
        <v/>
      </c>
      <c r="X17" s="4" t="str">
        <f>IF(OR(G17="",Results!G11=""),"",IF(G17=Results!G11,1+IF(OR($O17=6,$P17=6,$Q17=6),1,0),0))</f>
        <v/>
      </c>
      <c r="Y17" s="4" t="str">
        <f>IF(OR(H17="",Results!H11=""),"",IF(H17=Results!H11,1+IF(OR($O17=7,$P17=7,$Q17=7),1,0),0))</f>
        <v/>
      </c>
      <c r="Z17" s="4" t="str">
        <f>IF(OR(I17="",Results!I11=""),"",IF(I17=Results!I11,1+IF(OR($O17=8,$P17=8,$Q17=8),1,0),0))</f>
        <v/>
      </c>
      <c r="AA17" s="4" t="str">
        <f>IF(OR(J17="",Results!J11=""),"",IF(J17=Results!J11,1+IF(OR($O17=9,$P17=9,$Q17=9),1,0),0))</f>
        <v/>
      </c>
      <c r="AB17" s="4" t="str">
        <f>IF(OR(K17="",Results!K11=""),"",IF(K17=Results!K11,1+IF(OR($O17=10,$P17=10,$Q17=10),1,0),0))</f>
        <v/>
      </c>
      <c r="AC17" s="4" t="str">
        <f>IF(OR(L17="",Results!L11=""),"",IF(L17=Results!L11,1+IF(OR($O17=11,$P17=11,$Q17=11),1,0),0))</f>
        <v/>
      </c>
      <c r="AD17" s="4" t="str">
        <f>IF(OR(M17="",Results!M11=""),"",IF(M17=Results!M11,1+IF(OR($O17=12,$P17=12,$Q17=12),1,0),0))</f>
        <v/>
      </c>
      <c r="AE17" s="4" t="str">
        <f>IF(OR(N17="",Results!N11=""),"",IF(N17=Results!N11,1+IF(OR($O17=13,$P17=13,$Q17=13),1,0),0))</f>
        <v/>
      </c>
      <c r="AF17" s="11">
        <f t="shared" si="0"/>
        <v>0</v>
      </c>
      <c r="AG17" s="4" t="str">
        <f>IF(OR($R17="",Results!O11=""),"",ABS($R17-Results!O11))</f>
        <v/>
      </c>
      <c r="AH17" s="12">
        <v>7</v>
      </c>
      <c r="AI17" s="13" t="str">
        <f>IF(OR(B17="",Results!B11=""),"",IF(AND(B17=Results!B11,Results!B11&lt;&gt;Games!$C$83),1,0))</f>
        <v/>
      </c>
      <c r="AJ17" s="13" t="str">
        <f>IF(OR(C17="",Results!C11=""),"",IF(AND(C17=Results!C11,Results!C11&lt;&gt;Games!$C$84),1,0))</f>
        <v/>
      </c>
      <c r="AK17" s="13" t="str">
        <f>IF(OR(D17="",Results!D11=""),"",IF(AND(D17=Results!D11,Results!D11&lt;&gt;Games!$C$85),1,0))</f>
        <v/>
      </c>
      <c r="AL17" s="13" t="str">
        <f>IF(OR(E17="",Results!E11=""),"",IF(AND(E17=Results!E11,Results!E11&lt;&gt;Games!$C$86),1,0))</f>
        <v/>
      </c>
      <c r="AM17" s="13" t="str">
        <f>IF(OR(F17="",Results!F11=""),"",IF(AND(F17=Results!F11,Results!F11&lt;&gt;Games!$C$87),1,0))</f>
        <v/>
      </c>
      <c r="AN17" s="13" t="str">
        <f>IF(OR(G17="",Results!G11=""),"",IF(AND(G17=Results!G11,Results!G11&lt;&gt;Games!$C$88),1,0))</f>
        <v/>
      </c>
      <c r="AO17" s="13" t="str">
        <f>IF(OR(H17="",Results!H11=""),"",IF(AND(H17=Results!H11,Results!H11&lt;&gt;Games!$C$89),1,0))</f>
        <v/>
      </c>
      <c r="AP17" s="13" t="str">
        <f>IF(OR(I17="",Results!I11=""),"",IF(AND(I17=Results!I11,Results!I11&lt;&gt;Games!$C$90),1,0))</f>
        <v/>
      </c>
      <c r="AQ17" s="13" t="str">
        <f>IF(OR(J17="",Results!J11=""),"",IF(AND(J17=Results!J11,Results!J11&lt;&gt;Games!$C$91),1,0))</f>
        <v/>
      </c>
      <c r="AR17" s="13" t="str">
        <f>IF(OR(K17="",Results!K11=""),"",IF(AND(K17=Results!K11,Results!K11&lt;&gt;Games!$C$92),1,0))</f>
        <v/>
      </c>
      <c r="AS17" s="13" t="str">
        <f>IF(OR(L17="",Results!L11=""),"",IF(AND(L17=Results!L11,Results!L11&lt;&gt;Games!$C$93),1,0))</f>
        <v/>
      </c>
      <c r="AT17" s="13" t="str">
        <f>IF(OR(M17="",Results!M11=""),"",IF(AND(M17=Results!M11,Results!M11&lt;&gt;Games!$C$94),1,0))</f>
        <v/>
      </c>
      <c r="AU17" s="13" t="str">
        <f>IF(OR(N17="",Results!N11=""),"",IF(AND(N17=Results!N11,Results!N11&lt;&gt;Games!$C$95),1,0))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IF(OR(B18="",Results!B11=""),"",IF(B18=Results!B11,1+IF(OR($O18=1,$P18=1,$Q18=1),1,0),0))</f>
        <v/>
      </c>
      <c r="T18" s="4" t="str">
        <f>IF(OR(C18="",Results!C11=""),"",IF(C18=Results!C11,1+IF(OR($O18=2,$P18=2,$Q18=2),1,0),0))</f>
        <v/>
      </c>
      <c r="U18" s="4" t="str">
        <f>IF(OR(D18="",Results!D11=""),"",IF(D18=Results!D11,1+IF(OR($O18=3,$P18=3,$Q18=3),1,0),0))</f>
        <v/>
      </c>
      <c r="V18" s="4" t="str">
        <f>IF(OR(E18="",Results!E11=""),"",IF(E18=Results!E11,1+IF(OR($O18=4,$P18=4,$Q18=4),1,0),0))</f>
        <v/>
      </c>
      <c r="W18" s="4" t="str">
        <f>IF(OR(F18="",Results!F11=""),"",IF(F18=Results!F11,1+IF(OR($O18=5,$P18=5,$Q18=5),1,0),0))</f>
        <v/>
      </c>
      <c r="X18" s="4" t="str">
        <f>IF(OR(G18="",Results!G11=""),"",IF(G18=Results!G11,1+IF(OR($O18=6,$P18=6,$Q18=6),1,0),0))</f>
        <v/>
      </c>
      <c r="Y18" s="4" t="str">
        <f>IF(OR(H18="",Results!H11=""),"",IF(H18=Results!H11,1+IF(OR($O18=7,$P18=7,$Q18=7),1,0),0))</f>
        <v/>
      </c>
      <c r="Z18" s="4" t="str">
        <f>IF(OR(I18="",Results!I11=""),"",IF(I18=Results!I11,1+IF(OR($O18=8,$P18=8,$Q18=8),1,0),0))</f>
        <v/>
      </c>
      <c r="AA18" s="4" t="str">
        <f>IF(OR(J18="",Results!J11=""),"",IF(J18=Results!J11,1+IF(OR($O18=9,$P18=9,$Q18=9),1,0),0))</f>
        <v/>
      </c>
      <c r="AB18" s="4" t="str">
        <f>IF(OR(K18="",Results!K11=""),"",IF(K18=Results!K11,1+IF(OR($O18=10,$P18=10,$Q18=10),1,0),0))</f>
        <v/>
      </c>
      <c r="AC18" s="4" t="str">
        <f>IF(OR(L18="",Results!L11=""),"",IF(L18=Results!L11,1+IF(OR($O18=11,$P18=11,$Q18=11),1,0),0))</f>
        <v/>
      </c>
      <c r="AD18" s="4" t="str">
        <f>IF(OR(M18="",Results!M11=""),"",IF(M18=Results!M11,1+IF(OR($O18=12,$P18=12,$Q18=12),1,0),0))</f>
        <v/>
      </c>
      <c r="AE18" s="4" t="str">
        <f>IF(OR(N18="",Results!N11=""),"",IF(N18=Results!N11,1+IF(OR($O18=13,$P18=13,$Q18=13),1,0),0))</f>
        <v/>
      </c>
      <c r="AF18" s="11">
        <f t="shared" si="0"/>
        <v>0</v>
      </c>
      <c r="AG18" s="4" t="str">
        <f>IF(OR($R18="",Results!O11=""),"",ABS($R18-Results!O11))</f>
        <v/>
      </c>
      <c r="AH18" s="12">
        <v>37</v>
      </c>
      <c r="AI18" s="13" t="str">
        <f>IF(OR(B18="",Results!B11=""),"",IF(AND(B18=Results!B11,Results!B11&lt;&gt;Games!$C$83),1,0))</f>
        <v/>
      </c>
      <c r="AJ18" s="13" t="str">
        <f>IF(OR(C18="",Results!C11=""),"",IF(AND(C18=Results!C11,Results!C11&lt;&gt;Games!$C$84),1,0))</f>
        <v/>
      </c>
      <c r="AK18" s="13" t="str">
        <f>IF(OR(D18="",Results!D11=""),"",IF(AND(D18=Results!D11,Results!D11&lt;&gt;Games!$C$85),1,0))</f>
        <v/>
      </c>
      <c r="AL18" s="13" t="str">
        <f>IF(OR(E18="",Results!E11=""),"",IF(AND(E18=Results!E11,Results!E11&lt;&gt;Games!$C$86),1,0))</f>
        <v/>
      </c>
      <c r="AM18" s="13" t="str">
        <f>IF(OR(F18="",Results!F11=""),"",IF(AND(F18=Results!F11,Results!F11&lt;&gt;Games!$C$87),1,0))</f>
        <v/>
      </c>
      <c r="AN18" s="13" t="str">
        <f>IF(OR(G18="",Results!G11=""),"",IF(AND(G18=Results!G11,Results!G11&lt;&gt;Games!$C$88),1,0))</f>
        <v/>
      </c>
      <c r="AO18" s="13" t="str">
        <f>IF(OR(H18="",Results!H11=""),"",IF(AND(H18=Results!H11,Results!H11&lt;&gt;Games!$C$89),1,0))</f>
        <v/>
      </c>
      <c r="AP18" s="13" t="str">
        <f>IF(OR(I18="",Results!I11=""),"",IF(AND(I18=Results!I11,Results!I11&lt;&gt;Games!$C$90),1,0))</f>
        <v/>
      </c>
      <c r="AQ18" s="13" t="str">
        <f>IF(OR(J18="",Results!J11=""),"",IF(AND(J18=Results!J11,Results!J11&lt;&gt;Games!$C$91),1,0))</f>
        <v/>
      </c>
      <c r="AR18" s="13" t="str">
        <f>IF(OR(K18="",Results!K11=""),"",IF(AND(K18=Results!K11,Results!K11&lt;&gt;Games!$C$92),1,0))</f>
        <v/>
      </c>
      <c r="AS18" s="13" t="str">
        <f>IF(OR(L18="",Results!L11=""),"",IF(AND(L18=Results!L11,Results!L11&lt;&gt;Games!$C$93),1,0))</f>
        <v/>
      </c>
      <c r="AT18" s="13" t="str">
        <f>IF(OR(M18="",Results!M11=""),"",IF(AND(M18=Results!M11,Results!M11&lt;&gt;Games!$C$94),1,0))</f>
        <v/>
      </c>
      <c r="AU18" s="13" t="str">
        <f>IF(OR(N18="",Results!N11=""),"",IF(AND(N18=Results!N11,Results!N11&lt;&gt;Games!$C$95),1,0))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IF(OR(B19="",Results!B11=""),"",IF(B19=Results!B11,1+IF(OR($O19=1,$P19=1,$Q19=1),1,0),0))</f>
        <v/>
      </c>
      <c r="T19" s="4" t="str">
        <f>IF(OR(C19="",Results!C11=""),"",IF(C19=Results!C11,1+IF(OR($O19=2,$P19=2,$Q19=2),1,0),0))</f>
        <v/>
      </c>
      <c r="U19" s="4" t="str">
        <f>IF(OR(D19="",Results!D11=""),"",IF(D19=Results!D11,1+IF(OR($O19=3,$P19=3,$Q19=3),1,0),0))</f>
        <v/>
      </c>
      <c r="V19" s="4" t="str">
        <f>IF(OR(E19="",Results!E11=""),"",IF(E19=Results!E11,1+IF(OR($O19=4,$P19=4,$Q19=4),1,0),0))</f>
        <v/>
      </c>
      <c r="W19" s="4" t="str">
        <f>IF(OR(F19="",Results!F11=""),"",IF(F19=Results!F11,1+IF(OR($O19=5,$P19=5,$Q19=5),1,0),0))</f>
        <v/>
      </c>
      <c r="X19" s="4" t="str">
        <f>IF(OR(G19="",Results!G11=""),"",IF(G19=Results!G11,1+IF(OR($O19=6,$P19=6,$Q19=6),1,0),0))</f>
        <v/>
      </c>
      <c r="Y19" s="4" t="str">
        <f>IF(OR(H19="",Results!H11=""),"",IF(H19=Results!H11,1+IF(OR($O19=7,$P19=7,$Q19=7),1,0),0))</f>
        <v/>
      </c>
      <c r="Z19" s="4" t="str">
        <f>IF(OR(I19="",Results!I11=""),"",IF(I19=Results!I11,1+IF(OR($O19=8,$P19=8,$Q19=8),1,0),0))</f>
        <v/>
      </c>
      <c r="AA19" s="4" t="str">
        <f>IF(OR(J19="",Results!J11=""),"",IF(J19=Results!J11,1+IF(OR($O19=9,$P19=9,$Q19=9),1,0),0))</f>
        <v/>
      </c>
      <c r="AB19" s="4" t="str">
        <f>IF(OR(K19="",Results!K11=""),"",IF(K19=Results!K11,1+IF(OR($O19=10,$P19=10,$Q19=10),1,0),0))</f>
        <v/>
      </c>
      <c r="AC19" s="4" t="str">
        <f>IF(OR(L19="",Results!L11=""),"",IF(L19=Results!L11,1+IF(OR($O19=11,$P19=11,$Q19=11),1,0),0))</f>
        <v/>
      </c>
      <c r="AD19" s="4" t="str">
        <f>IF(OR(M19="",Results!M11=""),"",IF(M19=Results!M11,1+IF(OR($O19=12,$P19=12,$Q19=12),1,0),0))</f>
        <v/>
      </c>
      <c r="AE19" s="4" t="str">
        <f>IF(OR(N19="",Results!N11=""),"",IF(N19=Results!N11,1+IF(OR($O19=13,$P19=13,$Q19=13),1,0),0))</f>
        <v/>
      </c>
      <c r="AF19" s="11">
        <f t="shared" si="0"/>
        <v>0</v>
      </c>
      <c r="AG19" s="4" t="str">
        <f>IF(OR($R19="",Results!O11=""),"",ABS($R19-Results!O11))</f>
        <v/>
      </c>
      <c r="AH19" s="12">
        <v>26</v>
      </c>
      <c r="AI19" s="13" t="str">
        <f>IF(OR(B19="",Results!B11=""),"",IF(AND(B19=Results!B11,Results!B11&lt;&gt;Games!$C$83),1,0))</f>
        <v/>
      </c>
      <c r="AJ19" s="13" t="str">
        <f>IF(OR(C19="",Results!C11=""),"",IF(AND(C19=Results!C11,Results!C11&lt;&gt;Games!$C$84),1,0))</f>
        <v/>
      </c>
      <c r="AK19" s="13" t="str">
        <f>IF(OR(D19="",Results!D11=""),"",IF(AND(D19=Results!D11,Results!D11&lt;&gt;Games!$C$85),1,0))</f>
        <v/>
      </c>
      <c r="AL19" s="13" t="str">
        <f>IF(OR(E19="",Results!E11=""),"",IF(AND(E19=Results!E11,Results!E11&lt;&gt;Games!$C$86),1,0))</f>
        <v/>
      </c>
      <c r="AM19" s="13" t="str">
        <f>IF(OR(F19="",Results!F11=""),"",IF(AND(F19=Results!F11,Results!F11&lt;&gt;Games!$C$87),1,0))</f>
        <v/>
      </c>
      <c r="AN19" s="13" t="str">
        <f>IF(OR(G19="",Results!G11=""),"",IF(AND(G19=Results!G11,Results!G11&lt;&gt;Games!$C$88),1,0))</f>
        <v/>
      </c>
      <c r="AO19" s="13" t="str">
        <f>IF(OR(H19="",Results!H11=""),"",IF(AND(H19=Results!H11,Results!H11&lt;&gt;Games!$C$89),1,0))</f>
        <v/>
      </c>
      <c r="AP19" s="13" t="str">
        <f>IF(OR(I19="",Results!I11=""),"",IF(AND(I19=Results!I11,Results!I11&lt;&gt;Games!$C$90),1,0))</f>
        <v/>
      </c>
      <c r="AQ19" s="13" t="str">
        <f>IF(OR(J19="",Results!J11=""),"",IF(AND(J19=Results!J11,Results!J11&lt;&gt;Games!$C$91),1,0))</f>
        <v/>
      </c>
      <c r="AR19" s="13" t="str">
        <f>IF(OR(K19="",Results!K11=""),"",IF(AND(K19=Results!K11,Results!K11&lt;&gt;Games!$C$92),1,0))</f>
        <v/>
      </c>
      <c r="AS19" s="13" t="str">
        <f>IF(OR(L19="",Results!L11=""),"",IF(AND(L19=Results!L11,Results!L11&lt;&gt;Games!$C$93),1,0))</f>
        <v/>
      </c>
      <c r="AT19" s="13" t="str">
        <f>IF(OR(M19="",Results!M11=""),"",IF(AND(M19=Results!M11,Results!M11&lt;&gt;Games!$C$94),1,0))</f>
        <v/>
      </c>
      <c r="AU19" s="13" t="str">
        <f>IF(OR(N19="",Results!N11=""),"",IF(AND(N19=Results!N11,Results!N11&lt;&gt;Games!$C$95),1,0))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 t="str">
        <f>IF(OR(B20="",Results!B11=""),"",IF(B20=Results!B11,1+IF(OR($O20=1,$P20=1,$Q20=1),1,0),0))</f>
        <v/>
      </c>
      <c r="T20" s="4" t="str">
        <f>IF(OR(C20="",Results!C11=""),"",IF(C20=Results!C11,1+IF(OR($O20=2,$P20=2,$Q20=2),1,0),0))</f>
        <v/>
      </c>
      <c r="U20" s="4" t="str">
        <f>IF(OR(D20="",Results!D11=""),"",IF(D20=Results!D11,1+IF(OR($O20=3,$P20=3,$Q20=3),1,0),0))</f>
        <v/>
      </c>
      <c r="V20" s="4" t="str">
        <f>IF(OR(E20="",Results!E11=""),"",IF(E20=Results!E11,1+IF(OR($O20=4,$P20=4,$Q20=4),1,0),0))</f>
        <v/>
      </c>
      <c r="W20" s="4" t="str">
        <f>IF(OR(F20="",Results!F11=""),"",IF(F20=Results!F11,1+IF(OR($O20=5,$P20=5,$Q20=5),1,0),0))</f>
        <v/>
      </c>
      <c r="X20" s="4" t="str">
        <f>IF(OR(G20="",Results!G11=""),"",IF(G20=Results!G11,1+IF(OR($O20=6,$P20=6,$Q20=6),1,0),0))</f>
        <v/>
      </c>
      <c r="Y20" s="4" t="str">
        <f>IF(OR(H20="",Results!H11=""),"",IF(H20=Results!H11,1+IF(OR($O20=7,$P20=7,$Q20=7),1,0),0))</f>
        <v/>
      </c>
      <c r="Z20" s="4" t="str">
        <f>IF(OR(I20="",Results!I11=""),"",IF(I20=Results!I11,1+IF(OR($O20=8,$P20=8,$Q20=8),1,0),0))</f>
        <v/>
      </c>
      <c r="AA20" s="4" t="str">
        <f>IF(OR(J20="",Results!J11=""),"",IF(J20=Results!J11,1+IF(OR($O20=9,$P20=9,$Q20=9),1,0),0))</f>
        <v/>
      </c>
      <c r="AB20" s="4" t="str">
        <f>IF(OR(K20="",Results!K11=""),"",IF(K20=Results!K11,1+IF(OR($O20=10,$P20=10,$Q20=10),1,0),0))</f>
        <v/>
      </c>
      <c r="AC20" s="4" t="str">
        <f>IF(OR(L20="",Results!L11=""),"",IF(L20=Results!L11,1+IF(OR($O20=11,$P20=11,$Q20=11),1,0),0))</f>
        <v/>
      </c>
      <c r="AD20" s="4" t="str">
        <f>IF(OR(M20="",Results!M11=""),"",IF(M20=Results!M11,1+IF(OR($O20=12,$P20=12,$Q20=12),1,0),0))</f>
        <v/>
      </c>
      <c r="AE20" s="4" t="str">
        <f>IF(OR(N20="",Results!N11=""),"",IF(N20=Results!N11,1+IF(OR($O20=13,$P20=13,$Q20=13),1,0),0))</f>
        <v/>
      </c>
      <c r="AF20" s="11">
        <f t="shared" si="0"/>
        <v>0</v>
      </c>
      <c r="AG20" s="4" t="str">
        <f>IF(OR($R20="",Results!O11=""),"",ABS($R20-Results!O11))</f>
        <v/>
      </c>
      <c r="AH20" s="12">
        <v>52</v>
      </c>
      <c r="AI20" s="13" t="str">
        <f>IF(OR(B20="",Results!B11=""),"",IF(AND(B20=Results!B11,Results!B11&lt;&gt;Games!$C$83),1,0))</f>
        <v/>
      </c>
      <c r="AJ20" s="13" t="str">
        <f>IF(OR(C20="",Results!C11=""),"",IF(AND(C20=Results!C11,Results!C11&lt;&gt;Games!$C$84),1,0))</f>
        <v/>
      </c>
      <c r="AK20" s="13" t="str">
        <f>IF(OR(D20="",Results!D11=""),"",IF(AND(D20=Results!D11,Results!D11&lt;&gt;Games!$C$85),1,0))</f>
        <v/>
      </c>
      <c r="AL20" s="13" t="str">
        <f>IF(OR(E20="",Results!E11=""),"",IF(AND(E20=Results!E11,Results!E11&lt;&gt;Games!$C$86),1,0))</f>
        <v/>
      </c>
      <c r="AM20" s="13" t="str">
        <f>IF(OR(F20="",Results!F11=""),"",IF(AND(F20=Results!F11,Results!F11&lt;&gt;Games!$C$87),1,0))</f>
        <v/>
      </c>
      <c r="AN20" s="13" t="str">
        <f>IF(OR(G20="",Results!G11=""),"",IF(AND(G20=Results!G11,Results!G11&lt;&gt;Games!$C$88),1,0))</f>
        <v/>
      </c>
      <c r="AO20" s="13" t="str">
        <f>IF(OR(H20="",Results!H11=""),"",IF(AND(H20=Results!H11,Results!H11&lt;&gt;Games!$C$89),1,0))</f>
        <v/>
      </c>
      <c r="AP20" s="13" t="str">
        <f>IF(OR(I20="",Results!I11=""),"",IF(AND(I20=Results!I11,Results!I11&lt;&gt;Games!$C$90),1,0))</f>
        <v/>
      </c>
      <c r="AQ20" s="13" t="str">
        <f>IF(OR(J20="",Results!J11=""),"",IF(AND(J20=Results!J11,Results!J11&lt;&gt;Games!$C$91),1,0))</f>
        <v/>
      </c>
      <c r="AR20" s="13" t="str">
        <f>IF(OR(K20="",Results!K11=""),"",IF(AND(K20=Results!K11,Results!K11&lt;&gt;Games!$C$92),1,0))</f>
        <v/>
      </c>
      <c r="AS20" s="13" t="str">
        <f>IF(OR(L20="",Results!L11=""),"",IF(AND(L20=Results!L11,Results!L11&lt;&gt;Games!$C$93),1,0))</f>
        <v/>
      </c>
      <c r="AT20" s="13" t="str">
        <f>IF(OR(M20="",Results!M11=""),"",IF(AND(M20=Results!M11,Results!M11&lt;&gt;Games!$C$94),1,0))</f>
        <v/>
      </c>
      <c r="AU20" s="13" t="str">
        <f>IF(OR(N20="",Results!N11=""),"",IF(AND(N20=Results!N11,Results!N11&lt;&gt;Games!$C$95),1,0))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 t="str">
        <f>IF(OR(B21="",Results!B11=""),"",IF(B21=Results!B11,1+IF(OR($O21=1,$P21=1,$Q21=1),1,0),0))</f>
        <v/>
      </c>
      <c r="T21" s="4" t="str">
        <f>IF(OR(C21="",Results!C11=""),"",IF(C21=Results!C11,1+IF(OR($O21=2,$P21=2,$Q21=2),1,0),0))</f>
        <v/>
      </c>
      <c r="U21" s="4" t="str">
        <f>IF(OR(D21="",Results!D11=""),"",IF(D21=Results!D11,1+IF(OR($O21=3,$P21=3,$Q21=3),1,0),0))</f>
        <v/>
      </c>
      <c r="V21" s="4" t="str">
        <f>IF(OR(E21="",Results!E11=""),"",IF(E21=Results!E11,1+IF(OR($O21=4,$P21=4,$Q21=4),1,0),0))</f>
        <v/>
      </c>
      <c r="W21" s="4" t="str">
        <f>IF(OR(F21="",Results!F11=""),"",IF(F21=Results!F11,1+IF(OR($O21=5,$P21=5,$Q21=5),1,0),0))</f>
        <v/>
      </c>
      <c r="X21" s="4" t="str">
        <f>IF(OR(G21="",Results!G11=""),"",IF(G21=Results!G11,1+IF(OR($O21=6,$P21=6,$Q21=6),1,0),0))</f>
        <v/>
      </c>
      <c r="Y21" s="4" t="str">
        <f>IF(OR(H21="",Results!H11=""),"",IF(H21=Results!H11,1+IF(OR($O21=7,$P21=7,$Q21=7),1,0),0))</f>
        <v/>
      </c>
      <c r="Z21" s="4" t="str">
        <f>IF(OR(I21="",Results!I11=""),"",IF(I21=Results!I11,1+IF(OR($O21=8,$P21=8,$Q21=8),1,0),0))</f>
        <v/>
      </c>
      <c r="AA21" s="4" t="str">
        <f>IF(OR(J21="",Results!J11=""),"",IF(J21=Results!J11,1+IF(OR($O21=9,$P21=9,$Q21=9),1,0),0))</f>
        <v/>
      </c>
      <c r="AB21" s="4" t="str">
        <f>IF(OR(K21="",Results!K11=""),"",IF(K21=Results!K11,1+IF(OR($O21=10,$P21=10,$Q21=10),1,0),0))</f>
        <v/>
      </c>
      <c r="AC21" s="4" t="str">
        <f>IF(OR(L21="",Results!L11=""),"",IF(L21=Results!L11,1+IF(OR($O21=11,$P21=11,$Q21=11),1,0),0))</f>
        <v/>
      </c>
      <c r="AD21" s="4" t="str">
        <f>IF(OR(M21="",Results!M11=""),"",IF(M21=Results!M11,1+IF(OR($O21=12,$P21=12,$Q21=12),1,0),0))</f>
        <v/>
      </c>
      <c r="AE21" s="4" t="str">
        <f>IF(OR(N21="",Results!N11=""),"",IF(N21=Results!N11,1+IF(OR($O21=13,$P21=13,$Q21=13),1,0),0))</f>
        <v/>
      </c>
      <c r="AF21" s="11">
        <f t="shared" si="0"/>
        <v>0</v>
      </c>
      <c r="AG21" s="4" t="str">
        <f>IF(OR($R21="",Results!O11=""),"",ABS($R21-Results!O11))</f>
        <v/>
      </c>
      <c r="AH21" s="12">
        <v>9</v>
      </c>
      <c r="AI21" s="13" t="str">
        <f>IF(OR(B21="",Results!B11=""),"",IF(AND(B21=Results!B11,Results!B11&lt;&gt;Games!$C$83),1,0))</f>
        <v/>
      </c>
      <c r="AJ21" s="13" t="str">
        <f>IF(OR(C21="",Results!C11=""),"",IF(AND(C21=Results!C11,Results!C11&lt;&gt;Games!$C$84),1,0))</f>
        <v/>
      </c>
      <c r="AK21" s="13" t="str">
        <f>IF(OR(D21="",Results!D11=""),"",IF(AND(D21=Results!D11,Results!D11&lt;&gt;Games!$C$85),1,0))</f>
        <v/>
      </c>
      <c r="AL21" s="13" t="str">
        <f>IF(OR(E21="",Results!E11=""),"",IF(AND(E21=Results!E11,Results!E11&lt;&gt;Games!$C$86),1,0))</f>
        <v/>
      </c>
      <c r="AM21" s="13" t="str">
        <f>IF(OR(F21="",Results!F11=""),"",IF(AND(F21=Results!F11,Results!F11&lt;&gt;Games!$C$87),1,0))</f>
        <v/>
      </c>
      <c r="AN21" s="13" t="str">
        <f>IF(OR(G21="",Results!G11=""),"",IF(AND(G21=Results!G11,Results!G11&lt;&gt;Games!$C$88),1,0))</f>
        <v/>
      </c>
      <c r="AO21" s="13" t="str">
        <f>IF(OR(H21="",Results!H11=""),"",IF(AND(H21=Results!H11,Results!H11&lt;&gt;Games!$C$89),1,0))</f>
        <v/>
      </c>
      <c r="AP21" s="13" t="str">
        <f>IF(OR(I21="",Results!I11=""),"",IF(AND(I21=Results!I11,Results!I11&lt;&gt;Games!$C$90),1,0))</f>
        <v/>
      </c>
      <c r="AQ21" s="13" t="str">
        <f>IF(OR(J21="",Results!J11=""),"",IF(AND(J21=Results!J11,Results!J11&lt;&gt;Games!$C$91),1,0))</f>
        <v/>
      </c>
      <c r="AR21" s="13" t="str">
        <f>IF(OR(K21="",Results!K11=""),"",IF(AND(K21=Results!K11,Results!K11&lt;&gt;Games!$C$92),1,0))</f>
        <v/>
      </c>
      <c r="AS21" s="13" t="str">
        <f>IF(OR(L21="",Results!L11=""),"",IF(AND(L21=Results!L11,Results!L11&lt;&gt;Games!$C$93),1,0))</f>
        <v/>
      </c>
      <c r="AT21" s="13" t="str">
        <f>IF(OR(M21="",Results!M11=""),"",IF(AND(M21=Results!M11,Results!M11&lt;&gt;Games!$C$94),1,0))</f>
        <v/>
      </c>
      <c r="AU21" s="13" t="str">
        <f>IF(OR(N21="",Results!N11=""),"",IF(AND(N21=Results!N11,Results!N11&lt;&gt;Games!$C$95),1,0))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 t="str">
        <f>IF(OR(B22="",Results!B11=""),"",IF(B22=Results!B11,1+IF(OR($O22=1,$P22=1,$Q22=1),1,0),0))</f>
        <v/>
      </c>
      <c r="T22" s="4" t="str">
        <f>IF(OR(C22="",Results!C11=""),"",IF(C22=Results!C11,1+IF(OR($O22=2,$P22=2,$Q22=2),1,0),0))</f>
        <v/>
      </c>
      <c r="U22" s="4" t="str">
        <f>IF(OR(D22="",Results!D11=""),"",IF(D22=Results!D11,1+IF(OR($O22=3,$P22=3,$Q22=3),1,0),0))</f>
        <v/>
      </c>
      <c r="V22" s="4" t="str">
        <f>IF(OR(E22="",Results!E11=""),"",IF(E22=Results!E11,1+IF(OR($O22=4,$P22=4,$Q22=4),1,0),0))</f>
        <v/>
      </c>
      <c r="W22" s="4" t="str">
        <f>IF(OR(F22="",Results!F11=""),"",IF(F22=Results!F11,1+IF(OR($O22=5,$P22=5,$Q22=5),1,0),0))</f>
        <v/>
      </c>
      <c r="X22" s="4" t="str">
        <f>IF(OR(G22="",Results!G11=""),"",IF(G22=Results!G11,1+IF(OR($O22=6,$P22=6,$Q22=6),1,0),0))</f>
        <v/>
      </c>
      <c r="Y22" s="4" t="str">
        <f>IF(OR(H22="",Results!H11=""),"",IF(H22=Results!H11,1+IF(OR($O22=7,$P22=7,$Q22=7),1,0),0))</f>
        <v/>
      </c>
      <c r="Z22" s="4" t="str">
        <f>IF(OR(I22="",Results!I11=""),"",IF(I22=Results!I11,1+IF(OR($O22=8,$P22=8,$Q22=8),1,0),0))</f>
        <v/>
      </c>
      <c r="AA22" s="4" t="str">
        <f>IF(OR(J22="",Results!J11=""),"",IF(J22=Results!J11,1+IF(OR($O22=9,$P22=9,$Q22=9),1,0),0))</f>
        <v/>
      </c>
      <c r="AB22" s="4" t="str">
        <f>IF(OR(K22="",Results!K11=""),"",IF(K22=Results!K11,1+IF(OR($O22=10,$P22=10,$Q22=10),1,0),0))</f>
        <v/>
      </c>
      <c r="AC22" s="4" t="str">
        <f>IF(OR(L22="",Results!L11=""),"",IF(L22=Results!L11,1+IF(OR($O22=11,$P22=11,$Q22=11),1,0),0))</f>
        <v/>
      </c>
      <c r="AD22" s="4" t="str">
        <f>IF(OR(M22="",Results!M11=""),"",IF(M22=Results!M11,1+IF(OR($O22=12,$P22=12,$Q22=12),1,0),0))</f>
        <v/>
      </c>
      <c r="AE22" s="4" t="str">
        <f>IF(OR(N22="",Results!N11=""),"",IF(N22=Results!N11,1+IF(OR($O22=13,$P22=13,$Q22=13),1,0),0))</f>
        <v/>
      </c>
      <c r="AF22" s="11">
        <f t="shared" si="0"/>
        <v>0</v>
      </c>
      <c r="AG22" s="4" t="str">
        <f>IF(OR($R22="",Results!O11=""),"",ABS($R22-Results!O11))</f>
        <v/>
      </c>
      <c r="AH22" s="12">
        <v>10</v>
      </c>
      <c r="AI22" s="13" t="str">
        <f>IF(OR(B22="",Results!B11=""),"",IF(AND(B22=Results!B11,Results!B11&lt;&gt;Games!$C$83),1,0))</f>
        <v/>
      </c>
      <c r="AJ22" s="13" t="str">
        <f>IF(OR(C22="",Results!C11=""),"",IF(AND(C22=Results!C11,Results!C11&lt;&gt;Games!$C$84),1,0))</f>
        <v/>
      </c>
      <c r="AK22" s="13" t="str">
        <f>IF(OR(D22="",Results!D11=""),"",IF(AND(D22=Results!D11,Results!D11&lt;&gt;Games!$C$85),1,0))</f>
        <v/>
      </c>
      <c r="AL22" s="13" t="str">
        <f>IF(OR(E22="",Results!E11=""),"",IF(AND(E22=Results!E11,Results!E11&lt;&gt;Games!$C$86),1,0))</f>
        <v/>
      </c>
      <c r="AM22" s="13" t="str">
        <f>IF(OR(F22="",Results!F11=""),"",IF(AND(F22=Results!F11,Results!F11&lt;&gt;Games!$C$87),1,0))</f>
        <v/>
      </c>
      <c r="AN22" s="13" t="str">
        <f>IF(OR(G22="",Results!G11=""),"",IF(AND(G22=Results!G11,Results!G11&lt;&gt;Games!$C$88),1,0))</f>
        <v/>
      </c>
      <c r="AO22" s="13" t="str">
        <f>IF(OR(H22="",Results!H11=""),"",IF(AND(H22=Results!H11,Results!H11&lt;&gt;Games!$C$89),1,0))</f>
        <v/>
      </c>
      <c r="AP22" s="13" t="str">
        <f>IF(OR(I22="",Results!I11=""),"",IF(AND(I22=Results!I11,Results!I11&lt;&gt;Games!$C$90),1,0))</f>
        <v/>
      </c>
      <c r="AQ22" s="13" t="str">
        <f>IF(OR(J22="",Results!J11=""),"",IF(AND(J22=Results!J11,Results!J11&lt;&gt;Games!$C$91),1,0))</f>
        <v/>
      </c>
      <c r="AR22" s="13" t="str">
        <f>IF(OR(K22="",Results!K11=""),"",IF(AND(K22=Results!K11,Results!K11&lt;&gt;Games!$C$92),1,0))</f>
        <v/>
      </c>
      <c r="AS22" s="13" t="str">
        <f>IF(OR(L22="",Results!L11=""),"",IF(AND(L22=Results!L11,Results!L11&lt;&gt;Games!$C$93),1,0))</f>
        <v/>
      </c>
      <c r="AT22" s="13" t="str">
        <f>IF(OR(M22="",Results!M11=""),"",IF(AND(M22=Results!M11,Results!M11&lt;&gt;Games!$C$94),1,0))</f>
        <v/>
      </c>
      <c r="AU22" s="13" t="str">
        <f>IF(OR(N22="",Results!N11=""),"",IF(AND(N22=Results!N11,Results!N11&lt;&gt;Games!$C$95),1,0))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 t="str">
        <f>IF(OR(B23="",Results!B11=""),"",IF(B23=Results!B11,1+IF(OR($O23=1,$P23=1,$Q23=1),1,0),0))</f>
        <v/>
      </c>
      <c r="T23" s="4" t="str">
        <f>IF(OR(C23="",Results!C11=""),"",IF(C23=Results!C11,1+IF(OR($O23=2,$P23=2,$Q23=2),1,0),0))</f>
        <v/>
      </c>
      <c r="U23" s="4" t="str">
        <f>IF(OR(D23="",Results!D11=""),"",IF(D23=Results!D11,1+IF(OR($O23=3,$P23=3,$Q23=3),1,0),0))</f>
        <v/>
      </c>
      <c r="V23" s="4" t="str">
        <f>IF(OR(E23="",Results!E11=""),"",IF(E23=Results!E11,1+IF(OR($O23=4,$P23=4,$Q23=4),1,0),0))</f>
        <v/>
      </c>
      <c r="W23" s="4" t="str">
        <f>IF(OR(F23="",Results!F11=""),"",IF(F23=Results!F11,1+IF(OR($O23=5,$P23=5,$Q23=5),1,0),0))</f>
        <v/>
      </c>
      <c r="X23" s="4" t="str">
        <f>IF(OR(G23="",Results!G11=""),"",IF(G23=Results!G11,1+IF(OR($O23=6,$P23=6,$Q23=6),1,0),0))</f>
        <v/>
      </c>
      <c r="Y23" s="4" t="str">
        <f>IF(OR(H23="",Results!H11=""),"",IF(H23=Results!H11,1+IF(OR($O23=7,$P23=7,$Q23=7),1,0),0))</f>
        <v/>
      </c>
      <c r="Z23" s="4" t="str">
        <f>IF(OR(I23="",Results!I11=""),"",IF(I23=Results!I11,1+IF(OR($O23=8,$P23=8,$Q23=8),1,0),0))</f>
        <v/>
      </c>
      <c r="AA23" s="4" t="str">
        <f>IF(OR(J23="",Results!J11=""),"",IF(J23=Results!J11,1+IF(OR($O23=9,$P23=9,$Q23=9),1,0),0))</f>
        <v/>
      </c>
      <c r="AB23" s="4" t="str">
        <f>IF(OR(K23="",Results!K11=""),"",IF(K23=Results!K11,1+IF(OR($O23=10,$P23=10,$Q23=10),1,0),0))</f>
        <v/>
      </c>
      <c r="AC23" s="4" t="str">
        <f>IF(OR(L23="",Results!L11=""),"",IF(L23=Results!L11,1+IF(OR($O23=11,$P23=11,$Q23=11),1,0),0))</f>
        <v/>
      </c>
      <c r="AD23" s="4" t="str">
        <f>IF(OR(M23="",Results!M11=""),"",IF(M23=Results!M11,1+IF(OR($O23=12,$P23=12,$Q23=12),1,0),0))</f>
        <v/>
      </c>
      <c r="AE23" s="4" t="str">
        <f>IF(OR(N23="",Results!N11=""),"",IF(N23=Results!N11,1+IF(OR($O23=13,$P23=13,$Q23=13),1,0),0))</f>
        <v/>
      </c>
      <c r="AF23" s="11">
        <f t="shared" si="0"/>
        <v>0</v>
      </c>
      <c r="AG23" s="4" t="str">
        <f>IF(OR($R23="",Results!O11=""),"",ABS($R23-Results!O11))</f>
        <v/>
      </c>
      <c r="AH23" s="12">
        <v>55</v>
      </c>
      <c r="AI23" s="13" t="str">
        <f>IF(OR(B23="",Results!B11=""),"",IF(AND(B23=Results!B11,Results!B11&lt;&gt;Games!$C$83),1,0))</f>
        <v/>
      </c>
      <c r="AJ23" s="13" t="str">
        <f>IF(OR(C23="",Results!C11=""),"",IF(AND(C23=Results!C11,Results!C11&lt;&gt;Games!$C$84),1,0))</f>
        <v/>
      </c>
      <c r="AK23" s="13" t="str">
        <f>IF(OR(D23="",Results!D11=""),"",IF(AND(D23=Results!D11,Results!D11&lt;&gt;Games!$C$85),1,0))</f>
        <v/>
      </c>
      <c r="AL23" s="13" t="str">
        <f>IF(OR(E23="",Results!E11=""),"",IF(AND(E23=Results!E11,Results!E11&lt;&gt;Games!$C$86),1,0))</f>
        <v/>
      </c>
      <c r="AM23" s="13" t="str">
        <f>IF(OR(F23="",Results!F11=""),"",IF(AND(F23=Results!F11,Results!F11&lt;&gt;Games!$C$87),1,0))</f>
        <v/>
      </c>
      <c r="AN23" s="13" t="str">
        <f>IF(OR(G23="",Results!G11=""),"",IF(AND(G23=Results!G11,Results!G11&lt;&gt;Games!$C$88),1,0))</f>
        <v/>
      </c>
      <c r="AO23" s="13" t="str">
        <f>IF(OR(H23="",Results!H11=""),"",IF(AND(H23=Results!H11,Results!H11&lt;&gt;Games!$C$89),1,0))</f>
        <v/>
      </c>
      <c r="AP23" s="13" t="str">
        <f>IF(OR(I23="",Results!I11=""),"",IF(AND(I23=Results!I11,Results!I11&lt;&gt;Games!$C$90),1,0))</f>
        <v/>
      </c>
      <c r="AQ23" s="13" t="str">
        <f>IF(OR(J23="",Results!J11=""),"",IF(AND(J23=Results!J11,Results!J11&lt;&gt;Games!$C$91),1,0))</f>
        <v/>
      </c>
      <c r="AR23" s="13" t="str">
        <f>IF(OR(K23="",Results!K11=""),"",IF(AND(K23=Results!K11,Results!K11&lt;&gt;Games!$C$92),1,0))</f>
        <v/>
      </c>
      <c r="AS23" s="13" t="str">
        <f>IF(OR(L23="",Results!L11=""),"",IF(AND(L23=Results!L11,Results!L11&lt;&gt;Games!$C$93),1,0))</f>
        <v/>
      </c>
      <c r="AT23" s="13" t="str">
        <f>IF(OR(M23="",Results!M11=""),"",IF(AND(M23=Results!M11,Results!M11&lt;&gt;Games!$C$94),1,0))</f>
        <v/>
      </c>
      <c r="AU23" s="13" t="str">
        <f>IF(OR(N23="",Results!N11=""),"",IF(AND(N23=Results!N11,Results!N11&lt;&gt;Games!$C$95),1,0))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IF(OR(B24="",Results!B11=""),"",IF(B24=Results!B11,1+IF(OR($O24=1,$P24=1,$Q24=1),1,0),0))</f>
        <v/>
      </c>
      <c r="T24" s="4" t="str">
        <f>IF(OR(C24="",Results!C11=""),"",IF(C24=Results!C11,1+IF(OR($O24=2,$P24=2,$Q24=2),1,0),0))</f>
        <v/>
      </c>
      <c r="U24" s="4" t="str">
        <f>IF(OR(D24="",Results!D11=""),"",IF(D24=Results!D11,1+IF(OR($O24=3,$P24=3,$Q24=3),1,0),0))</f>
        <v/>
      </c>
      <c r="V24" s="4" t="str">
        <f>IF(OR(E24="",Results!E11=""),"",IF(E24=Results!E11,1+IF(OR($O24=4,$P24=4,$Q24=4),1,0),0))</f>
        <v/>
      </c>
      <c r="W24" s="4" t="str">
        <f>IF(OR(F24="",Results!F11=""),"",IF(F24=Results!F11,1+IF(OR($O24=5,$P24=5,$Q24=5),1,0),0))</f>
        <v/>
      </c>
      <c r="X24" s="4" t="str">
        <f>IF(OR(G24="",Results!G11=""),"",IF(G24=Results!G11,1+IF(OR($O24=6,$P24=6,$Q24=6),1,0),0))</f>
        <v/>
      </c>
      <c r="Y24" s="4" t="str">
        <f>IF(OR(H24="",Results!H11=""),"",IF(H24=Results!H11,1+IF(OR($O24=7,$P24=7,$Q24=7),1,0),0))</f>
        <v/>
      </c>
      <c r="Z24" s="4" t="str">
        <f>IF(OR(I24="",Results!I11=""),"",IF(I24=Results!I11,1+IF(OR($O24=8,$P24=8,$Q24=8),1,0),0))</f>
        <v/>
      </c>
      <c r="AA24" s="4" t="str">
        <f>IF(OR(J24="",Results!J11=""),"",IF(J24=Results!J11,1+IF(OR($O24=9,$P24=9,$Q24=9),1,0),0))</f>
        <v/>
      </c>
      <c r="AB24" s="4" t="str">
        <f>IF(OR(K24="",Results!K11=""),"",IF(K24=Results!K11,1+IF(OR($O24=10,$P24=10,$Q24=10),1,0),0))</f>
        <v/>
      </c>
      <c r="AC24" s="4" t="str">
        <f>IF(OR(L24="",Results!L11=""),"",IF(L24=Results!L11,1+IF(OR($O24=11,$P24=11,$Q24=11),1,0),0))</f>
        <v/>
      </c>
      <c r="AD24" s="4" t="str">
        <f>IF(OR(M24="",Results!M11=""),"",IF(M24=Results!M11,1+IF(OR($O24=12,$P24=12,$Q24=12),1,0),0))</f>
        <v/>
      </c>
      <c r="AE24" s="4" t="str">
        <f>IF(OR(N24="",Results!N11=""),"",IF(N24=Results!N11,1+IF(OR($O24=13,$P24=13,$Q24=13),1,0),0))</f>
        <v/>
      </c>
      <c r="AF24" s="11">
        <f t="shared" si="0"/>
        <v>0</v>
      </c>
      <c r="AG24" s="4" t="str">
        <f>IF(OR($R24="",Results!O11=""),"",ABS($R24-Results!O11))</f>
        <v/>
      </c>
      <c r="AH24" s="12">
        <v>47</v>
      </c>
      <c r="AI24" s="13" t="str">
        <f>IF(OR(B24="",Results!B11=""),"",IF(AND(B24=Results!B11,Results!B11&lt;&gt;Games!$C$83),1,0))</f>
        <v/>
      </c>
      <c r="AJ24" s="13" t="str">
        <f>IF(OR(C24="",Results!C11=""),"",IF(AND(C24=Results!C11,Results!C11&lt;&gt;Games!$C$84),1,0))</f>
        <v/>
      </c>
      <c r="AK24" s="13" t="str">
        <f>IF(OR(D24="",Results!D11=""),"",IF(AND(D24=Results!D11,Results!D11&lt;&gt;Games!$C$85),1,0))</f>
        <v/>
      </c>
      <c r="AL24" s="13" t="str">
        <f>IF(OR(E24="",Results!E11=""),"",IF(AND(E24=Results!E11,Results!E11&lt;&gt;Games!$C$86),1,0))</f>
        <v/>
      </c>
      <c r="AM24" s="13" t="str">
        <f>IF(OR(F24="",Results!F11=""),"",IF(AND(F24=Results!F11,Results!F11&lt;&gt;Games!$C$87),1,0))</f>
        <v/>
      </c>
      <c r="AN24" s="13" t="str">
        <f>IF(OR(G24="",Results!G11=""),"",IF(AND(G24=Results!G11,Results!G11&lt;&gt;Games!$C$88),1,0))</f>
        <v/>
      </c>
      <c r="AO24" s="13" t="str">
        <f>IF(OR(H24="",Results!H11=""),"",IF(AND(H24=Results!H11,Results!H11&lt;&gt;Games!$C$89),1,0))</f>
        <v/>
      </c>
      <c r="AP24" s="13" t="str">
        <f>IF(OR(I24="",Results!I11=""),"",IF(AND(I24=Results!I11,Results!I11&lt;&gt;Games!$C$90),1,0))</f>
        <v/>
      </c>
      <c r="AQ24" s="13" t="str">
        <f>IF(OR(J24="",Results!J11=""),"",IF(AND(J24=Results!J11,Results!J11&lt;&gt;Games!$C$91),1,0))</f>
        <v/>
      </c>
      <c r="AR24" s="13" t="str">
        <f>IF(OR(K24="",Results!K11=""),"",IF(AND(K24=Results!K11,Results!K11&lt;&gt;Games!$C$92),1,0))</f>
        <v/>
      </c>
      <c r="AS24" s="13" t="str">
        <f>IF(OR(L24="",Results!L11=""),"",IF(AND(L24=Results!L11,Results!L11&lt;&gt;Games!$C$93),1,0))</f>
        <v/>
      </c>
      <c r="AT24" s="13" t="str">
        <f>IF(OR(M24="",Results!M11=""),"",IF(AND(M24=Results!M11,Results!M11&lt;&gt;Games!$C$94),1,0))</f>
        <v/>
      </c>
      <c r="AU24" s="13" t="str">
        <f>IF(OR(N24="",Results!N11=""),"",IF(AND(N24=Results!N11,Results!N11&lt;&gt;Games!$C$95),1,0))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 t="str">
        <f>IF(OR(B25="",Results!B11=""),"",IF(B25=Results!B11,1+IF(OR($O25=1,$P25=1,$Q25=1),1,0),0))</f>
        <v/>
      </c>
      <c r="T25" s="4" t="str">
        <f>IF(OR(C25="",Results!C11=""),"",IF(C25=Results!C11,1+IF(OR($O25=2,$P25=2,$Q25=2),1,0),0))</f>
        <v/>
      </c>
      <c r="U25" s="4" t="str">
        <f>IF(OR(D25="",Results!D11=""),"",IF(D25=Results!D11,1+IF(OR($O25=3,$P25=3,$Q25=3),1,0),0))</f>
        <v/>
      </c>
      <c r="V25" s="4" t="str">
        <f>IF(OR(E25="",Results!E11=""),"",IF(E25=Results!E11,1+IF(OR($O25=4,$P25=4,$Q25=4),1,0),0))</f>
        <v/>
      </c>
      <c r="W25" s="4" t="str">
        <f>IF(OR(F25="",Results!F11=""),"",IF(F25=Results!F11,1+IF(OR($O25=5,$P25=5,$Q25=5),1,0),0))</f>
        <v/>
      </c>
      <c r="X25" s="4" t="str">
        <f>IF(OR(G25="",Results!G11=""),"",IF(G25=Results!G11,1+IF(OR($O25=6,$P25=6,$Q25=6),1,0),0))</f>
        <v/>
      </c>
      <c r="Y25" s="4" t="str">
        <f>IF(OR(H25="",Results!H11=""),"",IF(H25=Results!H11,1+IF(OR($O25=7,$P25=7,$Q25=7),1,0),0))</f>
        <v/>
      </c>
      <c r="Z25" s="4" t="str">
        <f>IF(OR(I25="",Results!I11=""),"",IF(I25=Results!I11,1+IF(OR($O25=8,$P25=8,$Q25=8),1,0),0))</f>
        <v/>
      </c>
      <c r="AA25" s="4" t="str">
        <f>IF(OR(J25="",Results!J11=""),"",IF(J25=Results!J11,1+IF(OR($O25=9,$P25=9,$Q25=9),1,0),0))</f>
        <v/>
      </c>
      <c r="AB25" s="4" t="str">
        <f>IF(OR(K25="",Results!K11=""),"",IF(K25=Results!K11,1+IF(OR($O25=10,$P25=10,$Q25=10),1,0),0))</f>
        <v/>
      </c>
      <c r="AC25" s="4" t="str">
        <f>IF(OR(L25="",Results!L11=""),"",IF(L25=Results!L11,1+IF(OR($O25=11,$P25=11,$Q25=11),1,0),0))</f>
        <v/>
      </c>
      <c r="AD25" s="4" t="str">
        <f>IF(OR(M25="",Results!M11=""),"",IF(M25=Results!M11,1+IF(OR($O25=12,$P25=12,$Q25=12),1,0),0))</f>
        <v/>
      </c>
      <c r="AE25" s="4" t="str">
        <f>IF(OR(N25="",Results!N11=""),"",IF(N25=Results!N11,1+IF(OR($O25=13,$P25=13,$Q25=13),1,0),0))</f>
        <v/>
      </c>
      <c r="AF25" s="11">
        <f t="shared" si="0"/>
        <v>0</v>
      </c>
      <c r="AG25" s="4" t="str">
        <f>IF(OR($R25="",Results!O11=""),"",ABS($R25-Results!O11))</f>
        <v/>
      </c>
      <c r="AH25" s="12">
        <v>54</v>
      </c>
      <c r="AI25" s="13" t="str">
        <f>IF(OR(B25="",Results!B11=""),"",IF(AND(B25=Results!B11,Results!B11&lt;&gt;Games!$C$83),1,0))</f>
        <v/>
      </c>
      <c r="AJ25" s="13" t="str">
        <f>IF(OR(C25="",Results!C11=""),"",IF(AND(C25=Results!C11,Results!C11&lt;&gt;Games!$C$84),1,0))</f>
        <v/>
      </c>
      <c r="AK25" s="13" t="str">
        <f>IF(OR(D25="",Results!D11=""),"",IF(AND(D25=Results!D11,Results!D11&lt;&gt;Games!$C$85),1,0))</f>
        <v/>
      </c>
      <c r="AL25" s="13" t="str">
        <f>IF(OR(E25="",Results!E11=""),"",IF(AND(E25=Results!E11,Results!E11&lt;&gt;Games!$C$86),1,0))</f>
        <v/>
      </c>
      <c r="AM25" s="13" t="str">
        <f>IF(OR(F25="",Results!F11=""),"",IF(AND(F25=Results!F11,Results!F11&lt;&gt;Games!$C$87),1,0))</f>
        <v/>
      </c>
      <c r="AN25" s="13" t="str">
        <f>IF(OR(G25="",Results!G11=""),"",IF(AND(G25=Results!G11,Results!G11&lt;&gt;Games!$C$88),1,0))</f>
        <v/>
      </c>
      <c r="AO25" s="13" t="str">
        <f>IF(OR(H25="",Results!H11=""),"",IF(AND(H25=Results!H11,Results!H11&lt;&gt;Games!$C$89),1,0))</f>
        <v/>
      </c>
      <c r="AP25" s="13" t="str">
        <f>IF(OR(I25="",Results!I11=""),"",IF(AND(I25=Results!I11,Results!I11&lt;&gt;Games!$C$90),1,0))</f>
        <v/>
      </c>
      <c r="AQ25" s="13" t="str">
        <f>IF(OR(J25="",Results!J11=""),"",IF(AND(J25=Results!J11,Results!J11&lt;&gt;Games!$C$91),1,0))</f>
        <v/>
      </c>
      <c r="AR25" s="13" t="str">
        <f>IF(OR(K25="",Results!K11=""),"",IF(AND(K25=Results!K11,Results!K11&lt;&gt;Games!$C$92),1,0))</f>
        <v/>
      </c>
      <c r="AS25" s="13" t="str">
        <f>IF(OR(L25="",Results!L11=""),"",IF(AND(L25=Results!L11,Results!L11&lt;&gt;Games!$C$93),1,0))</f>
        <v/>
      </c>
      <c r="AT25" s="13" t="str">
        <f>IF(OR(M25="",Results!M11=""),"",IF(AND(M25=Results!M11,Results!M11&lt;&gt;Games!$C$94),1,0))</f>
        <v/>
      </c>
      <c r="AU25" s="13" t="str">
        <f>IF(OR(N25="",Results!N11=""),"",IF(AND(N25=Results!N11,Results!N11&lt;&gt;Games!$C$95),1,0))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tr">
        <f>IF(OR(B26="",Results!B11=""),"",IF(B26=Results!B11,1+IF(OR($O26=1,$P26=1,$Q26=1),1,0),0))</f>
        <v/>
      </c>
      <c r="T26" s="4" t="str">
        <f>IF(OR(C26="",Results!C11=""),"",IF(C26=Results!C11,1+IF(OR($O26=2,$P26=2,$Q26=2),1,0),0))</f>
        <v/>
      </c>
      <c r="U26" s="4" t="str">
        <f>IF(OR(D26="",Results!D11=""),"",IF(D26=Results!D11,1+IF(OR($O26=3,$P26=3,$Q26=3),1,0),0))</f>
        <v/>
      </c>
      <c r="V26" s="4" t="str">
        <f>IF(OR(E26="",Results!E11=""),"",IF(E26=Results!E11,1+IF(OR($O26=4,$P26=4,$Q26=4),1,0),0))</f>
        <v/>
      </c>
      <c r="W26" s="4" t="str">
        <f>IF(OR(F26="",Results!F11=""),"",IF(F26=Results!F11,1+IF(OR($O26=5,$P26=5,$Q26=5),1,0),0))</f>
        <v/>
      </c>
      <c r="X26" s="4" t="str">
        <f>IF(OR(G26="",Results!G11=""),"",IF(G26=Results!G11,1+IF(OR($O26=6,$P26=6,$Q26=6),1,0),0))</f>
        <v/>
      </c>
      <c r="Y26" s="4" t="str">
        <f>IF(OR(H26="",Results!H11=""),"",IF(H26=Results!H11,1+IF(OR($O26=7,$P26=7,$Q26=7),1,0),0))</f>
        <v/>
      </c>
      <c r="Z26" s="4" t="str">
        <f>IF(OR(I26="",Results!I11=""),"",IF(I26=Results!I11,1+IF(OR($O26=8,$P26=8,$Q26=8),1,0),0))</f>
        <v/>
      </c>
      <c r="AA26" s="4" t="str">
        <f>IF(OR(J26="",Results!J11=""),"",IF(J26=Results!J11,1+IF(OR($O26=9,$P26=9,$Q26=9),1,0),0))</f>
        <v/>
      </c>
      <c r="AB26" s="4" t="str">
        <f>IF(OR(K26="",Results!K11=""),"",IF(K26=Results!K11,1+IF(OR($O26=10,$P26=10,$Q26=10),1,0),0))</f>
        <v/>
      </c>
      <c r="AC26" s="4" t="str">
        <f>IF(OR(L26="",Results!L11=""),"",IF(L26=Results!L11,1+IF(OR($O26=11,$P26=11,$Q26=11),1,0),0))</f>
        <v/>
      </c>
      <c r="AD26" s="4" t="str">
        <f>IF(OR(M26="",Results!M11=""),"",IF(M26=Results!M11,1+IF(OR($O26=12,$P26=12,$Q26=12),1,0),0))</f>
        <v/>
      </c>
      <c r="AE26" s="4" t="str">
        <f>IF(OR(N26="",Results!N11=""),"",IF(N26=Results!N11,1+IF(OR($O26=13,$P26=13,$Q26=13),1,0),0))</f>
        <v/>
      </c>
      <c r="AF26" s="11">
        <f t="shared" si="0"/>
        <v>0</v>
      </c>
      <c r="AG26" s="4" t="str">
        <f>IF(OR($R26="",Results!O11=""),"",ABS($R26-Results!O11))</f>
        <v/>
      </c>
      <c r="AH26" s="12">
        <v>48</v>
      </c>
      <c r="AI26" s="13" t="str">
        <f>IF(OR(B26="",Results!B11=""),"",IF(AND(B26=Results!B11,Results!B11&lt;&gt;Games!$C$83),1,0))</f>
        <v/>
      </c>
      <c r="AJ26" s="13" t="str">
        <f>IF(OR(C26="",Results!C11=""),"",IF(AND(C26=Results!C11,Results!C11&lt;&gt;Games!$C$84),1,0))</f>
        <v/>
      </c>
      <c r="AK26" s="13" t="str">
        <f>IF(OR(D26="",Results!D11=""),"",IF(AND(D26=Results!D11,Results!D11&lt;&gt;Games!$C$85),1,0))</f>
        <v/>
      </c>
      <c r="AL26" s="13" t="str">
        <f>IF(OR(E26="",Results!E11=""),"",IF(AND(E26=Results!E11,Results!E11&lt;&gt;Games!$C$86),1,0))</f>
        <v/>
      </c>
      <c r="AM26" s="13" t="str">
        <f>IF(OR(F26="",Results!F11=""),"",IF(AND(F26=Results!F11,Results!F11&lt;&gt;Games!$C$87),1,0))</f>
        <v/>
      </c>
      <c r="AN26" s="13" t="str">
        <f>IF(OR(G26="",Results!G11=""),"",IF(AND(G26=Results!G11,Results!G11&lt;&gt;Games!$C$88),1,0))</f>
        <v/>
      </c>
      <c r="AO26" s="13" t="str">
        <f>IF(OR(H26="",Results!H11=""),"",IF(AND(H26=Results!H11,Results!H11&lt;&gt;Games!$C$89),1,0))</f>
        <v/>
      </c>
      <c r="AP26" s="13" t="str">
        <f>IF(OR(I26="",Results!I11=""),"",IF(AND(I26=Results!I11,Results!I11&lt;&gt;Games!$C$90),1,0))</f>
        <v/>
      </c>
      <c r="AQ26" s="13" t="str">
        <f>IF(OR(J26="",Results!J11=""),"",IF(AND(J26=Results!J11,Results!J11&lt;&gt;Games!$C$91),1,0))</f>
        <v/>
      </c>
      <c r="AR26" s="13" t="str">
        <f>IF(OR(K26="",Results!K11=""),"",IF(AND(K26=Results!K11,Results!K11&lt;&gt;Games!$C$92),1,0))</f>
        <v/>
      </c>
      <c r="AS26" s="13" t="str">
        <f>IF(OR(L26="",Results!L11=""),"",IF(AND(L26=Results!L11,Results!L11&lt;&gt;Games!$C$93),1,0))</f>
        <v/>
      </c>
      <c r="AT26" s="13" t="str">
        <f>IF(OR(M26="",Results!M11=""),"",IF(AND(M26=Results!M11,Results!M11&lt;&gt;Games!$C$94),1,0))</f>
        <v/>
      </c>
      <c r="AU26" s="13" t="str">
        <f>IF(OR(N26="",Results!N11=""),"",IF(AND(N26=Results!N11,Results!N11&lt;&gt;Games!$C$95),1,0))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 t="str">
        <f>IF(OR(B27="",Results!B11=""),"",IF(B27=Results!B11,1+IF(OR($O27=1,$P27=1,$Q27=1),1,0),0))</f>
        <v/>
      </c>
      <c r="T27" s="4" t="str">
        <f>IF(OR(C27="",Results!C11=""),"",IF(C27=Results!C11,1+IF(OR($O27=2,$P27=2,$Q27=2),1,0),0))</f>
        <v/>
      </c>
      <c r="U27" s="4" t="str">
        <f>IF(OR(D27="",Results!D11=""),"",IF(D27=Results!D11,1+IF(OR($O27=3,$P27=3,$Q27=3),1,0),0))</f>
        <v/>
      </c>
      <c r="V27" s="4" t="str">
        <f>IF(OR(E27="",Results!E11=""),"",IF(E27=Results!E11,1+IF(OR($O27=4,$P27=4,$Q27=4),1,0),0))</f>
        <v/>
      </c>
      <c r="W27" s="4" t="str">
        <f>IF(OR(F27="",Results!F11=""),"",IF(F27=Results!F11,1+IF(OR($O27=5,$P27=5,$Q27=5),1,0),0))</f>
        <v/>
      </c>
      <c r="X27" s="4" t="str">
        <f>IF(OR(G27="",Results!G11=""),"",IF(G27=Results!G11,1+IF(OR($O27=6,$P27=6,$Q27=6),1,0),0))</f>
        <v/>
      </c>
      <c r="Y27" s="4" t="str">
        <f>IF(OR(H27="",Results!H11=""),"",IF(H27=Results!H11,1+IF(OR($O27=7,$P27=7,$Q27=7),1,0),0))</f>
        <v/>
      </c>
      <c r="Z27" s="4" t="str">
        <f>IF(OR(I27="",Results!I11=""),"",IF(I27=Results!I11,1+IF(OR($O27=8,$P27=8,$Q27=8),1,0),0))</f>
        <v/>
      </c>
      <c r="AA27" s="4" t="str">
        <f>IF(OR(J27="",Results!J11=""),"",IF(J27=Results!J11,1+IF(OR($O27=9,$P27=9,$Q27=9),1,0),0))</f>
        <v/>
      </c>
      <c r="AB27" s="4" t="str">
        <f>IF(OR(K27="",Results!K11=""),"",IF(K27=Results!K11,1+IF(OR($O27=10,$P27=10,$Q27=10),1,0),0))</f>
        <v/>
      </c>
      <c r="AC27" s="4" t="str">
        <f>IF(OR(L27="",Results!L11=""),"",IF(L27=Results!L11,1+IF(OR($O27=11,$P27=11,$Q27=11),1,0),0))</f>
        <v/>
      </c>
      <c r="AD27" s="4" t="str">
        <f>IF(OR(M27="",Results!M11=""),"",IF(M27=Results!M11,1+IF(OR($O27=12,$P27=12,$Q27=12),1,0),0))</f>
        <v/>
      </c>
      <c r="AE27" s="4" t="str">
        <f>IF(OR(N27="",Results!N11=""),"",IF(N27=Results!N11,1+IF(OR($O27=13,$P27=13,$Q27=13),1,0),0))</f>
        <v/>
      </c>
      <c r="AF27" s="11">
        <f t="shared" si="0"/>
        <v>0</v>
      </c>
      <c r="AG27" s="4" t="str">
        <f>IF(OR($R27="",Results!O11=""),"",ABS($R27-Results!O11))</f>
        <v/>
      </c>
      <c r="AH27" s="12">
        <v>38</v>
      </c>
      <c r="AI27" s="13" t="str">
        <f>IF(OR(B27="",Results!B11=""),"",IF(AND(B27=Results!B11,Results!B11&lt;&gt;Games!$C$83),1,0))</f>
        <v/>
      </c>
      <c r="AJ27" s="13" t="str">
        <f>IF(OR(C27="",Results!C11=""),"",IF(AND(C27=Results!C11,Results!C11&lt;&gt;Games!$C$84),1,0))</f>
        <v/>
      </c>
      <c r="AK27" s="13" t="str">
        <f>IF(OR(D27="",Results!D11=""),"",IF(AND(D27=Results!D11,Results!D11&lt;&gt;Games!$C$85),1,0))</f>
        <v/>
      </c>
      <c r="AL27" s="13" t="str">
        <f>IF(OR(E27="",Results!E11=""),"",IF(AND(E27=Results!E11,Results!E11&lt;&gt;Games!$C$86),1,0))</f>
        <v/>
      </c>
      <c r="AM27" s="13" t="str">
        <f>IF(OR(F27="",Results!F11=""),"",IF(AND(F27=Results!F11,Results!F11&lt;&gt;Games!$C$87),1,0))</f>
        <v/>
      </c>
      <c r="AN27" s="13" t="str">
        <f>IF(OR(G27="",Results!G11=""),"",IF(AND(G27=Results!G11,Results!G11&lt;&gt;Games!$C$88),1,0))</f>
        <v/>
      </c>
      <c r="AO27" s="13" t="str">
        <f>IF(OR(H27="",Results!H11=""),"",IF(AND(H27=Results!H11,Results!H11&lt;&gt;Games!$C$89),1,0))</f>
        <v/>
      </c>
      <c r="AP27" s="13" t="str">
        <f>IF(OR(I27="",Results!I11=""),"",IF(AND(I27=Results!I11,Results!I11&lt;&gt;Games!$C$90),1,0))</f>
        <v/>
      </c>
      <c r="AQ27" s="13" t="str">
        <f>IF(OR(J27="",Results!J11=""),"",IF(AND(J27=Results!J11,Results!J11&lt;&gt;Games!$C$91),1,0))</f>
        <v/>
      </c>
      <c r="AR27" s="13" t="str">
        <f>IF(OR(K27="",Results!K11=""),"",IF(AND(K27=Results!K11,Results!K11&lt;&gt;Games!$C$92),1,0))</f>
        <v/>
      </c>
      <c r="AS27" s="13" t="str">
        <f>IF(OR(L27="",Results!L11=""),"",IF(AND(L27=Results!L11,Results!L11&lt;&gt;Games!$C$93),1,0))</f>
        <v/>
      </c>
      <c r="AT27" s="13" t="str">
        <f>IF(OR(M27="",Results!M11=""),"",IF(AND(M27=Results!M11,Results!M11&lt;&gt;Games!$C$94),1,0))</f>
        <v/>
      </c>
      <c r="AU27" s="13" t="str">
        <f>IF(OR(N27="",Results!N11=""),"",IF(AND(N27=Results!N11,Results!N11&lt;&gt;Games!$C$95),1,0))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IF(OR(B28="",Results!B11=""),"",IF(B28=Results!B11,1+IF(OR($O28=1,$P28=1,$Q28=1),1,0),0))</f>
        <v/>
      </c>
      <c r="T28" s="4" t="str">
        <f>IF(OR(C28="",Results!C11=""),"",IF(C28=Results!C11,1+IF(OR($O28=2,$P28=2,$Q28=2),1,0),0))</f>
        <v/>
      </c>
      <c r="U28" s="4" t="str">
        <f>IF(OR(D28="",Results!D11=""),"",IF(D28=Results!D11,1+IF(OR($O28=3,$P28=3,$Q28=3),1,0),0))</f>
        <v/>
      </c>
      <c r="V28" s="4" t="str">
        <f>IF(OR(E28="",Results!E11=""),"",IF(E28=Results!E11,1+IF(OR($O28=4,$P28=4,$Q28=4),1,0),0))</f>
        <v/>
      </c>
      <c r="W28" s="4" t="str">
        <f>IF(OR(F28="",Results!F11=""),"",IF(F28=Results!F11,1+IF(OR($O28=5,$P28=5,$Q28=5),1,0),0))</f>
        <v/>
      </c>
      <c r="X28" s="4" t="str">
        <f>IF(OR(G28="",Results!G11=""),"",IF(G28=Results!G11,1+IF(OR($O28=6,$P28=6,$Q28=6),1,0),0))</f>
        <v/>
      </c>
      <c r="Y28" s="4" t="str">
        <f>IF(OR(H28="",Results!H11=""),"",IF(H28=Results!H11,1+IF(OR($O28=7,$P28=7,$Q28=7),1,0),0))</f>
        <v/>
      </c>
      <c r="Z28" s="4" t="str">
        <f>IF(OR(I28="",Results!I11=""),"",IF(I28=Results!I11,1+IF(OR($O28=8,$P28=8,$Q28=8),1,0),0))</f>
        <v/>
      </c>
      <c r="AA28" s="4" t="str">
        <f>IF(OR(J28="",Results!J11=""),"",IF(J28=Results!J11,1+IF(OR($O28=9,$P28=9,$Q28=9),1,0),0))</f>
        <v/>
      </c>
      <c r="AB28" s="4" t="str">
        <f>IF(OR(K28="",Results!K11=""),"",IF(K28=Results!K11,1+IF(OR($O28=10,$P28=10,$Q28=10),1,0),0))</f>
        <v/>
      </c>
      <c r="AC28" s="4" t="str">
        <f>IF(OR(L28="",Results!L11=""),"",IF(L28=Results!L11,1+IF(OR($O28=11,$P28=11,$Q28=11),1,0),0))</f>
        <v/>
      </c>
      <c r="AD28" s="4" t="str">
        <f>IF(OR(M28="",Results!M11=""),"",IF(M28=Results!M11,1+IF(OR($O28=12,$P28=12,$Q28=12),1,0),0))</f>
        <v/>
      </c>
      <c r="AE28" s="4" t="str">
        <f>IF(OR(N28="",Results!N11=""),"",IF(N28=Results!N11,1+IF(OR($O28=13,$P28=13,$Q28=13),1,0),0))</f>
        <v/>
      </c>
      <c r="AF28" s="11">
        <f t="shared" si="0"/>
        <v>0</v>
      </c>
      <c r="AG28" s="4" t="str">
        <f>IF(OR($R28="",Results!O11=""),"",ABS($R28-Results!O11))</f>
        <v/>
      </c>
      <c r="AH28" s="12">
        <v>60</v>
      </c>
      <c r="AI28" s="13" t="str">
        <f>IF(OR(B28="",Results!B11=""),"",IF(AND(B28=Results!B11,Results!B11&lt;&gt;Games!$C$83),1,0))</f>
        <v/>
      </c>
      <c r="AJ28" s="13" t="str">
        <f>IF(OR(C28="",Results!C11=""),"",IF(AND(C28=Results!C11,Results!C11&lt;&gt;Games!$C$84),1,0))</f>
        <v/>
      </c>
      <c r="AK28" s="13" t="str">
        <f>IF(OR(D28="",Results!D11=""),"",IF(AND(D28=Results!D11,Results!D11&lt;&gt;Games!$C$85),1,0))</f>
        <v/>
      </c>
      <c r="AL28" s="13" t="str">
        <f>IF(OR(E28="",Results!E11=""),"",IF(AND(E28=Results!E11,Results!E11&lt;&gt;Games!$C$86),1,0))</f>
        <v/>
      </c>
      <c r="AM28" s="13" t="str">
        <f>IF(OR(F28="",Results!F11=""),"",IF(AND(F28=Results!F11,Results!F11&lt;&gt;Games!$C$87),1,0))</f>
        <v/>
      </c>
      <c r="AN28" s="13" t="str">
        <f>IF(OR(G28="",Results!G11=""),"",IF(AND(G28=Results!G11,Results!G11&lt;&gt;Games!$C$88),1,0))</f>
        <v/>
      </c>
      <c r="AO28" s="13" t="str">
        <f>IF(OR(H28="",Results!H11=""),"",IF(AND(H28=Results!H11,Results!H11&lt;&gt;Games!$C$89),1,0))</f>
        <v/>
      </c>
      <c r="AP28" s="13" t="str">
        <f>IF(OR(I28="",Results!I11=""),"",IF(AND(I28=Results!I11,Results!I11&lt;&gt;Games!$C$90),1,0))</f>
        <v/>
      </c>
      <c r="AQ28" s="13" t="str">
        <f>IF(OR(J28="",Results!J11=""),"",IF(AND(J28=Results!J11,Results!J11&lt;&gt;Games!$C$91),1,0))</f>
        <v/>
      </c>
      <c r="AR28" s="13" t="str">
        <f>IF(OR(K28="",Results!K11=""),"",IF(AND(K28=Results!K11,Results!K11&lt;&gt;Games!$C$92),1,0))</f>
        <v/>
      </c>
      <c r="AS28" s="13" t="str">
        <f>IF(OR(L28="",Results!L11=""),"",IF(AND(L28=Results!L11,Results!L11&lt;&gt;Games!$C$93),1,0))</f>
        <v/>
      </c>
      <c r="AT28" s="13" t="str">
        <f>IF(OR(M28="",Results!M11=""),"",IF(AND(M28=Results!M11,Results!M11&lt;&gt;Games!$C$94),1,0))</f>
        <v/>
      </c>
      <c r="AU28" s="13" t="str">
        <f>IF(OR(N28="",Results!N11=""),"",IF(AND(N28=Results!N11,Results!N11&lt;&gt;Games!$C$95),1,0))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IF(OR(B29="",Results!B11=""),"",IF(B29=Results!B11,1+IF(OR($O29=1,$P29=1,$Q29=1),1,0),0))</f>
        <v/>
      </c>
      <c r="T29" s="4" t="str">
        <f>IF(OR(C29="",Results!C11=""),"",IF(C29=Results!C11,1+IF(OR($O29=2,$P29=2,$Q29=2),1,0),0))</f>
        <v/>
      </c>
      <c r="U29" s="4" t="str">
        <f>IF(OR(D29="",Results!D11=""),"",IF(D29=Results!D11,1+IF(OR($O29=3,$P29=3,$Q29=3),1,0),0))</f>
        <v/>
      </c>
      <c r="V29" s="4" t="str">
        <f>IF(OR(E29="",Results!E11=""),"",IF(E29=Results!E11,1+IF(OR($O29=4,$P29=4,$Q29=4),1,0),0))</f>
        <v/>
      </c>
      <c r="W29" s="4" t="str">
        <f>IF(OR(F29="",Results!F11=""),"",IF(F29=Results!F11,1+IF(OR($O29=5,$P29=5,$Q29=5),1,0),0))</f>
        <v/>
      </c>
      <c r="X29" s="4" t="str">
        <f>IF(OR(G29="",Results!G11=""),"",IF(G29=Results!G11,1+IF(OR($O29=6,$P29=6,$Q29=6),1,0),0))</f>
        <v/>
      </c>
      <c r="Y29" s="4" t="str">
        <f>IF(OR(H29="",Results!H11=""),"",IF(H29=Results!H11,1+IF(OR($O29=7,$P29=7,$Q29=7),1,0),0))</f>
        <v/>
      </c>
      <c r="Z29" s="4" t="str">
        <f>IF(OR(I29="",Results!I11=""),"",IF(I29=Results!I11,1+IF(OR($O29=8,$P29=8,$Q29=8),1,0),0))</f>
        <v/>
      </c>
      <c r="AA29" s="4" t="str">
        <f>IF(OR(J29="",Results!J11=""),"",IF(J29=Results!J11,1+IF(OR($O29=9,$P29=9,$Q29=9),1,0),0))</f>
        <v/>
      </c>
      <c r="AB29" s="4" t="str">
        <f>IF(OR(K29="",Results!K11=""),"",IF(K29=Results!K11,1+IF(OR($O29=10,$P29=10,$Q29=10),1,0),0))</f>
        <v/>
      </c>
      <c r="AC29" s="4" t="str">
        <f>IF(OR(L29="",Results!L11=""),"",IF(L29=Results!L11,1+IF(OR($O29=11,$P29=11,$Q29=11),1,0),0))</f>
        <v/>
      </c>
      <c r="AD29" s="4" t="str">
        <f>IF(OR(M29="",Results!M11=""),"",IF(M29=Results!M11,1+IF(OR($O29=12,$P29=12,$Q29=12),1,0),0))</f>
        <v/>
      </c>
      <c r="AE29" s="4" t="str">
        <f>IF(OR(N29="",Results!N11=""),"",IF(N29=Results!N11,1+IF(OR($O29=13,$P29=13,$Q29=13),1,0),0))</f>
        <v/>
      </c>
      <c r="AF29" s="11">
        <f t="shared" si="0"/>
        <v>0</v>
      </c>
      <c r="AG29" s="4" t="str">
        <f>IF(OR($R29="",Results!O11=""),"",ABS($R29-Results!O11))</f>
        <v/>
      </c>
      <c r="AH29" s="12">
        <v>11</v>
      </c>
      <c r="AI29" s="13" t="str">
        <f>IF(OR(B29="",Results!B11=""),"",IF(AND(B29=Results!B11,Results!B11&lt;&gt;Games!$C$83),1,0))</f>
        <v/>
      </c>
      <c r="AJ29" s="13" t="str">
        <f>IF(OR(C29="",Results!C11=""),"",IF(AND(C29=Results!C11,Results!C11&lt;&gt;Games!$C$84),1,0))</f>
        <v/>
      </c>
      <c r="AK29" s="13" t="str">
        <f>IF(OR(D29="",Results!D11=""),"",IF(AND(D29=Results!D11,Results!D11&lt;&gt;Games!$C$85),1,0))</f>
        <v/>
      </c>
      <c r="AL29" s="13" t="str">
        <f>IF(OR(E29="",Results!E11=""),"",IF(AND(E29=Results!E11,Results!E11&lt;&gt;Games!$C$86),1,0))</f>
        <v/>
      </c>
      <c r="AM29" s="13" t="str">
        <f>IF(OR(F29="",Results!F11=""),"",IF(AND(F29=Results!F11,Results!F11&lt;&gt;Games!$C$87),1,0))</f>
        <v/>
      </c>
      <c r="AN29" s="13" t="str">
        <f>IF(OR(G29="",Results!G11=""),"",IF(AND(G29=Results!G11,Results!G11&lt;&gt;Games!$C$88),1,0))</f>
        <v/>
      </c>
      <c r="AO29" s="13" t="str">
        <f>IF(OR(H29="",Results!H11=""),"",IF(AND(H29=Results!H11,Results!H11&lt;&gt;Games!$C$89),1,0))</f>
        <v/>
      </c>
      <c r="AP29" s="13" t="str">
        <f>IF(OR(I29="",Results!I11=""),"",IF(AND(I29=Results!I11,Results!I11&lt;&gt;Games!$C$90),1,0))</f>
        <v/>
      </c>
      <c r="AQ29" s="13" t="str">
        <f>IF(OR(J29="",Results!J11=""),"",IF(AND(J29=Results!J11,Results!J11&lt;&gt;Games!$C$91),1,0))</f>
        <v/>
      </c>
      <c r="AR29" s="13" t="str">
        <f>IF(OR(K29="",Results!K11=""),"",IF(AND(K29=Results!K11,Results!K11&lt;&gt;Games!$C$92),1,0))</f>
        <v/>
      </c>
      <c r="AS29" s="13" t="str">
        <f>IF(OR(L29="",Results!L11=""),"",IF(AND(L29=Results!L11,Results!L11&lt;&gt;Games!$C$93),1,0))</f>
        <v/>
      </c>
      <c r="AT29" s="13" t="str">
        <f>IF(OR(M29="",Results!M11=""),"",IF(AND(M29=Results!M11,Results!M11&lt;&gt;Games!$C$94),1,0))</f>
        <v/>
      </c>
      <c r="AU29" s="13" t="str">
        <f>IF(OR(N29="",Results!N11=""),"",IF(AND(N29=Results!N11,Results!N11&lt;&gt;Games!$C$95),1,0))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 t="str">
        <f>IF(OR(B30="",Results!B11=""),"",IF(B30=Results!B11,1+IF(OR($O30=1,$P30=1,$Q30=1),1,0),0))</f>
        <v/>
      </c>
      <c r="T30" s="4" t="str">
        <f>IF(OR(C30="",Results!C11=""),"",IF(C30=Results!C11,1+IF(OR($O30=2,$P30=2,$Q30=2),1,0),0))</f>
        <v/>
      </c>
      <c r="U30" s="4" t="str">
        <f>IF(OR(D30="",Results!D11=""),"",IF(D30=Results!D11,1+IF(OR($O30=3,$P30=3,$Q30=3),1,0),0))</f>
        <v/>
      </c>
      <c r="V30" s="4" t="str">
        <f>IF(OR(E30="",Results!E11=""),"",IF(E30=Results!E11,1+IF(OR($O30=4,$P30=4,$Q30=4),1,0),0))</f>
        <v/>
      </c>
      <c r="W30" s="4" t="str">
        <f>IF(OR(F30="",Results!F11=""),"",IF(F30=Results!F11,1+IF(OR($O30=5,$P30=5,$Q30=5),1,0),0))</f>
        <v/>
      </c>
      <c r="X30" s="4" t="str">
        <f>IF(OR(G30="",Results!G11=""),"",IF(G30=Results!G11,1+IF(OR($O30=6,$P30=6,$Q30=6),1,0),0))</f>
        <v/>
      </c>
      <c r="Y30" s="4" t="str">
        <f>IF(OR(H30="",Results!H11=""),"",IF(H30=Results!H11,1+IF(OR($O30=7,$P30=7,$Q30=7),1,0),0))</f>
        <v/>
      </c>
      <c r="Z30" s="4" t="str">
        <f>IF(OR(I30="",Results!I11=""),"",IF(I30=Results!I11,1+IF(OR($O30=8,$P30=8,$Q30=8),1,0),0))</f>
        <v/>
      </c>
      <c r="AA30" s="4" t="str">
        <f>IF(OR(J30="",Results!J11=""),"",IF(J30=Results!J11,1+IF(OR($O30=9,$P30=9,$Q30=9),1,0),0))</f>
        <v/>
      </c>
      <c r="AB30" s="4" t="str">
        <f>IF(OR(K30="",Results!K11=""),"",IF(K30=Results!K11,1+IF(OR($O30=10,$P30=10,$Q30=10),1,0),0))</f>
        <v/>
      </c>
      <c r="AC30" s="4" t="str">
        <f>IF(OR(L30="",Results!L11=""),"",IF(L30=Results!L11,1+IF(OR($O30=11,$P30=11,$Q30=11),1,0),0))</f>
        <v/>
      </c>
      <c r="AD30" s="4" t="str">
        <f>IF(OR(M30="",Results!M11=""),"",IF(M30=Results!M11,1+IF(OR($O30=12,$P30=12,$Q30=12),1,0),0))</f>
        <v/>
      </c>
      <c r="AE30" s="4" t="str">
        <f>IF(OR(N30="",Results!N11=""),"",IF(N30=Results!N11,1+IF(OR($O30=13,$P30=13,$Q30=13),1,0),0))</f>
        <v/>
      </c>
      <c r="AF30" s="11">
        <f t="shared" si="0"/>
        <v>0</v>
      </c>
      <c r="AG30" s="4" t="str">
        <f>IF(OR($R30="",Results!O11=""),"",ABS($R30-Results!O11))</f>
        <v/>
      </c>
      <c r="AH30" s="12">
        <v>12</v>
      </c>
      <c r="AI30" s="13" t="str">
        <f>IF(OR(B30="",Results!B11=""),"",IF(AND(B30=Results!B11,Results!B11&lt;&gt;Games!$C$83),1,0))</f>
        <v/>
      </c>
      <c r="AJ30" s="13" t="str">
        <f>IF(OR(C30="",Results!C11=""),"",IF(AND(C30=Results!C11,Results!C11&lt;&gt;Games!$C$84),1,0))</f>
        <v/>
      </c>
      <c r="AK30" s="13" t="str">
        <f>IF(OR(D30="",Results!D11=""),"",IF(AND(D30=Results!D11,Results!D11&lt;&gt;Games!$C$85),1,0))</f>
        <v/>
      </c>
      <c r="AL30" s="13" t="str">
        <f>IF(OR(E30="",Results!E11=""),"",IF(AND(E30=Results!E11,Results!E11&lt;&gt;Games!$C$86),1,0))</f>
        <v/>
      </c>
      <c r="AM30" s="13" t="str">
        <f>IF(OR(F30="",Results!F11=""),"",IF(AND(F30=Results!F11,Results!F11&lt;&gt;Games!$C$87),1,0))</f>
        <v/>
      </c>
      <c r="AN30" s="13" t="str">
        <f>IF(OR(G30="",Results!G11=""),"",IF(AND(G30=Results!G11,Results!G11&lt;&gt;Games!$C$88),1,0))</f>
        <v/>
      </c>
      <c r="AO30" s="13" t="str">
        <f>IF(OR(H30="",Results!H11=""),"",IF(AND(H30=Results!H11,Results!H11&lt;&gt;Games!$C$89),1,0))</f>
        <v/>
      </c>
      <c r="AP30" s="13" t="str">
        <f>IF(OR(I30="",Results!I11=""),"",IF(AND(I30=Results!I11,Results!I11&lt;&gt;Games!$C$90),1,0))</f>
        <v/>
      </c>
      <c r="AQ30" s="13" t="str">
        <f>IF(OR(J30="",Results!J11=""),"",IF(AND(J30=Results!J11,Results!J11&lt;&gt;Games!$C$91),1,0))</f>
        <v/>
      </c>
      <c r="AR30" s="13" t="str">
        <f>IF(OR(K30="",Results!K11=""),"",IF(AND(K30=Results!K11,Results!K11&lt;&gt;Games!$C$92),1,0))</f>
        <v/>
      </c>
      <c r="AS30" s="13" t="str">
        <f>IF(OR(L30="",Results!L11=""),"",IF(AND(L30=Results!L11,Results!L11&lt;&gt;Games!$C$93),1,0))</f>
        <v/>
      </c>
      <c r="AT30" s="13" t="str">
        <f>IF(OR(M30="",Results!M11=""),"",IF(AND(M30=Results!M11,Results!M11&lt;&gt;Games!$C$94),1,0))</f>
        <v/>
      </c>
      <c r="AU30" s="13" t="str">
        <f>IF(OR(N30="",Results!N11=""),"",IF(AND(N30=Results!N11,Results!N11&lt;&gt;Games!$C$95),1,0))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IF(OR(B31="",Results!B11=""),"",IF(B31=Results!B11,1+IF(OR($O31=1,$P31=1,$Q31=1),1,0),0))</f>
        <v/>
      </c>
      <c r="T31" s="4" t="str">
        <f>IF(OR(C31="",Results!C11=""),"",IF(C31=Results!C11,1+IF(OR($O31=2,$P31=2,$Q31=2),1,0),0))</f>
        <v/>
      </c>
      <c r="U31" s="4" t="str">
        <f>IF(OR(D31="",Results!D11=""),"",IF(D31=Results!D11,1+IF(OR($O31=3,$P31=3,$Q31=3),1,0),0))</f>
        <v/>
      </c>
      <c r="V31" s="4" t="str">
        <f>IF(OR(E31="",Results!E11=""),"",IF(E31=Results!E11,1+IF(OR($O31=4,$P31=4,$Q31=4),1,0),0))</f>
        <v/>
      </c>
      <c r="W31" s="4" t="str">
        <f>IF(OR(F31="",Results!F11=""),"",IF(F31=Results!F11,1+IF(OR($O31=5,$P31=5,$Q31=5),1,0),0))</f>
        <v/>
      </c>
      <c r="X31" s="4" t="str">
        <f>IF(OR(G31="",Results!G11=""),"",IF(G31=Results!G11,1+IF(OR($O31=6,$P31=6,$Q31=6),1,0),0))</f>
        <v/>
      </c>
      <c r="Y31" s="4" t="str">
        <f>IF(OR(H31="",Results!H11=""),"",IF(H31=Results!H11,1+IF(OR($O31=7,$P31=7,$Q31=7),1,0),0))</f>
        <v/>
      </c>
      <c r="Z31" s="4" t="str">
        <f>IF(OR(I31="",Results!I11=""),"",IF(I31=Results!I11,1+IF(OR($O31=8,$P31=8,$Q31=8),1,0),0))</f>
        <v/>
      </c>
      <c r="AA31" s="4" t="str">
        <f>IF(OR(J31="",Results!J11=""),"",IF(J31=Results!J11,1+IF(OR($O31=9,$P31=9,$Q31=9),1,0),0))</f>
        <v/>
      </c>
      <c r="AB31" s="4" t="str">
        <f>IF(OR(K31="",Results!K11=""),"",IF(K31=Results!K11,1+IF(OR($O31=10,$P31=10,$Q31=10),1,0),0))</f>
        <v/>
      </c>
      <c r="AC31" s="4" t="str">
        <f>IF(OR(L31="",Results!L11=""),"",IF(L31=Results!L11,1+IF(OR($O31=11,$P31=11,$Q31=11),1,0),0))</f>
        <v/>
      </c>
      <c r="AD31" s="4" t="str">
        <f>IF(OR(M31="",Results!M11=""),"",IF(M31=Results!M11,1+IF(OR($O31=12,$P31=12,$Q31=12),1,0),0))</f>
        <v/>
      </c>
      <c r="AE31" s="4" t="str">
        <f>IF(OR(N31="",Results!N11=""),"",IF(N31=Results!N11,1+IF(OR($O31=13,$P31=13,$Q31=13),1,0),0))</f>
        <v/>
      </c>
      <c r="AF31" s="11">
        <f t="shared" si="0"/>
        <v>0</v>
      </c>
      <c r="AG31" s="4" t="str">
        <f>IF(OR($R31="",Results!O11=""),"",ABS($R31-Results!O11))</f>
        <v/>
      </c>
      <c r="AH31" s="12">
        <v>13</v>
      </c>
      <c r="AI31" s="13" t="str">
        <f>IF(OR(B31="",Results!B11=""),"",IF(AND(B31=Results!B11,Results!B11&lt;&gt;Games!$C$83),1,0))</f>
        <v/>
      </c>
      <c r="AJ31" s="13" t="str">
        <f>IF(OR(C31="",Results!C11=""),"",IF(AND(C31=Results!C11,Results!C11&lt;&gt;Games!$C$84),1,0))</f>
        <v/>
      </c>
      <c r="AK31" s="13" t="str">
        <f>IF(OR(D31="",Results!D11=""),"",IF(AND(D31=Results!D11,Results!D11&lt;&gt;Games!$C$85),1,0))</f>
        <v/>
      </c>
      <c r="AL31" s="13" t="str">
        <f>IF(OR(E31="",Results!E11=""),"",IF(AND(E31=Results!E11,Results!E11&lt;&gt;Games!$C$86),1,0))</f>
        <v/>
      </c>
      <c r="AM31" s="13" t="str">
        <f>IF(OR(F31="",Results!F11=""),"",IF(AND(F31=Results!F11,Results!F11&lt;&gt;Games!$C$87),1,0))</f>
        <v/>
      </c>
      <c r="AN31" s="13" t="str">
        <f>IF(OR(G31="",Results!G11=""),"",IF(AND(G31=Results!G11,Results!G11&lt;&gt;Games!$C$88),1,0))</f>
        <v/>
      </c>
      <c r="AO31" s="13" t="str">
        <f>IF(OR(H31="",Results!H11=""),"",IF(AND(H31=Results!H11,Results!H11&lt;&gt;Games!$C$89),1,0))</f>
        <v/>
      </c>
      <c r="AP31" s="13" t="str">
        <f>IF(OR(I31="",Results!I11=""),"",IF(AND(I31=Results!I11,Results!I11&lt;&gt;Games!$C$90),1,0))</f>
        <v/>
      </c>
      <c r="AQ31" s="13" t="str">
        <f>IF(OR(J31="",Results!J11=""),"",IF(AND(J31=Results!J11,Results!J11&lt;&gt;Games!$C$91),1,0))</f>
        <v/>
      </c>
      <c r="AR31" s="13" t="str">
        <f>IF(OR(K31="",Results!K11=""),"",IF(AND(K31=Results!K11,Results!K11&lt;&gt;Games!$C$92),1,0))</f>
        <v/>
      </c>
      <c r="AS31" s="13" t="str">
        <f>IF(OR(L31="",Results!L11=""),"",IF(AND(L31=Results!L11,Results!L11&lt;&gt;Games!$C$93),1,0))</f>
        <v/>
      </c>
      <c r="AT31" s="13" t="str">
        <f>IF(OR(M31="",Results!M11=""),"",IF(AND(M31=Results!M11,Results!M11&lt;&gt;Games!$C$94),1,0))</f>
        <v/>
      </c>
      <c r="AU31" s="13" t="str">
        <f>IF(OR(N31="",Results!N11=""),"",IF(AND(N31=Results!N11,Results!N11&lt;&gt;Games!$C$95),1,0))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IF(OR(B32="",Results!B11=""),"",IF(B32=Results!B11,1+IF(OR($O32=1,$P32=1,$Q32=1),1,0),0))</f>
        <v/>
      </c>
      <c r="T32" s="4" t="str">
        <f>IF(OR(C32="",Results!C11=""),"",IF(C32=Results!C11,1+IF(OR($O32=2,$P32=2,$Q32=2),1,0),0))</f>
        <v/>
      </c>
      <c r="U32" s="4" t="str">
        <f>IF(OR(D32="",Results!D11=""),"",IF(D32=Results!D11,1+IF(OR($O32=3,$P32=3,$Q32=3),1,0),0))</f>
        <v/>
      </c>
      <c r="V32" s="4" t="str">
        <f>IF(OR(E32="",Results!E11=""),"",IF(E32=Results!E11,1+IF(OR($O32=4,$P32=4,$Q32=4),1,0),0))</f>
        <v/>
      </c>
      <c r="W32" s="4" t="str">
        <f>IF(OR(F32="",Results!F11=""),"",IF(F32=Results!F11,1+IF(OR($O32=5,$P32=5,$Q32=5),1,0),0))</f>
        <v/>
      </c>
      <c r="X32" s="4" t="str">
        <f>IF(OR(G32="",Results!G11=""),"",IF(G32=Results!G11,1+IF(OR($O32=6,$P32=6,$Q32=6),1,0),0))</f>
        <v/>
      </c>
      <c r="Y32" s="4" t="str">
        <f>IF(OR(H32="",Results!H11=""),"",IF(H32=Results!H11,1+IF(OR($O32=7,$P32=7,$Q32=7),1,0),0))</f>
        <v/>
      </c>
      <c r="Z32" s="4" t="str">
        <f>IF(OR(I32="",Results!I11=""),"",IF(I32=Results!I11,1+IF(OR($O32=8,$P32=8,$Q32=8),1,0),0))</f>
        <v/>
      </c>
      <c r="AA32" s="4" t="str">
        <f>IF(OR(J32="",Results!J11=""),"",IF(J32=Results!J11,1+IF(OR($O32=9,$P32=9,$Q32=9),1,0),0))</f>
        <v/>
      </c>
      <c r="AB32" s="4" t="str">
        <f>IF(OR(K32="",Results!K11=""),"",IF(K32=Results!K11,1+IF(OR($O32=10,$P32=10,$Q32=10),1,0),0))</f>
        <v/>
      </c>
      <c r="AC32" s="4" t="str">
        <f>IF(OR(L32="",Results!L11=""),"",IF(L32=Results!L11,1+IF(OR($O32=11,$P32=11,$Q32=11),1,0),0))</f>
        <v/>
      </c>
      <c r="AD32" s="4" t="str">
        <f>IF(OR(M32="",Results!M11=""),"",IF(M32=Results!M11,1+IF(OR($O32=12,$P32=12,$Q32=12),1,0),0))</f>
        <v/>
      </c>
      <c r="AE32" s="4" t="str">
        <f>IF(OR(N32="",Results!N11=""),"",IF(N32=Results!N11,1+IF(OR($O32=13,$P32=13,$Q32=13),1,0),0))</f>
        <v/>
      </c>
      <c r="AF32" s="11">
        <f t="shared" si="0"/>
        <v>0</v>
      </c>
      <c r="AG32" s="4" t="str">
        <f>IF(OR($R32="",Results!O11=""),"",ABS($R32-Results!O11))</f>
        <v/>
      </c>
      <c r="AH32" s="12">
        <v>14</v>
      </c>
      <c r="AI32" s="13" t="str">
        <f>IF(OR(B32="",Results!B11=""),"",IF(AND(B32=Results!B11,Results!B11&lt;&gt;Games!$C$83),1,0))</f>
        <v/>
      </c>
      <c r="AJ32" s="13" t="str">
        <f>IF(OR(C32="",Results!C11=""),"",IF(AND(C32=Results!C11,Results!C11&lt;&gt;Games!$C$84),1,0))</f>
        <v/>
      </c>
      <c r="AK32" s="13" t="str">
        <f>IF(OR(D32="",Results!D11=""),"",IF(AND(D32=Results!D11,Results!D11&lt;&gt;Games!$C$85),1,0))</f>
        <v/>
      </c>
      <c r="AL32" s="13" t="str">
        <f>IF(OR(E32="",Results!E11=""),"",IF(AND(E32=Results!E11,Results!E11&lt;&gt;Games!$C$86),1,0))</f>
        <v/>
      </c>
      <c r="AM32" s="13" t="str">
        <f>IF(OR(F32="",Results!F11=""),"",IF(AND(F32=Results!F11,Results!F11&lt;&gt;Games!$C$87),1,0))</f>
        <v/>
      </c>
      <c r="AN32" s="13" t="str">
        <f>IF(OR(G32="",Results!G11=""),"",IF(AND(G32=Results!G11,Results!G11&lt;&gt;Games!$C$88),1,0))</f>
        <v/>
      </c>
      <c r="AO32" s="13" t="str">
        <f>IF(OR(H32="",Results!H11=""),"",IF(AND(H32=Results!H11,Results!H11&lt;&gt;Games!$C$89),1,0))</f>
        <v/>
      </c>
      <c r="AP32" s="13" t="str">
        <f>IF(OR(I32="",Results!I11=""),"",IF(AND(I32=Results!I11,Results!I11&lt;&gt;Games!$C$90),1,0))</f>
        <v/>
      </c>
      <c r="AQ32" s="13" t="str">
        <f>IF(OR(J32="",Results!J11=""),"",IF(AND(J32=Results!J11,Results!J11&lt;&gt;Games!$C$91),1,0))</f>
        <v/>
      </c>
      <c r="AR32" s="13" t="str">
        <f>IF(OR(K32="",Results!K11=""),"",IF(AND(K32=Results!K11,Results!K11&lt;&gt;Games!$C$92),1,0))</f>
        <v/>
      </c>
      <c r="AS32" s="13" t="str">
        <f>IF(OR(L32="",Results!L11=""),"",IF(AND(L32=Results!L11,Results!L11&lt;&gt;Games!$C$93),1,0))</f>
        <v/>
      </c>
      <c r="AT32" s="13" t="str">
        <f>IF(OR(M32="",Results!M11=""),"",IF(AND(M32=Results!M11,Results!M11&lt;&gt;Games!$C$94),1,0))</f>
        <v/>
      </c>
      <c r="AU32" s="13" t="str">
        <f>IF(OR(N32="",Results!N11=""),"",IF(AND(N32=Results!N11,Results!N11&lt;&gt;Games!$C$95),1,0))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4" t="str">
        <f>IF(OR(B33="",Results!B11=""),"",IF(B33=Results!B11,1+IF(OR($O33=1,$P33=1,$Q33=1),1,0),0))</f>
        <v/>
      </c>
      <c r="T33" s="4" t="str">
        <f>IF(OR(C33="",Results!C11=""),"",IF(C33=Results!C11,1+IF(OR($O33=2,$P33=2,$Q33=2),1,0),0))</f>
        <v/>
      </c>
      <c r="U33" s="4" t="str">
        <f>IF(OR(D33="",Results!D11=""),"",IF(D33=Results!D11,1+IF(OR($O33=3,$P33=3,$Q33=3),1,0),0))</f>
        <v/>
      </c>
      <c r="V33" s="4" t="str">
        <f>IF(OR(E33="",Results!E11=""),"",IF(E33=Results!E11,1+IF(OR($O33=4,$P33=4,$Q33=4),1,0),0))</f>
        <v/>
      </c>
      <c r="W33" s="4" t="str">
        <f>IF(OR(F33="",Results!F11=""),"",IF(F33=Results!F11,1+IF(OR($O33=5,$P33=5,$Q33=5),1,0),0))</f>
        <v/>
      </c>
      <c r="X33" s="4" t="str">
        <f>IF(OR(G33="",Results!G11=""),"",IF(G33=Results!G11,1+IF(OR($O33=6,$P33=6,$Q33=6),1,0),0))</f>
        <v/>
      </c>
      <c r="Y33" s="4" t="str">
        <f>IF(OR(H33="",Results!H11=""),"",IF(H33=Results!H11,1+IF(OR($O33=7,$P33=7,$Q33=7),1,0),0))</f>
        <v/>
      </c>
      <c r="Z33" s="4" t="str">
        <f>IF(OR(I33="",Results!I11=""),"",IF(I33=Results!I11,1+IF(OR($O33=8,$P33=8,$Q33=8),1,0),0))</f>
        <v/>
      </c>
      <c r="AA33" s="4" t="str">
        <f>IF(OR(J33="",Results!J11=""),"",IF(J33=Results!J11,1+IF(OR($O33=9,$P33=9,$Q33=9),1,0),0))</f>
        <v/>
      </c>
      <c r="AB33" s="4" t="str">
        <f>IF(OR(K33="",Results!K11=""),"",IF(K33=Results!K11,1+IF(OR($O33=10,$P33=10,$Q33=10),1,0),0))</f>
        <v/>
      </c>
      <c r="AC33" s="4" t="str">
        <f>IF(OR(L33="",Results!L11=""),"",IF(L33=Results!L11,1+IF(OR($O33=11,$P33=11,$Q33=11),1,0),0))</f>
        <v/>
      </c>
      <c r="AD33" s="4" t="str">
        <f>IF(OR(M33="",Results!M11=""),"",IF(M33=Results!M11,1+IF(OR($O33=12,$P33=12,$Q33=12),1,0),0))</f>
        <v/>
      </c>
      <c r="AE33" s="4" t="str">
        <f>IF(OR(N33="",Results!N11=""),"",IF(N33=Results!N11,1+IF(OR($O33=13,$P33=13,$Q33=13),1,0),0))</f>
        <v/>
      </c>
      <c r="AF33" s="11">
        <f t="shared" si="0"/>
        <v>0</v>
      </c>
      <c r="AG33" s="4" t="str">
        <f>IF(OR($R33="",Results!O11=""),"",ABS($R33-Results!O11))</f>
        <v/>
      </c>
      <c r="AH33" s="12">
        <v>15</v>
      </c>
      <c r="AI33" s="13" t="str">
        <f>IF(OR(B33="",Results!B11=""),"",IF(AND(B33=Results!B11,Results!B11&lt;&gt;Games!$C$83),1,0))</f>
        <v/>
      </c>
      <c r="AJ33" s="13" t="str">
        <f>IF(OR(C33="",Results!C11=""),"",IF(AND(C33=Results!C11,Results!C11&lt;&gt;Games!$C$84),1,0))</f>
        <v/>
      </c>
      <c r="AK33" s="13" t="str">
        <f>IF(OR(D33="",Results!D11=""),"",IF(AND(D33=Results!D11,Results!D11&lt;&gt;Games!$C$85),1,0))</f>
        <v/>
      </c>
      <c r="AL33" s="13" t="str">
        <f>IF(OR(E33="",Results!E11=""),"",IF(AND(E33=Results!E11,Results!E11&lt;&gt;Games!$C$86),1,0))</f>
        <v/>
      </c>
      <c r="AM33" s="13" t="str">
        <f>IF(OR(F33="",Results!F11=""),"",IF(AND(F33=Results!F11,Results!F11&lt;&gt;Games!$C$87),1,0))</f>
        <v/>
      </c>
      <c r="AN33" s="13" t="str">
        <f>IF(OR(G33="",Results!G11=""),"",IF(AND(G33=Results!G11,Results!G11&lt;&gt;Games!$C$88),1,0))</f>
        <v/>
      </c>
      <c r="AO33" s="13" t="str">
        <f>IF(OR(H33="",Results!H11=""),"",IF(AND(H33=Results!H11,Results!H11&lt;&gt;Games!$C$89),1,0))</f>
        <v/>
      </c>
      <c r="AP33" s="13" t="str">
        <f>IF(OR(I33="",Results!I11=""),"",IF(AND(I33=Results!I11,Results!I11&lt;&gt;Games!$C$90),1,0))</f>
        <v/>
      </c>
      <c r="AQ33" s="13" t="str">
        <f>IF(OR(J33="",Results!J11=""),"",IF(AND(J33=Results!J11,Results!J11&lt;&gt;Games!$C$91),1,0))</f>
        <v/>
      </c>
      <c r="AR33" s="13" t="str">
        <f>IF(OR(K33="",Results!K11=""),"",IF(AND(K33=Results!K11,Results!K11&lt;&gt;Games!$C$92),1,0))</f>
        <v/>
      </c>
      <c r="AS33" s="13" t="str">
        <f>IF(OR(L33="",Results!L11=""),"",IF(AND(L33=Results!L11,Results!L11&lt;&gt;Games!$C$93),1,0))</f>
        <v/>
      </c>
      <c r="AT33" s="13" t="str">
        <f>IF(OR(M33="",Results!M11=""),"",IF(AND(M33=Results!M11,Results!M11&lt;&gt;Games!$C$94),1,0))</f>
        <v/>
      </c>
      <c r="AU33" s="13" t="str">
        <f>IF(OR(N33="",Results!N11=""),"",IF(AND(N33=Results!N11,Results!N11&lt;&gt;Games!$C$95),1,0))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IF(OR(B34="",Results!B11=""),"",IF(B34=Results!B11,1+IF(OR($O34=1,$P34=1,$Q34=1),1,0),0))</f>
        <v/>
      </c>
      <c r="T34" s="4" t="str">
        <f>IF(OR(C34="",Results!C11=""),"",IF(C34=Results!C11,1+IF(OR($O34=2,$P34=2,$Q34=2),1,0),0))</f>
        <v/>
      </c>
      <c r="U34" s="4" t="str">
        <f>IF(OR(D34="",Results!D11=""),"",IF(D34=Results!D11,1+IF(OR($O34=3,$P34=3,$Q34=3),1,0),0))</f>
        <v/>
      </c>
      <c r="V34" s="4" t="str">
        <f>IF(OR(E34="",Results!E11=""),"",IF(E34=Results!E11,1+IF(OR($O34=4,$P34=4,$Q34=4),1,0),0))</f>
        <v/>
      </c>
      <c r="W34" s="4" t="str">
        <f>IF(OR(F34="",Results!F11=""),"",IF(F34=Results!F11,1+IF(OR($O34=5,$P34=5,$Q34=5),1,0),0))</f>
        <v/>
      </c>
      <c r="X34" s="4" t="str">
        <f>IF(OR(G34="",Results!G11=""),"",IF(G34=Results!G11,1+IF(OR($O34=6,$P34=6,$Q34=6),1,0),0))</f>
        <v/>
      </c>
      <c r="Y34" s="4" t="str">
        <f>IF(OR(H34="",Results!H11=""),"",IF(H34=Results!H11,1+IF(OR($O34=7,$P34=7,$Q34=7),1,0),0))</f>
        <v/>
      </c>
      <c r="Z34" s="4" t="str">
        <f>IF(OR(I34="",Results!I11=""),"",IF(I34=Results!I11,1+IF(OR($O34=8,$P34=8,$Q34=8),1,0),0))</f>
        <v/>
      </c>
      <c r="AA34" s="4" t="str">
        <f>IF(OR(J34="",Results!J11=""),"",IF(J34=Results!J11,1+IF(OR($O34=9,$P34=9,$Q34=9),1,0),0))</f>
        <v/>
      </c>
      <c r="AB34" s="4" t="str">
        <f>IF(OR(K34="",Results!K11=""),"",IF(K34=Results!K11,1+IF(OR($O34=10,$P34=10,$Q34=10),1,0),0))</f>
        <v/>
      </c>
      <c r="AC34" s="4" t="str">
        <f>IF(OR(L34="",Results!L11=""),"",IF(L34=Results!L11,1+IF(OR($O34=11,$P34=11,$Q34=11),1,0),0))</f>
        <v/>
      </c>
      <c r="AD34" s="4" t="str">
        <f>IF(OR(M34="",Results!M11=""),"",IF(M34=Results!M11,1+IF(OR($O34=12,$P34=12,$Q34=12),1,0),0))</f>
        <v/>
      </c>
      <c r="AE34" s="4" t="str">
        <f>IF(OR(N34="",Results!N11=""),"",IF(N34=Results!N11,1+IF(OR($O34=13,$P34=13,$Q34=13),1,0),0))</f>
        <v/>
      </c>
      <c r="AF34" s="11">
        <f t="shared" si="0"/>
        <v>0</v>
      </c>
      <c r="AG34" s="4" t="str">
        <f>IF(OR($R34="",Results!O11=""),"",ABS($R34-Results!O11))</f>
        <v/>
      </c>
      <c r="AH34" s="12">
        <v>16</v>
      </c>
      <c r="AI34" s="13" t="str">
        <f>IF(OR(B34="",Results!B11=""),"",IF(AND(B34=Results!B11,Results!B11&lt;&gt;Games!$C$83),1,0))</f>
        <v/>
      </c>
      <c r="AJ34" s="13" t="str">
        <f>IF(OR(C34="",Results!C11=""),"",IF(AND(C34=Results!C11,Results!C11&lt;&gt;Games!$C$84),1,0))</f>
        <v/>
      </c>
      <c r="AK34" s="13" t="str">
        <f>IF(OR(D34="",Results!D11=""),"",IF(AND(D34=Results!D11,Results!D11&lt;&gt;Games!$C$85),1,0))</f>
        <v/>
      </c>
      <c r="AL34" s="13" t="str">
        <f>IF(OR(E34="",Results!E11=""),"",IF(AND(E34=Results!E11,Results!E11&lt;&gt;Games!$C$86),1,0))</f>
        <v/>
      </c>
      <c r="AM34" s="13" t="str">
        <f>IF(OR(F34="",Results!F11=""),"",IF(AND(F34=Results!F11,Results!F11&lt;&gt;Games!$C$87),1,0))</f>
        <v/>
      </c>
      <c r="AN34" s="13" t="str">
        <f>IF(OR(G34="",Results!G11=""),"",IF(AND(G34=Results!G11,Results!G11&lt;&gt;Games!$C$88),1,0))</f>
        <v/>
      </c>
      <c r="AO34" s="13" t="str">
        <f>IF(OR(H34="",Results!H11=""),"",IF(AND(H34=Results!H11,Results!H11&lt;&gt;Games!$C$89),1,0))</f>
        <v/>
      </c>
      <c r="AP34" s="13" t="str">
        <f>IF(OR(I34="",Results!I11=""),"",IF(AND(I34=Results!I11,Results!I11&lt;&gt;Games!$C$90),1,0))</f>
        <v/>
      </c>
      <c r="AQ34" s="13" t="str">
        <f>IF(OR(J34="",Results!J11=""),"",IF(AND(J34=Results!J11,Results!J11&lt;&gt;Games!$C$91),1,0))</f>
        <v/>
      </c>
      <c r="AR34" s="13" t="str">
        <f>IF(OR(K34="",Results!K11=""),"",IF(AND(K34=Results!K11,Results!K11&lt;&gt;Games!$C$92),1,0))</f>
        <v/>
      </c>
      <c r="AS34" s="13" t="str">
        <f>IF(OR(L34="",Results!L11=""),"",IF(AND(L34=Results!L11,Results!L11&lt;&gt;Games!$C$93),1,0))</f>
        <v/>
      </c>
      <c r="AT34" s="13" t="str">
        <f>IF(OR(M34="",Results!M11=""),"",IF(AND(M34=Results!M11,Results!M11&lt;&gt;Games!$C$94),1,0))</f>
        <v/>
      </c>
      <c r="AU34" s="13" t="str">
        <f>IF(OR(N34="",Results!N11=""),"",IF(AND(N34=Results!N11,Results!N11&lt;&gt;Games!$C$95),1,0))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IF(OR(B35="",Results!B11=""),"",IF(B35=Results!B11,1+IF(OR($O35=1,$P35=1,$Q35=1),1,0),0))</f>
        <v/>
      </c>
      <c r="T35" s="4" t="str">
        <f>IF(OR(C35="",Results!C11=""),"",IF(C35=Results!C11,1+IF(OR($O35=2,$P35=2,$Q35=2),1,0),0))</f>
        <v/>
      </c>
      <c r="U35" s="4" t="str">
        <f>IF(OR(D35="",Results!D11=""),"",IF(D35=Results!D11,1+IF(OR($O35=3,$P35=3,$Q35=3),1,0),0))</f>
        <v/>
      </c>
      <c r="V35" s="4" t="str">
        <f>IF(OR(E35="",Results!E11=""),"",IF(E35=Results!E11,1+IF(OR($O35=4,$P35=4,$Q35=4),1,0),0))</f>
        <v/>
      </c>
      <c r="W35" s="4" t="str">
        <f>IF(OR(F35="",Results!F11=""),"",IF(F35=Results!F11,1+IF(OR($O35=5,$P35=5,$Q35=5),1,0),0))</f>
        <v/>
      </c>
      <c r="X35" s="4" t="str">
        <f>IF(OR(G35="",Results!G11=""),"",IF(G35=Results!G11,1+IF(OR($O35=6,$P35=6,$Q35=6),1,0),0))</f>
        <v/>
      </c>
      <c r="Y35" s="4" t="str">
        <f>IF(OR(H35="",Results!H11=""),"",IF(H35=Results!H11,1+IF(OR($O35=7,$P35=7,$Q35=7),1,0),0))</f>
        <v/>
      </c>
      <c r="Z35" s="4" t="str">
        <f>IF(OR(I35="",Results!I11=""),"",IF(I35=Results!I11,1+IF(OR($O35=8,$P35=8,$Q35=8),1,0),0))</f>
        <v/>
      </c>
      <c r="AA35" s="4" t="str">
        <f>IF(OR(J35="",Results!J11=""),"",IF(J35=Results!J11,1+IF(OR($O35=9,$P35=9,$Q35=9),1,0),0))</f>
        <v/>
      </c>
      <c r="AB35" s="4" t="str">
        <f>IF(OR(K35="",Results!K11=""),"",IF(K35=Results!K11,1+IF(OR($O35=10,$P35=10,$Q35=10),1,0),0))</f>
        <v/>
      </c>
      <c r="AC35" s="4" t="str">
        <f>IF(OR(L35="",Results!L11=""),"",IF(L35=Results!L11,1+IF(OR($O35=11,$P35=11,$Q35=11),1,0),0))</f>
        <v/>
      </c>
      <c r="AD35" s="4" t="str">
        <f>IF(OR(M35="",Results!M11=""),"",IF(M35=Results!M11,1+IF(OR($O35=12,$P35=12,$Q35=12),1,0),0))</f>
        <v/>
      </c>
      <c r="AE35" s="4" t="str">
        <f>IF(OR(N35="",Results!N11=""),"",IF(N35=Results!N11,1+IF(OR($O35=13,$P35=13,$Q35=13),1,0),0))</f>
        <v/>
      </c>
      <c r="AF35" s="11">
        <f t="shared" si="0"/>
        <v>0</v>
      </c>
      <c r="AG35" s="4" t="str">
        <f>IF(OR($R35="",Results!O11=""),"",ABS($R35-Results!O11))</f>
        <v/>
      </c>
      <c r="AH35" s="12">
        <v>17</v>
      </c>
      <c r="AI35" s="13" t="str">
        <f>IF(OR(B35="",Results!B11=""),"",IF(AND(B35=Results!B11,Results!B11&lt;&gt;Games!$C$83),1,0))</f>
        <v/>
      </c>
      <c r="AJ35" s="13" t="str">
        <f>IF(OR(C35="",Results!C11=""),"",IF(AND(C35=Results!C11,Results!C11&lt;&gt;Games!$C$84),1,0))</f>
        <v/>
      </c>
      <c r="AK35" s="13" t="str">
        <f>IF(OR(D35="",Results!D11=""),"",IF(AND(D35=Results!D11,Results!D11&lt;&gt;Games!$C$85),1,0))</f>
        <v/>
      </c>
      <c r="AL35" s="13" t="str">
        <f>IF(OR(E35="",Results!E11=""),"",IF(AND(E35=Results!E11,Results!E11&lt;&gt;Games!$C$86),1,0))</f>
        <v/>
      </c>
      <c r="AM35" s="13" t="str">
        <f>IF(OR(F35="",Results!F11=""),"",IF(AND(F35=Results!F11,Results!F11&lt;&gt;Games!$C$87),1,0))</f>
        <v/>
      </c>
      <c r="AN35" s="13" t="str">
        <f>IF(OR(G35="",Results!G11=""),"",IF(AND(G35=Results!G11,Results!G11&lt;&gt;Games!$C$88),1,0))</f>
        <v/>
      </c>
      <c r="AO35" s="13" t="str">
        <f>IF(OR(H35="",Results!H11=""),"",IF(AND(H35=Results!H11,Results!H11&lt;&gt;Games!$C$89),1,0))</f>
        <v/>
      </c>
      <c r="AP35" s="13" t="str">
        <f>IF(OR(I35="",Results!I11=""),"",IF(AND(I35=Results!I11,Results!I11&lt;&gt;Games!$C$90),1,0))</f>
        <v/>
      </c>
      <c r="AQ35" s="13" t="str">
        <f>IF(OR(J35="",Results!J11=""),"",IF(AND(J35=Results!J11,Results!J11&lt;&gt;Games!$C$91),1,0))</f>
        <v/>
      </c>
      <c r="AR35" s="13" t="str">
        <f>IF(OR(K35="",Results!K11=""),"",IF(AND(K35=Results!K11,Results!K11&lt;&gt;Games!$C$92),1,0))</f>
        <v/>
      </c>
      <c r="AS35" s="13" t="str">
        <f>IF(OR(L35="",Results!L11=""),"",IF(AND(L35=Results!L11,Results!L11&lt;&gt;Games!$C$93),1,0))</f>
        <v/>
      </c>
      <c r="AT35" s="13" t="str">
        <f>IF(OR(M35="",Results!M11=""),"",IF(AND(M35=Results!M11,Results!M11&lt;&gt;Games!$C$94),1,0))</f>
        <v/>
      </c>
      <c r="AU35" s="13" t="str">
        <f>IF(OR(N35="",Results!N11=""),"",IF(AND(N35=Results!N11,Results!N11&lt;&gt;Games!$C$95),1,0))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IF(OR(B36="",Results!B11=""),"",IF(B36=Results!B11,1+IF(OR($O36=1,$P36=1,$Q36=1),1,0),0))</f>
        <v/>
      </c>
      <c r="T36" s="4" t="str">
        <f>IF(OR(C36="",Results!C11=""),"",IF(C36=Results!C11,1+IF(OR($O36=2,$P36=2,$Q36=2),1,0),0))</f>
        <v/>
      </c>
      <c r="U36" s="4" t="str">
        <f>IF(OR(D36="",Results!D11=""),"",IF(D36=Results!D11,1+IF(OR($O36=3,$P36=3,$Q36=3),1,0),0))</f>
        <v/>
      </c>
      <c r="V36" s="4" t="str">
        <f>IF(OR(E36="",Results!E11=""),"",IF(E36=Results!E11,1+IF(OR($O36=4,$P36=4,$Q36=4),1,0),0))</f>
        <v/>
      </c>
      <c r="W36" s="4" t="str">
        <f>IF(OR(F36="",Results!F11=""),"",IF(F36=Results!F11,1+IF(OR($O36=5,$P36=5,$Q36=5),1,0),0))</f>
        <v/>
      </c>
      <c r="X36" s="4" t="str">
        <f>IF(OR(G36="",Results!G11=""),"",IF(G36=Results!G11,1+IF(OR($O36=6,$P36=6,$Q36=6),1,0),0))</f>
        <v/>
      </c>
      <c r="Y36" s="4" t="str">
        <f>IF(OR(H36="",Results!H11=""),"",IF(H36=Results!H11,1+IF(OR($O36=7,$P36=7,$Q36=7),1,0),0))</f>
        <v/>
      </c>
      <c r="Z36" s="4" t="str">
        <f>IF(OR(I36="",Results!I11=""),"",IF(I36=Results!I11,1+IF(OR($O36=8,$P36=8,$Q36=8),1,0),0))</f>
        <v/>
      </c>
      <c r="AA36" s="4" t="str">
        <f>IF(OR(J36="",Results!J11=""),"",IF(J36=Results!J11,1+IF(OR($O36=9,$P36=9,$Q36=9),1,0),0))</f>
        <v/>
      </c>
      <c r="AB36" s="4" t="str">
        <f>IF(OR(K36="",Results!K11=""),"",IF(K36=Results!K11,1+IF(OR($O36=10,$P36=10,$Q36=10),1,0),0))</f>
        <v/>
      </c>
      <c r="AC36" s="4" t="str">
        <f>IF(OR(L36="",Results!L11=""),"",IF(L36=Results!L11,1+IF(OR($O36=11,$P36=11,$Q36=11),1,0),0))</f>
        <v/>
      </c>
      <c r="AD36" s="4" t="str">
        <f>IF(OR(M36="",Results!M11=""),"",IF(M36=Results!M11,1+IF(OR($O36=12,$P36=12,$Q36=12),1,0),0))</f>
        <v/>
      </c>
      <c r="AE36" s="4" t="str">
        <f>IF(OR(N36="",Results!N11=""),"",IF(N36=Results!N11,1+IF(OR($O36=13,$P36=13,$Q36=13),1,0),0))</f>
        <v/>
      </c>
      <c r="AF36" s="11">
        <f t="shared" si="0"/>
        <v>0</v>
      </c>
      <c r="AG36" s="4" t="str">
        <f>IF(OR($R36="",Results!O11=""),"",ABS($R36-Results!O11))</f>
        <v/>
      </c>
      <c r="AH36" s="12">
        <v>39</v>
      </c>
      <c r="AI36" s="13" t="str">
        <f>IF(OR(B36="",Results!B11=""),"",IF(AND(B36=Results!B11,Results!B11&lt;&gt;Games!$C$83),1,0))</f>
        <v/>
      </c>
      <c r="AJ36" s="13" t="str">
        <f>IF(OR(C36="",Results!C11=""),"",IF(AND(C36=Results!C11,Results!C11&lt;&gt;Games!$C$84),1,0))</f>
        <v/>
      </c>
      <c r="AK36" s="13" t="str">
        <f>IF(OR(D36="",Results!D11=""),"",IF(AND(D36=Results!D11,Results!D11&lt;&gt;Games!$C$85),1,0))</f>
        <v/>
      </c>
      <c r="AL36" s="13" t="str">
        <f>IF(OR(E36="",Results!E11=""),"",IF(AND(E36=Results!E11,Results!E11&lt;&gt;Games!$C$86),1,0))</f>
        <v/>
      </c>
      <c r="AM36" s="13" t="str">
        <f>IF(OR(F36="",Results!F11=""),"",IF(AND(F36=Results!F11,Results!F11&lt;&gt;Games!$C$87),1,0))</f>
        <v/>
      </c>
      <c r="AN36" s="13" t="str">
        <f>IF(OR(G36="",Results!G11=""),"",IF(AND(G36=Results!G11,Results!G11&lt;&gt;Games!$C$88),1,0))</f>
        <v/>
      </c>
      <c r="AO36" s="13" t="str">
        <f>IF(OR(H36="",Results!H11=""),"",IF(AND(H36=Results!H11,Results!H11&lt;&gt;Games!$C$89),1,0))</f>
        <v/>
      </c>
      <c r="AP36" s="13" t="str">
        <f>IF(OR(I36="",Results!I11=""),"",IF(AND(I36=Results!I11,Results!I11&lt;&gt;Games!$C$90),1,0))</f>
        <v/>
      </c>
      <c r="AQ36" s="13" t="str">
        <f>IF(OR(J36="",Results!J11=""),"",IF(AND(J36=Results!J11,Results!J11&lt;&gt;Games!$C$91),1,0))</f>
        <v/>
      </c>
      <c r="AR36" s="13" t="str">
        <f>IF(OR(K36="",Results!K11=""),"",IF(AND(K36=Results!K11,Results!K11&lt;&gt;Games!$C$92),1,0))</f>
        <v/>
      </c>
      <c r="AS36" s="13" t="str">
        <f>IF(OR(L36="",Results!L11=""),"",IF(AND(L36=Results!L11,Results!L11&lt;&gt;Games!$C$93),1,0))</f>
        <v/>
      </c>
      <c r="AT36" s="13" t="str">
        <f>IF(OR(M36="",Results!M11=""),"",IF(AND(M36=Results!M11,Results!M11&lt;&gt;Games!$C$94),1,0))</f>
        <v/>
      </c>
      <c r="AU36" s="13" t="str">
        <f>IF(OR(N36="",Results!N11=""),"",IF(AND(N36=Results!N11,Results!N11&lt;&gt;Games!$C$95),1,0))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IF(OR(B37="",Results!B11=""),"",IF(B37=Results!B11,1+IF(OR($O37=1,$P37=1,$Q37=1),1,0),0))</f>
        <v/>
      </c>
      <c r="T37" s="4" t="str">
        <f>IF(OR(C37="",Results!C11=""),"",IF(C37=Results!C11,1+IF(OR($O37=2,$P37=2,$Q37=2),1,0),0))</f>
        <v/>
      </c>
      <c r="U37" s="4" t="str">
        <f>IF(OR(D37="",Results!D11=""),"",IF(D37=Results!D11,1+IF(OR($O37=3,$P37=3,$Q37=3),1,0),0))</f>
        <v/>
      </c>
      <c r="V37" s="4" t="str">
        <f>IF(OR(E37="",Results!E11=""),"",IF(E37=Results!E11,1+IF(OR($O37=4,$P37=4,$Q37=4),1,0),0))</f>
        <v/>
      </c>
      <c r="W37" s="4" t="str">
        <f>IF(OR(F37="",Results!F11=""),"",IF(F37=Results!F11,1+IF(OR($O37=5,$P37=5,$Q37=5),1,0),0))</f>
        <v/>
      </c>
      <c r="X37" s="4" t="str">
        <f>IF(OR(G37="",Results!G11=""),"",IF(G37=Results!G11,1+IF(OR($O37=6,$P37=6,$Q37=6),1,0),0))</f>
        <v/>
      </c>
      <c r="Y37" s="4" t="str">
        <f>IF(OR(H37="",Results!H11=""),"",IF(H37=Results!H11,1+IF(OR($O37=7,$P37=7,$Q37=7),1,0),0))</f>
        <v/>
      </c>
      <c r="Z37" s="4" t="str">
        <f>IF(OR(I37="",Results!I11=""),"",IF(I37=Results!I11,1+IF(OR($O37=8,$P37=8,$Q37=8),1,0),0))</f>
        <v/>
      </c>
      <c r="AA37" s="4" t="str">
        <f>IF(OR(J37="",Results!J11=""),"",IF(J37=Results!J11,1+IF(OR($O37=9,$P37=9,$Q37=9),1,0),0))</f>
        <v/>
      </c>
      <c r="AB37" s="4" t="str">
        <f>IF(OR(K37="",Results!K11=""),"",IF(K37=Results!K11,1+IF(OR($O37=10,$P37=10,$Q37=10),1,0),0))</f>
        <v/>
      </c>
      <c r="AC37" s="4" t="str">
        <f>IF(OR(L37="",Results!L11=""),"",IF(L37=Results!L11,1+IF(OR($O37=11,$P37=11,$Q37=11),1,0),0))</f>
        <v/>
      </c>
      <c r="AD37" s="4" t="str">
        <f>IF(OR(M37="",Results!M11=""),"",IF(M37=Results!M11,1+IF(OR($O37=12,$P37=12,$Q37=12),1,0),0))</f>
        <v/>
      </c>
      <c r="AE37" s="4" t="str">
        <f>IF(OR(N37="",Results!N11=""),"",IF(N37=Results!N11,1+IF(OR($O37=13,$P37=13,$Q37=13),1,0),0))</f>
        <v/>
      </c>
      <c r="AF37" s="11">
        <f t="shared" si="0"/>
        <v>0</v>
      </c>
      <c r="AG37" s="4" t="str">
        <f>IF(OR($R37="",Results!O11=""),"",ABS($R37-Results!O11))</f>
        <v/>
      </c>
      <c r="AH37" s="12">
        <v>49</v>
      </c>
      <c r="AI37" s="13" t="str">
        <f>IF(OR(B37="",Results!B11=""),"",IF(AND(B37=Results!B11,Results!B11&lt;&gt;Games!$C$83),1,0))</f>
        <v/>
      </c>
      <c r="AJ37" s="13" t="str">
        <f>IF(OR(C37="",Results!C11=""),"",IF(AND(C37=Results!C11,Results!C11&lt;&gt;Games!$C$84),1,0))</f>
        <v/>
      </c>
      <c r="AK37" s="13" t="str">
        <f>IF(OR(D37="",Results!D11=""),"",IF(AND(D37=Results!D11,Results!D11&lt;&gt;Games!$C$85),1,0))</f>
        <v/>
      </c>
      <c r="AL37" s="13" t="str">
        <f>IF(OR(E37="",Results!E11=""),"",IF(AND(E37=Results!E11,Results!E11&lt;&gt;Games!$C$86),1,0))</f>
        <v/>
      </c>
      <c r="AM37" s="13" t="str">
        <f>IF(OR(F37="",Results!F11=""),"",IF(AND(F37=Results!F11,Results!F11&lt;&gt;Games!$C$87),1,0))</f>
        <v/>
      </c>
      <c r="AN37" s="13" t="str">
        <f>IF(OR(G37="",Results!G11=""),"",IF(AND(G37=Results!G11,Results!G11&lt;&gt;Games!$C$88),1,0))</f>
        <v/>
      </c>
      <c r="AO37" s="13" t="str">
        <f>IF(OR(H37="",Results!H11=""),"",IF(AND(H37=Results!H11,Results!H11&lt;&gt;Games!$C$89),1,0))</f>
        <v/>
      </c>
      <c r="AP37" s="13" t="str">
        <f>IF(OR(I37="",Results!I11=""),"",IF(AND(I37=Results!I11,Results!I11&lt;&gt;Games!$C$90),1,0))</f>
        <v/>
      </c>
      <c r="AQ37" s="13" t="str">
        <f>IF(OR(J37="",Results!J11=""),"",IF(AND(J37=Results!J11,Results!J11&lt;&gt;Games!$C$91),1,0))</f>
        <v/>
      </c>
      <c r="AR37" s="13" t="str">
        <f>IF(OR(K37="",Results!K11=""),"",IF(AND(K37=Results!K11,Results!K11&lt;&gt;Games!$C$92),1,0))</f>
        <v/>
      </c>
      <c r="AS37" s="13" t="str">
        <f>IF(OR(L37="",Results!L11=""),"",IF(AND(L37=Results!L11,Results!L11&lt;&gt;Games!$C$93),1,0))</f>
        <v/>
      </c>
      <c r="AT37" s="13" t="str">
        <f>IF(OR(M37="",Results!M11=""),"",IF(AND(M37=Results!M11,Results!M11&lt;&gt;Games!$C$94),1,0))</f>
        <v/>
      </c>
      <c r="AU37" s="13" t="str">
        <f>IF(OR(N37="",Results!N11=""),"",IF(AND(N37=Results!N11,Results!N11&lt;&gt;Games!$C$95),1,0))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tr">
        <f>IF(OR(B38="",Results!B11=""),"",IF(B38=Results!B11,1+IF(OR($O38=1,$P38=1,$Q38=1),1,0),0))</f>
        <v/>
      </c>
      <c r="T38" s="4" t="str">
        <f>IF(OR(C38="",Results!C11=""),"",IF(C38=Results!C11,1+IF(OR($O38=2,$P38=2,$Q38=2),1,0),0))</f>
        <v/>
      </c>
      <c r="U38" s="4" t="str">
        <f>IF(OR(D38="",Results!D11=""),"",IF(D38=Results!D11,1+IF(OR($O38=3,$P38=3,$Q38=3),1,0),0))</f>
        <v/>
      </c>
      <c r="V38" s="4" t="str">
        <f>IF(OR(E38="",Results!E11=""),"",IF(E38=Results!E11,1+IF(OR($O38=4,$P38=4,$Q38=4),1,0),0))</f>
        <v/>
      </c>
      <c r="W38" s="4" t="str">
        <f>IF(OR(F38="",Results!F11=""),"",IF(F38=Results!F11,1+IF(OR($O38=5,$P38=5,$Q38=5),1,0),0))</f>
        <v/>
      </c>
      <c r="X38" s="4" t="str">
        <f>IF(OR(G38="",Results!G11=""),"",IF(G38=Results!G11,1+IF(OR($O38=6,$P38=6,$Q38=6),1,0),0))</f>
        <v/>
      </c>
      <c r="Y38" s="4" t="str">
        <f>IF(OR(H38="",Results!H11=""),"",IF(H38=Results!H11,1+IF(OR($O38=7,$P38=7,$Q38=7),1,0),0))</f>
        <v/>
      </c>
      <c r="Z38" s="4" t="str">
        <f>IF(OR(I38="",Results!I11=""),"",IF(I38=Results!I11,1+IF(OR($O38=8,$P38=8,$Q38=8),1,0),0))</f>
        <v/>
      </c>
      <c r="AA38" s="4" t="str">
        <f>IF(OR(J38="",Results!J11=""),"",IF(J38=Results!J11,1+IF(OR($O38=9,$P38=9,$Q38=9),1,0),0))</f>
        <v/>
      </c>
      <c r="AB38" s="4" t="str">
        <f>IF(OR(K38="",Results!K11=""),"",IF(K38=Results!K11,1+IF(OR($O38=10,$P38=10,$Q38=10),1,0),0))</f>
        <v/>
      </c>
      <c r="AC38" s="4" t="str">
        <f>IF(OR(L38="",Results!L11=""),"",IF(L38=Results!L11,1+IF(OR($O38=11,$P38=11,$Q38=11),1,0),0))</f>
        <v/>
      </c>
      <c r="AD38" s="4" t="str">
        <f>IF(OR(M38="",Results!M11=""),"",IF(M38=Results!M11,1+IF(OR($O38=12,$P38=12,$Q38=12),1,0),0))</f>
        <v/>
      </c>
      <c r="AE38" s="4" t="str">
        <f>IF(OR(N38="",Results!N11=""),"",IF(N38=Results!N11,1+IF(OR($O38=13,$P38=13,$Q38=13),1,0),0))</f>
        <v/>
      </c>
      <c r="AF38" s="11">
        <f t="shared" ref="AF38:AF65" si="2">SUM(S38:AE38)</f>
        <v>0</v>
      </c>
      <c r="AG38" s="4" t="str">
        <f>IF(OR($R38="",Results!O11=""),"",ABS($R38-Results!O11))</f>
        <v/>
      </c>
      <c r="AH38" s="12">
        <v>18</v>
      </c>
      <c r="AI38" s="13" t="str">
        <f>IF(OR(B38="",Results!B11=""),"",IF(AND(B38=Results!B11,Results!B11&lt;&gt;Games!$C$83),1,0))</f>
        <v/>
      </c>
      <c r="AJ38" s="13" t="str">
        <f>IF(OR(C38="",Results!C11=""),"",IF(AND(C38=Results!C11,Results!C11&lt;&gt;Games!$C$84),1,0))</f>
        <v/>
      </c>
      <c r="AK38" s="13" t="str">
        <f>IF(OR(D38="",Results!D11=""),"",IF(AND(D38=Results!D11,Results!D11&lt;&gt;Games!$C$85),1,0))</f>
        <v/>
      </c>
      <c r="AL38" s="13" t="str">
        <f>IF(OR(E38="",Results!E11=""),"",IF(AND(E38=Results!E11,Results!E11&lt;&gt;Games!$C$86),1,0))</f>
        <v/>
      </c>
      <c r="AM38" s="13" t="str">
        <f>IF(OR(F38="",Results!F11=""),"",IF(AND(F38=Results!F11,Results!F11&lt;&gt;Games!$C$87),1,0))</f>
        <v/>
      </c>
      <c r="AN38" s="13" t="str">
        <f>IF(OR(G38="",Results!G11=""),"",IF(AND(G38=Results!G11,Results!G11&lt;&gt;Games!$C$88),1,0))</f>
        <v/>
      </c>
      <c r="AO38" s="13" t="str">
        <f>IF(OR(H38="",Results!H11=""),"",IF(AND(H38=Results!H11,Results!H11&lt;&gt;Games!$C$89),1,0))</f>
        <v/>
      </c>
      <c r="AP38" s="13" t="str">
        <f>IF(OR(I38="",Results!I11=""),"",IF(AND(I38=Results!I11,Results!I11&lt;&gt;Games!$C$90),1,0))</f>
        <v/>
      </c>
      <c r="AQ38" s="13" t="str">
        <f>IF(OR(J38="",Results!J11=""),"",IF(AND(J38=Results!J11,Results!J11&lt;&gt;Games!$C$91),1,0))</f>
        <v/>
      </c>
      <c r="AR38" s="13" t="str">
        <f>IF(OR(K38="",Results!K11=""),"",IF(AND(K38=Results!K11,Results!K11&lt;&gt;Games!$C$92),1,0))</f>
        <v/>
      </c>
      <c r="AS38" s="13" t="str">
        <f>IF(OR(L38="",Results!L11=""),"",IF(AND(L38=Results!L11,Results!L11&lt;&gt;Games!$C$93),1,0))</f>
        <v/>
      </c>
      <c r="AT38" s="13" t="str">
        <f>IF(OR(M38="",Results!M11=""),"",IF(AND(M38=Results!M11,Results!M11&lt;&gt;Games!$C$94),1,0))</f>
        <v/>
      </c>
      <c r="AU38" s="13" t="str">
        <f>IF(OR(N38="",Results!N11=""),"",IF(AND(N38=Results!N11,Results!N11&lt;&gt;Games!$C$95),1,0))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IF(OR(B39="",Results!B11=""),"",IF(B39=Results!B11,1+IF(OR($O39=1,$P39=1,$Q39=1),1,0),0))</f>
        <v/>
      </c>
      <c r="T39" s="4" t="str">
        <f>IF(OR(C39="",Results!C11=""),"",IF(C39=Results!C11,1+IF(OR($O39=2,$P39=2,$Q39=2),1,0),0))</f>
        <v/>
      </c>
      <c r="U39" s="4" t="str">
        <f>IF(OR(D39="",Results!D11=""),"",IF(D39=Results!D11,1+IF(OR($O39=3,$P39=3,$Q39=3),1,0),0))</f>
        <v/>
      </c>
      <c r="V39" s="4" t="str">
        <f>IF(OR(E39="",Results!E11=""),"",IF(E39=Results!E11,1+IF(OR($O39=4,$P39=4,$Q39=4),1,0),0))</f>
        <v/>
      </c>
      <c r="W39" s="4" t="str">
        <f>IF(OR(F39="",Results!F11=""),"",IF(F39=Results!F11,1+IF(OR($O39=5,$P39=5,$Q39=5),1,0),0))</f>
        <v/>
      </c>
      <c r="X39" s="4" t="str">
        <f>IF(OR(G39="",Results!G11=""),"",IF(G39=Results!G11,1+IF(OR($O39=6,$P39=6,$Q39=6),1,0),0))</f>
        <v/>
      </c>
      <c r="Y39" s="4" t="str">
        <f>IF(OR(H39="",Results!H11=""),"",IF(H39=Results!H11,1+IF(OR($O39=7,$P39=7,$Q39=7),1,0),0))</f>
        <v/>
      </c>
      <c r="Z39" s="4" t="str">
        <f>IF(OR(I39="",Results!I11=""),"",IF(I39=Results!I11,1+IF(OR($O39=8,$P39=8,$Q39=8),1,0),0))</f>
        <v/>
      </c>
      <c r="AA39" s="4" t="str">
        <f>IF(OR(J39="",Results!J11=""),"",IF(J39=Results!J11,1+IF(OR($O39=9,$P39=9,$Q39=9),1,0),0))</f>
        <v/>
      </c>
      <c r="AB39" s="4" t="str">
        <f>IF(OR(K39="",Results!K11=""),"",IF(K39=Results!K11,1+IF(OR($O39=10,$P39=10,$Q39=10),1,0),0))</f>
        <v/>
      </c>
      <c r="AC39" s="4" t="str">
        <f>IF(OR(L39="",Results!L11=""),"",IF(L39=Results!L11,1+IF(OR($O39=11,$P39=11,$Q39=11),1,0),0))</f>
        <v/>
      </c>
      <c r="AD39" s="4" t="str">
        <f>IF(OR(M39="",Results!M11=""),"",IF(M39=Results!M11,1+IF(OR($O39=12,$P39=12,$Q39=12),1,0),0))</f>
        <v/>
      </c>
      <c r="AE39" s="4" t="str">
        <f>IF(OR(N39="",Results!N11=""),"",IF(N39=Results!N11,1+IF(OR($O39=13,$P39=13,$Q39=13),1,0),0))</f>
        <v/>
      </c>
      <c r="AF39" s="11">
        <f t="shared" si="2"/>
        <v>0</v>
      </c>
      <c r="AG39" s="4" t="str">
        <f>IF(OR($R39="",Results!O11=""),"",ABS($R39-Results!O11))</f>
        <v/>
      </c>
      <c r="AH39" s="12">
        <v>50</v>
      </c>
      <c r="AI39" s="13" t="str">
        <f>IF(OR(B39="",Results!B11=""),"",IF(AND(B39=Results!B11,Results!B11&lt;&gt;Games!$C$83),1,0))</f>
        <v/>
      </c>
      <c r="AJ39" s="13" t="str">
        <f>IF(OR(C39="",Results!C11=""),"",IF(AND(C39=Results!C11,Results!C11&lt;&gt;Games!$C$84),1,0))</f>
        <v/>
      </c>
      <c r="AK39" s="13" t="str">
        <f>IF(OR(D39="",Results!D11=""),"",IF(AND(D39=Results!D11,Results!D11&lt;&gt;Games!$C$85),1,0))</f>
        <v/>
      </c>
      <c r="AL39" s="13" t="str">
        <f>IF(OR(E39="",Results!E11=""),"",IF(AND(E39=Results!E11,Results!E11&lt;&gt;Games!$C$86),1,0))</f>
        <v/>
      </c>
      <c r="AM39" s="13" t="str">
        <f>IF(OR(F39="",Results!F11=""),"",IF(AND(F39=Results!F11,Results!F11&lt;&gt;Games!$C$87),1,0))</f>
        <v/>
      </c>
      <c r="AN39" s="13" t="str">
        <f>IF(OR(G39="",Results!G11=""),"",IF(AND(G39=Results!G11,Results!G11&lt;&gt;Games!$C$88),1,0))</f>
        <v/>
      </c>
      <c r="AO39" s="13" t="str">
        <f>IF(OR(H39="",Results!H11=""),"",IF(AND(H39=Results!H11,Results!H11&lt;&gt;Games!$C$89),1,0))</f>
        <v/>
      </c>
      <c r="AP39" s="13" t="str">
        <f>IF(OR(I39="",Results!I11=""),"",IF(AND(I39=Results!I11,Results!I11&lt;&gt;Games!$C$90),1,0))</f>
        <v/>
      </c>
      <c r="AQ39" s="13" t="str">
        <f>IF(OR(J39="",Results!J11=""),"",IF(AND(J39=Results!J11,Results!J11&lt;&gt;Games!$C$91),1,0))</f>
        <v/>
      </c>
      <c r="AR39" s="13" t="str">
        <f>IF(OR(K39="",Results!K11=""),"",IF(AND(K39=Results!K11,Results!K11&lt;&gt;Games!$C$92),1,0))</f>
        <v/>
      </c>
      <c r="AS39" s="13" t="str">
        <f>IF(OR(L39="",Results!L11=""),"",IF(AND(L39=Results!L11,Results!L11&lt;&gt;Games!$C$93),1,0))</f>
        <v/>
      </c>
      <c r="AT39" s="13" t="str">
        <f>IF(OR(M39="",Results!M11=""),"",IF(AND(M39=Results!M11,Results!M11&lt;&gt;Games!$C$94),1,0))</f>
        <v/>
      </c>
      <c r="AU39" s="13" t="str">
        <f>IF(OR(N39="",Results!N11=""),"",IF(AND(N39=Results!N11,Results!N11&lt;&gt;Games!$C$95),1,0))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4" t="str">
        <f>IF(OR(B40="",Results!B11=""),"",IF(B40=Results!B11,1+IF(OR($O40=1,$P40=1,$Q40=1),1,0),0))</f>
        <v/>
      </c>
      <c r="T40" s="4" t="str">
        <f>IF(OR(C40="",Results!C11=""),"",IF(C40=Results!C11,1+IF(OR($O40=2,$P40=2,$Q40=2),1,0),0))</f>
        <v/>
      </c>
      <c r="U40" s="4" t="str">
        <f>IF(OR(D40="",Results!D11=""),"",IF(D40=Results!D11,1+IF(OR($O40=3,$P40=3,$Q40=3),1,0),0))</f>
        <v/>
      </c>
      <c r="V40" s="4" t="str">
        <f>IF(OR(E40="",Results!E11=""),"",IF(E40=Results!E11,1+IF(OR($O40=4,$P40=4,$Q40=4),1,0),0))</f>
        <v/>
      </c>
      <c r="W40" s="4" t="str">
        <f>IF(OR(F40="",Results!F11=""),"",IF(F40=Results!F11,1+IF(OR($O40=5,$P40=5,$Q40=5),1,0),0))</f>
        <v/>
      </c>
      <c r="X40" s="4" t="str">
        <f>IF(OR(G40="",Results!G11=""),"",IF(G40=Results!G11,1+IF(OR($O40=6,$P40=6,$Q40=6),1,0),0))</f>
        <v/>
      </c>
      <c r="Y40" s="4" t="str">
        <f>IF(OR(H40="",Results!H11=""),"",IF(H40=Results!H11,1+IF(OR($O40=7,$P40=7,$Q40=7),1,0),0))</f>
        <v/>
      </c>
      <c r="Z40" s="4" t="str">
        <f>IF(OR(I40="",Results!I11=""),"",IF(I40=Results!I11,1+IF(OR($O40=8,$P40=8,$Q40=8),1,0),0))</f>
        <v/>
      </c>
      <c r="AA40" s="4" t="str">
        <f>IF(OR(J40="",Results!J11=""),"",IF(J40=Results!J11,1+IF(OR($O40=9,$P40=9,$Q40=9),1,0),0))</f>
        <v/>
      </c>
      <c r="AB40" s="4" t="str">
        <f>IF(OR(K40="",Results!K11=""),"",IF(K40=Results!K11,1+IF(OR($O40=10,$P40=10,$Q40=10),1,0),0))</f>
        <v/>
      </c>
      <c r="AC40" s="4" t="str">
        <f>IF(OR(L40="",Results!L11=""),"",IF(L40=Results!L11,1+IF(OR($O40=11,$P40=11,$Q40=11),1,0),0))</f>
        <v/>
      </c>
      <c r="AD40" s="4" t="str">
        <f>IF(OR(M40="",Results!M11=""),"",IF(M40=Results!M11,1+IF(OR($O40=12,$P40=12,$Q40=12),1,0),0))</f>
        <v/>
      </c>
      <c r="AE40" s="4" t="str">
        <f>IF(OR(N40="",Results!N11=""),"",IF(N40=Results!N11,1+IF(OR($O40=13,$P40=13,$Q40=13),1,0),0))</f>
        <v/>
      </c>
      <c r="AF40" s="11">
        <f t="shared" si="2"/>
        <v>0</v>
      </c>
      <c r="AG40" s="4" t="str">
        <f>IF(OR($R40="",Results!O11=""),"",ABS($R40-Results!O11))</f>
        <v/>
      </c>
      <c r="AH40" s="12">
        <v>19</v>
      </c>
      <c r="AI40" s="13" t="str">
        <f>IF(OR(B40="",Results!B11=""),"",IF(AND(B40=Results!B11,Results!B11&lt;&gt;Games!$C$83),1,0))</f>
        <v/>
      </c>
      <c r="AJ40" s="13" t="str">
        <f>IF(OR(C40="",Results!C11=""),"",IF(AND(C40=Results!C11,Results!C11&lt;&gt;Games!$C$84),1,0))</f>
        <v/>
      </c>
      <c r="AK40" s="13" t="str">
        <f>IF(OR(D40="",Results!D11=""),"",IF(AND(D40=Results!D11,Results!D11&lt;&gt;Games!$C$85),1,0))</f>
        <v/>
      </c>
      <c r="AL40" s="13" t="str">
        <f>IF(OR(E40="",Results!E11=""),"",IF(AND(E40=Results!E11,Results!E11&lt;&gt;Games!$C$86),1,0))</f>
        <v/>
      </c>
      <c r="AM40" s="13" t="str">
        <f>IF(OR(F40="",Results!F11=""),"",IF(AND(F40=Results!F11,Results!F11&lt;&gt;Games!$C$87),1,0))</f>
        <v/>
      </c>
      <c r="AN40" s="13" t="str">
        <f>IF(OR(G40="",Results!G11=""),"",IF(AND(G40=Results!G11,Results!G11&lt;&gt;Games!$C$88),1,0))</f>
        <v/>
      </c>
      <c r="AO40" s="13" t="str">
        <f>IF(OR(H40="",Results!H11=""),"",IF(AND(H40=Results!H11,Results!H11&lt;&gt;Games!$C$89),1,0))</f>
        <v/>
      </c>
      <c r="AP40" s="13" t="str">
        <f>IF(OR(I40="",Results!I11=""),"",IF(AND(I40=Results!I11,Results!I11&lt;&gt;Games!$C$90),1,0))</f>
        <v/>
      </c>
      <c r="AQ40" s="13" t="str">
        <f>IF(OR(J40="",Results!J11=""),"",IF(AND(J40=Results!J11,Results!J11&lt;&gt;Games!$C$91),1,0))</f>
        <v/>
      </c>
      <c r="AR40" s="13" t="str">
        <f>IF(OR(K40="",Results!K11=""),"",IF(AND(K40=Results!K11,Results!K11&lt;&gt;Games!$C$92),1,0))</f>
        <v/>
      </c>
      <c r="AS40" s="13" t="str">
        <f>IF(OR(L40="",Results!L11=""),"",IF(AND(L40=Results!L11,Results!L11&lt;&gt;Games!$C$93),1,0))</f>
        <v/>
      </c>
      <c r="AT40" s="13" t="str">
        <f>IF(OR(M40="",Results!M11=""),"",IF(AND(M40=Results!M11,Results!M11&lt;&gt;Games!$C$94),1,0))</f>
        <v/>
      </c>
      <c r="AU40" s="13" t="str">
        <f>IF(OR(N40="",Results!N11=""),"",IF(AND(N40=Results!N11,Results!N11&lt;&gt;Games!$C$95),1,0))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IF(OR(B41="",Results!B11=""),"",IF(B41=Results!B11,1+IF(OR($O41=1,$P41=1,$Q41=1),1,0),0))</f>
        <v/>
      </c>
      <c r="T41" s="4" t="str">
        <f>IF(OR(C41="",Results!C11=""),"",IF(C41=Results!C11,1+IF(OR($O41=2,$P41=2,$Q41=2),1,0),0))</f>
        <v/>
      </c>
      <c r="U41" s="4" t="str">
        <f>IF(OR(D41="",Results!D11=""),"",IF(D41=Results!D11,1+IF(OR($O41=3,$P41=3,$Q41=3),1,0),0))</f>
        <v/>
      </c>
      <c r="V41" s="4" t="str">
        <f>IF(OR(E41="",Results!E11=""),"",IF(E41=Results!E11,1+IF(OR($O41=4,$P41=4,$Q41=4),1,0),0))</f>
        <v/>
      </c>
      <c r="W41" s="4" t="str">
        <f>IF(OR(F41="",Results!F11=""),"",IF(F41=Results!F11,1+IF(OR($O41=5,$P41=5,$Q41=5),1,0),0))</f>
        <v/>
      </c>
      <c r="X41" s="4" t="str">
        <f>IF(OR(G41="",Results!G11=""),"",IF(G41=Results!G11,1+IF(OR($O41=6,$P41=6,$Q41=6),1,0),0))</f>
        <v/>
      </c>
      <c r="Y41" s="4" t="str">
        <f>IF(OR(H41="",Results!H11=""),"",IF(H41=Results!H11,1+IF(OR($O41=7,$P41=7,$Q41=7),1,0),0))</f>
        <v/>
      </c>
      <c r="Z41" s="4" t="str">
        <f>IF(OR(I41="",Results!I11=""),"",IF(I41=Results!I11,1+IF(OR($O41=8,$P41=8,$Q41=8),1,0),0))</f>
        <v/>
      </c>
      <c r="AA41" s="4" t="str">
        <f>IF(OR(J41="",Results!J11=""),"",IF(J41=Results!J11,1+IF(OR($O41=9,$P41=9,$Q41=9),1,0),0))</f>
        <v/>
      </c>
      <c r="AB41" s="4" t="str">
        <f>IF(OR(K41="",Results!K11=""),"",IF(K41=Results!K11,1+IF(OR($O41=10,$P41=10,$Q41=10),1,0),0))</f>
        <v/>
      </c>
      <c r="AC41" s="4" t="str">
        <f>IF(OR(L41="",Results!L11=""),"",IF(L41=Results!L11,1+IF(OR($O41=11,$P41=11,$Q41=11),1,0),0))</f>
        <v/>
      </c>
      <c r="AD41" s="4" t="str">
        <f>IF(OR(M41="",Results!M11=""),"",IF(M41=Results!M11,1+IF(OR($O41=12,$P41=12,$Q41=12),1,0),0))</f>
        <v/>
      </c>
      <c r="AE41" s="4" t="str">
        <f>IF(OR(N41="",Results!N11=""),"",IF(N41=Results!N11,1+IF(OR($O41=13,$P41=13,$Q41=13),1,0),0))</f>
        <v/>
      </c>
      <c r="AF41" s="11">
        <f t="shared" si="2"/>
        <v>0</v>
      </c>
      <c r="AG41" s="4" t="str">
        <f>IF(OR($R41="",Results!O11=""),"",ABS($R41-Results!O11))</f>
        <v/>
      </c>
      <c r="AH41" s="12">
        <v>20</v>
      </c>
      <c r="AI41" s="13" t="str">
        <f>IF(OR(B41="",Results!B11=""),"",IF(AND(B41=Results!B11,Results!B11&lt;&gt;Games!$C$83),1,0))</f>
        <v/>
      </c>
      <c r="AJ41" s="13" t="str">
        <f>IF(OR(C41="",Results!C11=""),"",IF(AND(C41=Results!C11,Results!C11&lt;&gt;Games!$C$84),1,0))</f>
        <v/>
      </c>
      <c r="AK41" s="13" t="str">
        <f>IF(OR(D41="",Results!D11=""),"",IF(AND(D41=Results!D11,Results!D11&lt;&gt;Games!$C$85),1,0))</f>
        <v/>
      </c>
      <c r="AL41" s="13" t="str">
        <f>IF(OR(E41="",Results!E11=""),"",IF(AND(E41=Results!E11,Results!E11&lt;&gt;Games!$C$86),1,0))</f>
        <v/>
      </c>
      <c r="AM41" s="13" t="str">
        <f>IF(OR(F41="",Results!F11=""),"",IF(AND(F41=Results!F11,Results!F11&lt;&gt;Games!$C$87),1,0))</f>
        <v/>
      </c>
      <c r="AN41" s="13" t="str">
        <f>IF(OR(G41="",Results!G11=""),"",IF(AND(G41=Results!G11,Results!G11&lt;&gt;Games!$C$88),1,0))</f>
        <v/>
      </c>
      <c r="AO41" s="13" t="str">
        <f>IF(OR(H41="",Results!H11=""),"",IF(AND(H41=Results!H11,Results!H11&lt;&gt;Games!$C$89),1,0))</f>
        <v/>
      </c>
      <c r="AP41" s="13" t="str">
        <f>IF(OR(I41="",Results!I11=""),"",IF(AND(I41=Results!I11,Results!I11&lt;&gt;Games!$C$90),1,0))</f>
        <v/>
      </c>
      <c r="AQ41" s="13" t="str">
        <f>IF(OR(J41="",Results!J11=""),"",IF(AND(J41=Results!J11,Results!J11&lt;&gt;Games!$C$91),1,0))</f>
        <v/>
      </c>
      <c r="AR41" s="13" t="str">
        <f>IF(OR(K41="",Results!K11=""),"",IF(AND(K41=Results!K11,Results!K11&lt;&gt;Games!$C$92),1,0))</f>
        <v/>
      </c>
      <c r="AS41" s="13" t="str">
        <f>IF(OR(L41="",Results!L11=""),"",IF(AND(L41=Results!L11,Results!L11&lt;&gt;Games!$C$93),1,0))</f>
        <v/>
      </c>
      <c r="AT41" s="13" t="str">
        <f>IF(OR(M41="",Results!M11=""),"",IF(AND(M41=Results!M11,Results!M11&lt;&gt;Games!$C$94),1,0))</f>
        <v/>
      </c>
      <c r="AU41" s="13" t="str">
        <f>IF(OR(N41="",Results!N11=""),"",IF(AND(N41=Results!N11,Results!N11&lt;&gt;Games!$C$95),1,0))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4" t="str">
        <f>IF(OR(B42="",Results!B11=""),"",IF(B42=Results!B11,1+IF(OR($O42=1,$P42=1,$Q42=1),1,0),0))</f>
        <v/>
      </c>
      <c r="T42" s="4" t="str">
        <f>IF(OR(C42="",Results!C11=""),"",IF(C42=Results!C11,1+IF(OR($O42=2,$P42=2,$Q42=2),1,0),0))</f>
        <v/>
      </c>
      <c r="U42" s="4" t="str">
        <f>IF(OR(D42="",Results!D11=""),"",IF(D42=Results!D11,1+IF(OR($O42=3,$P42=3,$Q42=3),1,0),0))</f>
        <v/>
      </c>
      <c r="V42" s="4" t="str">
        <f>IF(OR(E42="",Results!E11=""),"",IF(E42=Results!E11,1+IF(OR($O42=4,$P42=4,$Q42=4),1,0),0))</f>
        <v/>
      </c>
      <c r="W42" s="4" t="str">
        <f>IF(OR(F42="",Results!F11=""),"",IF(F42=Results!F11,1+IF(OR($O42=5,$P42=5,$Q42=5),1,0),0))</f>
        <v/>
      </c>
      <c r="X42" s="4" t="str">
        <f>IF(OR(G42="",Results!G11=""),"",IF(G42=Results!G11,1+IF(OR($O42=6,$P42=6,$Q42=6),1,0),0))</f>
        <v/>
      </c>
      <c r="Y42" s="4" t="str">
        <f>IF(OR(H42="",Results!H11=""),"",IF(H42=Results!H11,1+IF(OR($O42=7,$P42=7,$Q42=7),1,0),0))</f>
        <v/>
      </c>
      <c r="Z42" s="4" t="str">
        <f>IF(OR(I42="",Results!I11=""),"",IF(I42=Results!I11,1+IF(OR($O42=8,$P42=8,$Q42=8),1,0),0))</f>
        <v/>
      </c>
      <c r="AA42" s="4" t="str">
        <f>IF(OR(J42="",Results!J11=""),"",IF(J42=Results!J11,1+IF(OR($O42=9,$P42=9,$Q42=9),1,0),0))</f>
        <v/>
      </c>
      <c r="AB42" s="4" t="str">
        <f>IF(OR(K42="",Results!K11=""),"",IF(K42=Results!K11,1+IF(OR($O42=10,$P42=10,$Q42=10),1,0),0))</f>
        <v/>
      </c>
      <c r="AC42" s="4" t="str">
        <f>IF(OR(L42="",Results!L11=""),"",IF(L42=Results!L11,1+IF(OR($O42=11,$P42=11,$Q42=11),1,0),0))</f>
        <v/>
      </c>
      <c r="AD42" s="4" t="str">
        <f>IF(OR(M42="",Results!M11=""),"",IF(M42=Results!M11,1+IF(OR($O42=12,$P42=12,$Q42=12),1,0),0))</f>
        <v/>
      </c>
      <c r="AE42" s="4" t="str">
        <f>IF(OR(N42="",Results!N11=""),"",IF(N42=Results!N11,1+IF(OR($O42=13,$P42=13,$Q42=13),1,0),0))</f>
        <v/>
      </c>
      <c r="AF42" s="11">
        <f t="shared" si="2"/>
        <v>0</v>
      </c>
      <c r="AG42" s="4" t="str">
        <f>IF(OR($R42="",Results!O11=""),"",ABS($R42-Results!O11))</f>
        <v/>
      </c>
      <c r="AH42" s="12">
        <v>21</v>
      </c>
      <c r="AI42" s="13" t="str">
        <f>IF(OR(B42="",Results!B11=""),"",IF(AND(B42=Results!B11,Results!B11&lt;&gt;Games!$C$83),1,0))</f>
        <v/>
      </c>
      <c r="AJ42" s="13" t="str">
        <f>IF(OR(C42="",Results!C11=""),"",IF(AND(C42=Results!C11,Results!C11&lt;&gt;Games!$C$84),1,0))</f>
        <v/>
      </c>
      <c r="AK42" s="13" t="str">
        <f>IF(OR(D42="",Results!D11=""),"",IF(AND(D42=Results!D11,Results!D11&lt;&gt;Games!$C$85),1,0))</f>
        <v/>
      </c>
      <c r="AL42" s="13" t="str">
        <f>IF(OR(E42="",Results!E11=""),"",IF(AND(E42=Results!E11,Results!E11&lt;&gt;Games!$C$86),1,0))</f>
        <v/>
      </c>
      <c r="AM42" s="13" t="str">
        <f>IF(OR(F42="",Results!F11=""),"",IF(AND(F42=Results!F11,Results!F11&lt;&gt;Games!$C$87),1,0))</f>
        <v/>
      </c>
      <c r="AN42" s="13" t="str">
        <f>IF(OR(G42="",Results!G11=""),"",IF(AND(G42=Results!G11,Results!G11&lt;&gt;Games!$C$88),1,0))</f>
        <v/>
      </c>
      <c r="AO42" s="13" t="str">
        <f>IF(OR(H42="",Results!H11=""),"",IF(AND(H42=Results!H11,Results!H11&lt;&gt;Games!$C$89),1,0))</f>
        <v/>
      </c>
      <c r="AP42" s="13" t="str">
        <f>IF(OR(I42="",Results!I11=""),"",IF(AND(I42=Results!I11,Results!I11&lt;&gt;Games!$C$90),1,0))</f>
        <v/>
      </c>
      <c r="AQ42" s="13" t="str">
        <f>IF(OR(J42="",Results!J11=""),"",IF(AND(J42=Results!J11,Results!J11&lt;&gt;Games!$C$91),1,0))</f>
        <v/>
      </c>
      <c r="AR42" s="13" t="str">
        <f>IF(OR(K42="",Results!K11=""),"",IF(AND(K42=Results!K11,Results!K11&lt;&gt;Games!$C$92),1,0))</f>
        <v/>
      </c>
      <c r="AS42" s="13" t="str">
        <f>IF(OR(L42="",Results!L11=""),"",IF(AND(L42=Results!L11,Results!L11&lt;&gt;Games!$C$93),1,0))</f>
        <v/>
      </c>
      <c r="AT42" s="13" t="str">
        <f>IF(OR(M42="",Results!M11=""),"",IF(AND(M42=Results!M11,Results!M11&lt;&gt;Games!$C$94),1,0))</f>
        <v/>
      </c>
      <c r="AU42" s="13" t="str">
        <f>IF(OR(N42="",Results!N11=""),"",IF(AND(N42=Results!N11,Results!N11&lt;&gt;Games!$C$95),1,0))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4" t="str">
        <f>IF(OR(B43="",Results!B11=""),"",IF(B43=Results!B11,1+IF(OR($O43=1,$P43=1,$Q43=1),1,0),0))</f>
        <v/>
      </c>
      <c r="T43" s="4" t="str">
        <f>IF(OR(C43="",Results!C11=""),"",IF(C43=Results!C11,1+IF(OR($O43=2,$P43=2,$Q43=2),1,0),0))</f>
        <v/>
      </c>
      <c r="U43" s="4" t="str">
        <f>IF(OR(D43="",Results!D11=""),"",IF(D43=Results!D11,1+IF(OR($O43=3,$P43=3,$Q43=3),1,0),0))</f>
        <v/>
      </c>
      <c r="V43" s="4" t="str">
        <f>IF(OR(E43="",Results!E11=""),"",IF(E43=Results!E11,1+IF(OR($O43=4,$P43=4,$Q43=4),1,0),0))</f>
        <v/>
      </c>
      <c r="W43" s="4" t="str">
        <f>IF(OR(F43="",Results!F11=""),"",IF(F43=Results!F11,1+IF(OR($O43=5,$P43=5,$Q43=5),1,0),0))</f>
        <v/>
      </c>
      <c r="X43" s="4" t="str">
        <f>IF(OR(G43="",Results!G11=""),"",IF(G43=Results!G11,1+IF(OR($O43=6,$P43=6,$Q43=6),1,0),0))</f>
        <v/>
      </c>
      <c r="Y43" s="4" t="str">
        <f>IF(OR(H43="",Results!H11=""),"",IF(H43=Results!H11,1+IF(OR($O43=7,$P43=7,$Q43=7),1,0),0))</f>
        <v/>
      </c>
      <c r="Z43" s="4" t="str">
        <f>IF(OR(I43="",Results!I11=""),"",IF(I43=Results!I11,1+IF(OR($O43=8,$P43=8,$Q43=8),1,0),0))</f>
        <v/>
      </c>
      <c r="AA43" s="4" t="str">
        <f>IF(OR(J43="",Results!J11=""),"",IF(J43=Results!J11,1+IF(OR($O43=9,$P43=9,$Q43=9),1,0),0))</f>
        <v/>
      </c>
      <c r="AB43" s="4" t="str">
        <f>IF(OR(K43="",Results!K11=""),"",IF(K43=Results!K11,1+IF(OR($O43=10,$P43=10,$Q43=10),1,0),0))</f>
        <v/>
      </c>
      <c r="AC43" s="4" t="str">
        <f>IF(OR(L43="",Results!L11=""),"",IF(L43=Results!L11,1+IF(OR($O43=11,$P43=11,$Q43=11),1,0),0))</f>
        <v/>
      </c>
      <c r="AD43" s="4" t="str">
        <f>IF(OR(M43="",Results!M11=""),"",IF(M43=Results!M11,1+IF(OR($O43=12,$P43=12,$Q43=12),1,0),0))</f>
        <v/>
      </c>
      <c r="AE43" s="4" t="str">
        <f>IF(OR(N43="",Results!N11=""),"",IF(N43=Results!N11,1+IF(OR($O43=13,$P43=13,$Q43=13),1,0),0))</f>
        <v/>
      </c>
      <c r="AF43" s="11">
        <f t="shared" si="2"/>
        <v>0</v>
      </c>
      <c r="AG43" s="4" t="str">
        <f>IF(OR($R43="",Results!O11=""),"",ABS($R43-Results!O11))</f>
        <v/>
      </c>
      <c r="AH43" s="12">
        <v>22</v>
      </c>
      <c r="AI43" s="13" t="str">
        <f>IF(OR(B43="",Results!B11=""),"",IF(AND(B43=Results!B11,Results!B11&lt;&gt;Games!$C$83),1,0))</f>
        <v/>
      </c>
      <c r="AJ43" s="13" t="str">
        <f>IF(OR(C43="",Results!C11=""),"",IF(AND(C43=Results!C11,Results!C11&lt;&gt;Games!$C$84),1,0))</f>
        <v/>
      </c>
      <c r="AK43" s="13" t="str">
        <f>IF(OR(D43="",Results!D11=""),"",IF(AND(D43=Results!D11,Results!D11&lt;&gt;Games!$C$85),1,0))</f>
        <v/>
      </c>
      <c r="AL43" s="13" t="str">
        <f>IF(OR(E43="",Results!E11=""),"",IF(AND(E43=Results!E11,Results!E11&lt;&gt;Games!$C$86),1,0))</f>
        <v/>
      </c>
      <c r="AM43" s="13" t="str">
        <f>IF(OR(F43="",Results!F11=""),"",IF(AND(F43=Results!F11,Results!F11&lt;&gt;Games!$C$87),1,0))</f>
        <v/>
      </c>
      <c r="AN43" s="13" t="str">
        <f>IF(OR(G43="",Results!G11=""),"",IF(AND(G43=Results!G11,Results!G11&lt;&gt;Games!$C$88),1,0))</f>
        <v/>
      </c>
      <c r="AO43" s="13" t="str">
        <f>IF(OR(H43="",Results!H11=""),"",IF(AND(H43=Results!H11,Results!H11&lt;&gt;Games!$C$89),1,0))</f>
        <v/>
      </c>
      <c r="AP43" s="13" t="str">
        <f>IF(OR(I43="",Results!I11=""),"",IF(AND(I43=Results!I11,Results!I11&lt;&gt;Games!$C$90),1,0))</f>
        <v/>
      </c>
      <c r="AQ43" s="13" t="str">
        <f>IF(OR(J43="",Results!J11=""),"",IF(AND(J43=Results!J11,Results!J11&lt;&gt;Games!$C$91),1,0))</f>
        <v/>
      </c>
      <c r="AR43" s="13" t="str">
        <f>IF(OR(K43="",Results!K11=""),"",IF(AND(K43=Results!K11,Results!K11&lt;&gt;Games!$C$92),1,0))</f>
        <v/>
      </c>
      <c r="AS43" s="13" t="str">
        <f>IF(OR(L43="",Results!L11=""),"",IF(AND(L43=Results!L11,Results!L11&lt;&gt;Games!$C$93),1,0))</f>
        <v/>
      </c>
      <c r="AT43" s="13" t="str">
        <f>IF(OR(M43="",Results!M11=""),"",IF(AND(M43=Results!M11,Results!M11&lt;&gt;Games!$C$94),1,0))</f>
        <v/>
      </c>
      <c r="AU43" s="13" t="str">
        <f>IF(OR(N43="",Results!N11=""),"",IF(AND(N43=Results!N11,Results!N11&lt;&gt;Games!$C$95),1,0))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tr">
        <f>IF(OR(B44="",Results!B11=""),"",IF(B44=Results!B11,1+IF(OR($O44=1,$P44=1,$Q44=1),1,0),0))</f>
        <v/>
      </c>
      <c r="T44" s="4" t="str">
        <f>IF(OR(C44="",Results!C11=""),"",IF(C44=Results!C11,1+IF(OR($O44=2,$P44=2,$Q44=2),1,0),0))</f>
        <v/>
      </c>
      <c r="U44" s="4" t="str">
        <f>IF(OR(D44="",Results!D11=""),"",IF(D44=Results!D11,1+IF(OR($O44=3,$P44=3,$Q44=3),1,0),0))</f>
        <v/>
      </c>
      <c r="V44" s="4" t="str">
        <f>IF(OR(E44="",Results!E11=""),"",IF(E44=Results!E11,1+IF(OR($O44=4,$P44=4,$Q44=4),1,0),0))</f>
        <v/>
      </c>
      <c r="W44" s="4" t="str">
        <f>IF(OR(F44="",Results!F11=""),"",IF(F44=Results!F11,1+IF(OR($O44=5,$P44=5,$Q44=5),1,0),0))</f>
        <v/>
      </c>
      <c r="X44" s="4" t="str">
        <f>IF(OR(G44="",Results!G11=""),"",IF(G44=Results!G11,1+IF(OR($O44=6,$P44=6,$Q44=6),1,0),0))</f>
        <v/>
      </c>
      <c r="Y44" s="4" t="str">
        <f>IF(OR(H44="",Results!H11=""),"",IF(H44=Results!H11,1+IF(OR($O44=7,$P44=7,$Q44=7),1,0),0))</f>
        <v/>
      </c>
      <c r="Z44" s="4" t="str">
        <f>IF(OR(I44="",Results!I11=""),"",IF(I44=Results!I11,1+IF(OR($O44=8,$P44=8,$Q44=8),1,0),0))</f>
        <v/>
      </c>
      <c r="AA44" s="4" t="str">
        <f>IF(OR(J44="",Results!J11=""),"",IF(J44=Results!J11,1+IF(OR($O44=9,$P44=9,$Q44=9),1,0),0))</f>
        <v/>
      </c>
      <c r="AB44" s="4" t="str">
        <f>IF(OR(K44="",Results!K11=""),"",IF(K44=Results!K11,1+IF(OR($O44=10,$P44=10,$Q44=10),1,0),0))</f>
        <v/>
      </c>
      <c r="AC44" s="4" t="str">
        <f>IF(OR(L44="",Results!L11=""),"",IF(L44=Results!L11,1+IF(OR($O44=11,$P44=11,$Q44=11),1,0),0))</f>
        <v/>
      </c>
      <c r="AD44" s="4" t="str">
        <f>IF(OR(M44="",Results!M11=""),"",IF(M44=Results!M11,1+IF(OR($O44=12,$P44=12,$Q44=12),1,0),0))</f>
        <v/>
      </c>
      <c r="AE44" s="4" t="str">
        <f>IF(OR(N44="",Results!N11=""),"",IF(N44=Results!N11,1+IF(OR($O44=13,$P44=13,$Q44=13),1,0),0))</f>
        <v/>
      </c>
      <c r="AF44" s="11">
        <f t="shared" si="2"/>
        <v>0</v>
      </c>
      <c r="AG44" s="4" t="str">
        <f>IF(OR($R44="",Results!O11=""),"",ABS($R44-Results!O11))</f>
        <v/>
      </c>
      <c r="AH44" s="12">
        <v>23</v>
      </c>
      <c r="AI44" s="13" t="str">
        <f>IF(OR(B44="",Results!B11=""),"",IF(AND(B44=Results!B11,Results!B11&lt;&gt;Games!$C$83),1,0))</f>
        <v/>
      </c>
      <c r="AJ44" s="13" t="str">
        <f>IF(OR(C44="",Results!C11=""),"",IF(AND(C44=Results!C11,Results!C11&lt;&gt;Games!$C$84),1,0))</f>
        <v/>
      </c>
      <c r="AK44" s="13" t="str">
        <f>IF(OR(D44="",Results!D11=""),"",IF(AND(D44=Results!D11,Results!D11&lt;&gt;Games!$C$85),1,0))</f>
        <v/>
      </c>
      <c r="AL44" s="13" t="str">
        <f>IF(OR(E44="",Results!E11=""),"",IF(AND(E44=Results!E11,Results!E11&lt;&gt;Games!$C$86),1,0))</f>
        <v/>
      </c>
      <c r="AM44" s="13" t="str">
        <f>IF(OR(F44="",Results!F11=""),"",IF(AND(F44=Results!F11,Results!F11&lt;&gt;Games!$C$87),1,0))</f>
        <v/>
      </c>
      <c r="AN44" s="13" t="str">
        <f>IF(OR(G44="",Results!G11=""),"",IF(AND(G44=Results!G11,Results!G11&lt;&gt;Games!$C$88),1,0))</f>
        <v/>
      </c>
      <c r="AO44" s="13" t="str">
        <f>IF(OR(H44="",Results!H11=""),"",IF(AND(H44=Results!H11,Results!H11&lt;&gt;Games!$C$89),1,0))</f>
        <v/>
      </c>
      <c r="AP44" s="13" t="str">
        <f>IF(OR(I44="",Results!I11=""),"",IF(AND(I44=Results!I11,Results!I11&lt;&gt;Games!$C$90),1,0))</f>
        <v/>
      </c>
      <c r="AQ44" s="13" t="str">
        <f>IF(OR(J44="",Results!J11=""),"",IF(AND(J44=Results!J11,Results!J11&lt;&gt;Games!$C$91),1,0))</f>
        <v/>
      </c>
      <c r="AR44" s="13" t="str">
        <f>IF(OR(K44="",Results!K11=""),"",IF(AND(K44=Results!K11,Results!K11&lt;&gt;Games!$C$92),1,0))</f>
        <v/>
      </c>
      <c r="AS44" s="13" t="str">
        <f>IF(OR(L44="",Results!L11=""),"",IF(AND(L44=Results!L11,Results!L11&lt;&gt;Games!$C$93),1,0))</f>
        <v/>
      </c>
      <c r="AT44" s="13" t="str">
        <f>IF(OR(M44="",Results!M11=""),"",IF(AND(M44=Results!M11,Results!M11&lt;&gt;Games!$C$94),1,0))</f>
        <v/>
      </c>
      <c r="AU44" s="13" t="str">
        <f>IF(OR(N44="",Results!N11=""),"",IF(AND(N44=Results!N11,Results!N11&lt;&gt;Games!$C$95),1,0))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IF(OR(B45="",Results!B11=""),"",IF(B45=Results!B11,1+IF(OR($O45=1,$P45=1,$Q45=1),1,0),0))</f>
        <v/>
      </c>
      <c r="T45" s="4" t="str">
        <f>IF(OR(C45="",Results!C11=""),"",IF(C45=Results!C11,1+IF(OR($O45=2,$P45=2,$Q45=2),1,0),0))</f>
        <v/>
      </c>
      <c r="U45" s="4" t="str">
        <f>IF(OR(D45="",Results!D11=""),"",IF(D45=Results!D11,1+IF(OR($O45=3,$P45=3,$Q45=3),1,0),0))</f>
        <v/>
      </c>
      <c r="V45" s="4" t="str">
        <f>IF(OR(E45="",Results!E11=""),"",IF(E45=Results!E11,1+IF(OR($O45=4,$P45=4,$Q45=4),1,0),0))</f>
        <v/>
      </c>
      <c r="W45" s="4" t="str">
        <f>IF(OR(F45="",Results!F11=""),"",IF(F45=Results!F11,1+IF(OR($O45=5,$P45=5,$Q45=5),1,0),0))</f>
        <v/>
      </c>
      <c r="X45" s="4" t="str">
        <f>IF(OR(G45="",Results!G11=""),"",IF(G45=Results!G11,1+IF(OR($O45=6,$P45=6,$Q45=6),1,0),0))</f>
        <v/>
      </c>
      <c r="Y45" s="4" t="str">
        <f>IF(OR(H45="",Results!H11=""),"",IF(H45=Results!H11,1+IF(OR($O45=7,$P45=7,$Q45=7),1,0),0))</f>
        <v/>
      </c>
      <c r="Z45" s="4" t="str">
        <f>IF(OR(I45="",Results!I11=""),"",IF(I45=Results!I11,1+IF(OR($O45=8,$P45=8,$Q45=8),1,0),0))</f>
        <v/>
      </c>
      <c r="AA45" s="4" t="str">
        <f>IF(OR(J45="",Results!J11=""),"",IF(J45=Results!J11,1+IF(OR($O45=9,$P45=9,$Q45=9),1,0),0))</f>
        <v/>
      </c>
      <c r="AB45" s="4" t="str">
        <f>IF(OR(K45="",Results!K11=""),"",IF(K45=Results!K11,1+IF(OR($O45=10,$P45=10,$Q45=10),1,0),0))</f>
        <v/>
      </c>
      <c r="AC45" s="4" t="str">
        <f>IF(OR(L45="",Results!L11=""),"",IF(L45=Results!L11,1+IF(OR($O45=11,$P45=11,$Q45=11),1,0),0))</f>
        <v/>
      </c>
      <c r="AD45" s="4" t="str">
        <f>IF(OR(M45="",Results!M11=""),"",IF(M45=Results!M11,1+IF(OR($O45=12,$P45=12,$Q45=12),1,0),0))</f>
        <v/>
      </c>
      <c r="AE45" s="4" t="str">
        <f>IF(OR(N45="",Results!N11=""),"",IF(N45=Results!N11,1+IF(OR($O45=13,$P45=13,$Q45=13),1,0),0))</f>
        <v/>
      </c>
      <c r="AF45" s="11">
        <f t="shared" si="2"/>
        <v>0</v>
      </c>
      <c r="AG45" s="4" t="str">
        <f>IF(OR($R45="",Results!O11=""),"",ABS($R45-Results!O11))</f>
        <v/>
      </c>
      <c r="AH45" s="12">
        <v>24</v>
      </c>
      <c r="AI45" s="13" t="str">
        <f>IF(OR(B45="",Results!B11=""),"",IF(AND(B45=Results!B11,Results!B11&lt;&gt;Games!$C$83),1,0))</f>
        <v/>
      </c>
      <c r="AJ45" s="13" t="str">
        <f>IF(OR(C45="",Results!C11=""),"",IF(AND(C45=Results!C11,Results!C11&lt;&gt;Games!$C$84),1,0))</f>
        <v/>
      </c>
      <c r="AK45" s="13" t="str">
        <f>IF(OR(D45="",Results!D11=""),"",IF(AND(D45=Results!D11,Results!D11&lt;&gt;Games!$C$85),1,0))</f>
        <v/>
      </c>
      <c r="AL45" s="13" t="str">
        <f>IF(OR(E45="",Results!E11=""),"",IF(AND(E45=Results!E11,Results!E11&lt;&gt;Games!$C$86),1,0))</f>
        <v/>
      </c>
      <c r="AM45" s="13" t="str">
        <f>IF(OR(F45="",Results!F11=""),"",IF(AND(F45=Results!F11,Results!F11&lt;&gt;Games!$C$87),1,0))</f>
        <v/>
      </c>
      <c r="AN45" s="13" t="str">
        <f>IF(OR(G45="",Results!G11=""),"",IF(AND(G45=Results!G11,Results!G11&lt;&gt;Games!$C$88),1,0))</f>
        <v/>
      </c>
      <c r="AO45" s="13" t="str">
        <f>IF(OR(H45="",Results!H11=""),"",IF(AND(H45=Results!H11,Results!H11&lt;&gt;Games!$C$89),1,0))</f>
        <v/>
      </c>
      <c r="AP45" s="13" t="str">
        <f>IF(OR(I45="",Results!I11=""),"",IF(AND(I45=Results!I11,Results!I11&lt;&gt;Games!$C$90),1,0))</f>
        <v/>
      </c>
      <c r="AQ45" s="13" t="str">
        <f>IF(OR(J45="",Results!J11=""),"",IF(AND(J45=Results!J11,Results!J11&lt;&gt;Games!$C$91),1,0))</f>
        <v/>
      </c>
      <c r="AR45" s="13" t="str">
        <f>IF(OR(K45="",Results!K11=""),"",IF(AND(K45=Results!K11,Results!K11&lt;&gt;Games!$C$92),1,0))</f>
        <v/>
      </c>
      <c r="AS45" s="13" t="str">
        <f>IF(OR(L45="",Results!L11=""),"",IF(AND(L45=Results!L11,Results!L11&lt;&gt;Games!$C$93),1,0))</f>
        <v/>
      </c>
      <c r="AT45" s="13" t="str">
        <f>IF(OR(M45="",Results!M11=""),"",IF(AND(M45=Results!M11,Results!M11&lt;&gt;Games!$C$94),1,0))</f>
        <v/>
      </c>
      <c r="AU45" s="13" t="str">
        <f>IF(OR(N45="",Results!N11=""),"",IF(AND(N45=Results!N11,Results!N11&lt;&gt;Games!$C$95),1,0))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IF(OR(B46="",Results!B11=""),"",IF(B46=Results!B11,1+IF(OR($O46=1,$P46=1,$Q46=1),1,0),0))</f>
        <v/>
      </c>
      <c r="T46" s="4" t="str">
        <f>IF(OR(C46="",Results!C11=""),"",IF(C46=Results!C11,1+IF(OR($O46=2,$P46=2,$Q46=2),1,0),0))</f>
        <v/>
      </c>
      <c r="U46" s="4" t="str">
        <f>IF(OR(D46="",Results!D11=""),"",IF(D46=Results!D11,1+IF(OR($O46=3,$P46=3,$Q46=3),1,0),0))</f>
        <v/>
      </c>
      <c r="V46" s="4" t="str">
        <f>IF(OR(E46="",Results!E11=""),"",IF(E46=Results!E11,1+IF(OR($O46=4,$P46=4,$Q46=4),1,0),0))</f>
        <v/>
      </c>
      <c r="W46" s="4" t="str">
        <f>IF(OR(F46="",Results!F11=""),"",IF(F46=Results!F11,1+IF(OR($O46=5,$P46=5,$Q46=5),1,0),0))</f>
        <v/>
      </c>
      <c r="X46" s="4" t="str">
        <f>IF(OR(G46="",Results!G11=""),"",IF(G46=Results!G11,1+IF(OR($O46=6,$P46=6,$Q46=6),1,0),0))</f>
        <v/>
      </c>
      <c r="Y46" s="4" t="str">
        <f>IF(OR(H46="",Results!H11=""),"",IF(H46=Results!H11,1+IF(OR($O46=7,$P46=7,$Q46=7),1,0),0))</f>
        <v/>
      </c>
      <c r="Z46" s="4" t="str">
        <f>IF(OR(I46="",Results!I11=""),"",IF(I46=Results!I11,1+IF(OR($O46=8,$P46=8,$Q46=8),1,0),0))</f>
        <v/>
      </c>
      <c r="AA46" s="4" t="str">
        <f>IF(OR(J46="",Results!J11=""),"",IF(J46=Results!J11,1+IF(OR($O46=9,$P46=9,$Q46=9),1,0),0))</f>
        <v/>
      </c>
      <c r="AB46" s="4" t="str">
        <f>IF(OR(K46="",Results!K11=""),"",IF(K46=Results!K11,1+IF(OR($O46=10,$P46=10,$Q46=10),1,0),0))</f>
        <v/>
      </c>
      <c r="AC46" s="4" t="str">
        <f>IF(OR(L46="",Results!L11=""),"",IF(L46=Results!L11,1+IF(OR($O46=11,$P46=11,$Q46=11),1,0),0))</f>
        <v/>
      </c>
      <c r="AD46" s="4" t="str">
        <f>IF(OR(M46="",Results!M11=""),"",IF(M46=Results!M11,1+IF(OR($O46=12,$P46=12,$Q46=12),1,0),0))</f>
        <v/>
      </c>
      <c r="AE46" s="4" t="str">
        <f>IF(OR(N46="",Results!N11=""),"",IF(N46=Results!N11,1+IF(OR($O46=13,$P46=13,$Q46=13),1,0),0))</f>
        <v/>
      </c>
      <c r="AF46" s="11">
        <f t="shared" si="2"/>
        <v>0</v>
      </c>
      <c r="AG46" s="4" t="str">
        <f>IF(OR($R46="",Results!O11=""),"",ABS($R46-Results!O11))</f>
        <v/>
      </c>
      <c r="AH46" s="12">
        <v>36</v>
      </c>
      <c r="AI46" s="13" t="str">
        <f>IF(OR(B46="",Results!B11=""),"",IF(AND(B46=Results!B11,Results!B11&lt;&gt;Games!$C$83),1,0))</f>
        <v/>
      </c>
      <c r="AJ46" s="13" t="str">
        <f>IF(OR(C46="",Results!C11=""),"",IF(AND(C46=Results!C11,Results!C11&lt;&gt;Games!$C$84),1,0))</f>
        <v/>
      </c>
      <c r="AK46" s="13" t="str">
        <f>IF(OR(D46="",Results!D11=""),"",IF(AND(D46=Results!D11,Results!D11&lt;&gt;Games!$C$85),1,0))</f>
        <v/>
      </c>
      <c r="AL46" s="13" t="str">
        <f>IF(OR(E46="",Results!E11=""),"",IF(AND(E46=Results!E11,Results!E11&lt;&gt;Games!$C$86),1,0))</f>
        <v/>
      </c>
      <c r="AM46" s="13" t="str">
        <f>IF(OR(F46="",Results!F11=""),"",IF(AND(F46=Results!F11,Results!F11&lt;&gt;Games!$C$87),1,0))</f>
        <v/>
      </c>
      <c r="AN46" s="13" t="str">
        <f>IF(OR(G46="",Results!G11=""),"",IF(AND(G46=Results!G11,Results!G11&lt;&gt;Games!$C$88),1,0))</f>
        <v/>
      </c>
      <c r="AO46" s="13" t="str">
        <f>IF(OR(H46="",Results!H11=""),"",IF(AND(H46=Results!H11,Results!H11&lt;&gt;Games!$C$89),1,0))</f>
        <v/>
      </c>
      <c r="AP46" s="13" t="str">
        <f>IF(OR(I46="",Results!I11=""),"",IF(AND(I46=Results!I11,Results!I11&lt;&gt;Games!$C$90),1,0))</f>
        <v/>
      </c>
      <c r="AQ46" s="13" t="str">
        <f>IF(OR(J46="",Results!J11=""),"",IF(AND(J46=Results!J11,Results!J11&lt;&gt;Games!$C$91),1,0))</f>
        <v/>
      </c>
      <c r="AR46" s="13" t="str">
        <f>IF(OR(K46="",Results!K11=""),"",IF(AND(K46=Results!K11,Results!K11&lt;&gt;Games!$C$92),1,0))</f>
        <v/>
      </c>
      <c r="AS46" s="13" t="str">
        <f>IF(OR(L46="",Results!L11=""),"",IF(AND(L46=Results!L11,Results!L11&lt;&gt;Games!$C$93),1,0))</f>
        <v/>
      </c>
      <c r="AT46" s="13" t="str">
        <f>IF(OR(M46="",Results!M11=""),"",IF(AND(M46=Results!M11,Results!M11&lt;&gt;Games!$C$94),1,0))</f>
        <v/>
      </c>
      <c r="AU46" s="13" t="str">
        <f>IF(OR(N46="",Results!N11=""),"",IF(AND(N46=Results!N11,Results!N11&lt;&gt;Games!$C$95),1,0))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 t="str">
        <f>IF(OR(B47="",Results!B11=""),"",IF(B47=Results!B11,1+IF(OR($O47=1,$P47=1,$Q47=1),1,0),0))</f>
        <v/>
      </c>
      <c r="T47" s="4" t="str">
        <f>IF(OR(C47="",Results!C11=""),"",IF(C47=Results!C11,1+IF(OR($O47=2,$P47=2,$Q47=2),1,0),0))</f>
        <v/>
      </c>
      <c r="U47" s="4" t="str">
        <f>IF(OR(D47="",Results!D11=""),"",IF(D47=Results!D11,1+IF(OR($O47=3,$P47=3,$Q47=3),1,0),0))</f>
        <v/>
      </c>
      <c r="V47" s="4" t="str">
        <f>IF(OR(E47="",Results!E11=""),"",IF(E47=Results!E11,1+IF(OR($O47=4,$P47=4,$Q47=4),1,0),0))</f>
        <v/>
      </c>
      <c r="W47" s="4" t="str">
        <f>IF(OR(F47="",Results!F11=""),"",IF(F47=Results!F11,1+IF(OR($O47=5,$P47=5,$Q47=5),1,0),0))</f>
        <v/>
      </c>
      <c r="X47" s="4" t="str">
        <f>IF(OR(G47="",Results!G11=""),"",IF(G47=Results!G11,1+IF(OR($O47=6,$P47=6,$Q47=6),1,0),0))</f>
        <v/>
      </c>
      <c r="Y47" s="4" t="str">
        <f>IF(OR(H47="",Results!H11=""),"",IF(H47=Results!H11,1+IF(OR($O47=7,$P47=7,$Q47=7),1,0),0))</f>
        <v/>
      </c>
      <c r="Z47" s="4" t="str">
        <f>IF(OR(I47="",Results!I11=""),"",IF(I47=Results!I11,1+IF(OR($O47=8,$P47=8,$Q47=8),1,0),0))</f>
        <v/>
      </c>
      <c r="AA47" s="4" t="str">
        <f>IF(OR(J47="",Results!J11=""),"",IF(J47=Results!J11,1+IF(OR($O47=9,$P47=9,$Q47=9),1,0),0))</f>
        <v/>
      </c>
      <c r="AB47" s="4" t="str">
        <f>IF(OR(K47="",Results!K11=""),"",IF(K47=Results!K11,1+IF(OR($O47=10,$P47=10,$Q47=10),1,0),0))</f>
        <v/>
      </c>
      <c r="AC47" s="4" t="str">
        <f>IF(OR(L47="",Results!L11=""),"",IF(L47=Results!L11,1+IF(OR($O47=11,$P47=11,$Q47=11),1,0),0))</f>
        <v/>
      </c>
      <c r="AD47" s="4" t="str">
        <f>IF(OR(M47="",Results!M11=""),"",IF(M47=Results!M11,1+IF(OR($O47=12,$P47=12,$Q47=12),1,0),0))</f>
        <v/>
      </c>
      <c r="AE47" s="4" t="str">
        <f>IF(OR(N47="",Results!N11=""),"",IF(N47=Results!N11,1+IF(OR($O47=13,$P47=13,$Q47=13),1,0),0))</f>
        <v/>
      </c>
      <c r="AF47" s="11">
        <f t="shared" si="2"/>
        <v>0</v>
      </c>
      <c r="AG47" s="4" t="str">
        <f>IF(OR($R47="",Results!O11=""),"",ABS($R47-Results!O11))</f>
        <v/>
      </c>
      <c r="AH47" s="12">
        <v>25</v>
      </c>
      <c r="AI47" s="13" t="str">
        <f>IF(OR(B47="",Results!B11=""),"",IF(AND(B47=Results!B11,Results!B11&lt;&gt;Games!$C$83),1,0))</f>
        <v/>
      </c>
      <c r="AJ47" s="13" t="str">
        <f>IF(OR(C47="",Results!C11=""),"",IF(AND(C47=Results!C11,Results!C11&lt;&gt;Games!$C$84),1,0))</f>
        <v/>
      </c>
      <c r="AK47" s="13" t="str">
        <f>IF(OR(D47="",Results!D11=""),"",IF(AND(D47=Results!D11,Results!D11&lt;&gt;Games!$C$85),1,0))</f>
        <v/>
      </c>
      <c r="AL47" s="13" t="str">
        <f>IF(OR(E47="",Results!E11=""),"",IF(AND(E47=Results!E11,Results!E11&lt;&gt;Games!$C$86),1,0))</f>
        <v/>
      </c>
      <c r="AM47" s="13" t="str">
        <f>IF(OR(F47="",Results!F11=""),"",IF(AND(F47=Results!F11,Results!F11&lt;&gt;Games!$C$87),1,0))</f>
        <v/>
      </c>
      <c r="AN47" s="13" t="str">
        <f>IF(OR(G47="",Results!G11=""),"",IF(AND(G47=Results!G11,Results!G11&lt;&gt;Games!$C$88),1,0))</f>
        <v/>
      </c>
      <c r="AO47" s="13" t="str">
        <f>IF(OR(H47="",Results!H11=""),"",IF(AND(H47=Results!H11,Results!H11&lt;&gt;Games!$C$89),1,0))</f>
        <v/>
      </c>
      <c r="AP47" s="13" t="str">
        <f>IF(OR(I47="",Results!I11=""),"",IF(AND(I47=Results!I11,Results!I11&lt;&gt;Games!$C$90),1,0))</f>
        <v/>
      </c>
      <c r="AQ47" s="13" t="str">
        <f>IF(OR(J47="",Results!J11=""),"",IF(AND(J47=Results!J11,Results!J11&lt;&gt;Games!$C$91),1,0))</f>
        <v/>
      </c>
      <c r="AR47" s="13" t="str">
        <f>IF(OR(K47="",Results!K11=""),"",IF(AND(K47=Results!K11,Results!K11&lt;&gt;Games!$C$92),1,0))</f>
        <v/>
      </c>
      <c r="AS47" s="13" t="str">
        <f>IF(OR(L47="",Results!L11=""),"",IF(AND(L47=Results!L11,Results!L11&lt;&gt;Games!$C$93),1,0))</f>
        <v/>
      </c>
      <c r="AT47" s="13" t="str">
        <f>IF(OR(M47="",Results!M11=""),"",IF(AND(M47=Results!M11,Results!M11&lt;&gt;Games!$C$94),1,0))</f>
        <v/>
      </c>
      <c r="AU47" s="13" t="str">
        <f>IF(OR(N47="",Results!N11=""),"",IF(AND(N47=Results!N11,Results!N11&lt;&gt;Games!$C$95),1,0))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IF(OR(B48="",Results!B11=""),"",IF(B48=Results!B11,1+IF(OR($O48=1,$P48=1,$Q48=1),1,0),0))</f>
        <v/>
      </c>
      <c r="T48" s="4" t="str">
        <f>IF(OR(C48="",Results!C11=""),"",IF(C48=Results!C11,1+IF(OR($O48=2,$P48=2,$Q48=2),1,0),0))</f>
        <v/>
      </c>
      <c r="U48" s="4" t="str">
        <f>IF(OR(D48="",Results!D11=""),"",IF(D48=Results!D11,1+IF(OR($O48=3,$P48=3,$Q48=3),1,0),0))</f>
        <v/>
      </c>
      <c r="V48" s="4" t="str">
        <f>IF(OR(E48="",Results!E11=""),"",IF(E48=Results!E11,1+IF(OR($O48=4,$P48=4,$Q48=4),1,0),0))</f>
        <v/>
      </c>
      <c r="W48" s="4" t="str">
        <f>IF(OR(F48="",Results!F11=""),"",IF(F48=Results!F11,1+IF(OR($O48=5,$P48=5,$Q48=5),1,0),0))</f>
        <v/>
      </c>
      <c r="X48" s="4" t="str">
        <f>IF(OR(G48="",Results!G11=""),"",IF(G48=Results!G11,1+IF(OR($O48=6,$P48=6,$Q48=6),1,0),0))</f>
        <v/>
      </c>
      <c r="Y48" s="4" t="str">
        <f>IF(OR(H48="",Results!H11=""),"",IF(H48=Results!H11,1+IF(OR($O48=7,$P48=7,$Q48=7),1,0),0))</f>
        <v/>
      </c>
      <c r="Z48" s="4" t="str">
        <f>IF(OR(I48="",Results!I11=""),"",IF(I48=Results!I11,1+IF(OR($O48=8,$P48=8,$Q48=8),1,0),0))</f>
        <v/>
      </c>
      <c r="AA48" s="4" t="str">
        <f>IF(OR(J48="",Results!J11=""),"",IF(J48=Results!J11,1+IF(OR($O48=9,$P48=9,$Q48=9),1,0),0))</f>
        <v/>
      </c>
      <c r="AB48" s="4" t="str">
        <f>IF(OR(K48="",Results!K11=""),"",IF(K48=Results!K11,1+IF(OR($O48=10,$P48=10,$Q48=10),1,0),0))</f>
        <v/>
      </c>
      <c r="AC48" s="4" t="str">
        <f>IF(OR(L48="",Results!L11=""),"",IF(L48=Results!L11,1+IF(OR($O48=11,$P48=11,$Q48=11),1,0),0))</f>
        <v/>
      </c>
      <c r="AD48" s="4" t="str">
        <f>IF(OR(M48="",Results!M11=""),"",IF(M48=Results!M11,1+IF(OR($O48=12,$P48=12,$Q48=12),1,0),0))</f>
        <v/>
      </c>
      <c r="AE48" s="4" t="str">
        <f>IF(OR(N48="",Results!N11=""),"",IF(N48=Results!N11,1+IF(OR($O48=13,$P48=13,$Q48=13),1,0),0))</f>
        <v/>
      </c>
      <c r="AF48" s="11">
        <f t="shared" si="2"/>
        <v>0</v>
      </c>
      <c r="AG48" s="4" t="str">
        <f>IF(OR($R48="",Results!O11=""),"",ABS($R48-Results!O11))</f>
        <v/>
      </c>
      <c r="AH48" s="12">
        <v>56</v>
      </c>
      <c r="AI48" s="13" t="str">
        <f>IF(OR(B48="",Results!B11=""),"",IF(AND(B48=Results!B11,Results!B11&lt;&gt;Games!$C$83),1,0))</f>
        <v/>
      </c>
      <c r="AJ48" s="13" t="str">
        <f>IF(OR(C48="",Results!C11=""),"",IF(AND(C48=Results!C11,Results!C11&lt;&gt;Games!$C$84),1,0))</f>
        <v/>
      </c>
      <c r="AK48" s="13" t="str">
        <f>IF(OR(D48="",Results!D11=""),"",IF(AND(D48=Results!D11,Results!D11&lt;&gt;Games!$C$85),1,0))</f>
        <v/>
      </c>
      <c r="AL48" s="13" t="str">
        <f>IF(OR(E48="",Results!E11=""),"",IF(AND(E48=Results!E11,Results!E11&lt;&gt;Games!$C$86),1,0))</f>
        <v/>
      </c>
      <c r="AM48" s="13" t="str">
        <f>IF(OR(F48="",Results!F11=""),"",IF(AND(F48=Results!F11,Results!F11&lt;&gt;Games!$C$87),1,0))</f>
        <v/>
      </c>
      <c r="AN48" s="13" t="str">
        <f>IF(OR(G48="",Results!G11=""),"",IF(AND(G48=Results!G11,Results!G11&lt;&gt;Games!$C$88),1,0))</f>
        <v/>
      </c>
      <c r="AO48" s="13" t="str">
        <f>IF(OR(H48="",Results!H11=""),"",IF(AND(H48=Results!H11,Results!H11&lt;&gt;Games!$C$89),1,0))</f>
        <v/>
      </c>
      <c r="AP48" s="13" t="str">
        <f>IF(OR(I48="",Results!I11=""),"",IF(AND(I48=Results!I11,Results!I11&lt;&gt;Games!$C$90),1,0))</f>
        <v/>
      </c>
      <c r="AQ48" s="13" t="str">
        <f>IF(OR(J48="",Results!J11=""),"",IF(AND(J48=Results!J11,Results!J11&lt;&gt;Games!$C$91),1,0))</f>
        <v/>
      </c>
      <c r="AR48" s="13" t="str">
        <f>IF(OR(K48="",Results!K11=""),"",IF(AND(K48=Results!K11,Results!K11&lt;&gt;Games!$C$92),1,0))</f>
        <v/>
      </c>
      <c r="AS48" s="13" t="str">
        <f>IF(OR(L48="",Results!L11=""),"",IF(AND(L48=Results!L11,Results!L11&lt;&gt;Games!$C$93),1,0))</f>
        <v/>
      </c>
      <c r="AT48" s="13" t="str">
        <f>IF(OR(M48="",Results!M11=""),"",IF(AND(M48=Results!M11,Results!M11&lt;&gt;Games!$C$94),1,0))</f>
        <v/>
      </c>
      <c r="AU48" s="13" t="str">
        <f>IF(OR(N48="",Results!N11=""),"",IF(AND(N48=Results!N11,Results!N11&lt;&gt;Games!$C$95),1,0))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 t="str">
        <f>IF(OR(B49="",Results!B11=""),"",IF(B49=Results!B11,1+IF(OR($O49=1,$P49=1,$Q49=1),1,0),0))</f>
        <v/>
      </c>
      <c r="T49" s="4" t="str">
        <f>IF(OR(C49="",Results!C11=""),"",IF(C49=Results!C11,1+IF(OR($O49=2,$P49=2,$Q49=2),1,0),0))</f>
        <v/>
      </c>
      <c r="U49" s="4" t="str">
        <f>IF(OR(D49="",Results!D11=""),"",IF(D49=Results!D11,1+IF(OR($O49=3,$P49=3,$Q49=3),1,0),0))</f>
        <v/>
      </c>
      <c r="V49" s="4" t="str">
        <f>IF(OR(E49="",Results!E11=""),"",IF(E49=Results!E11,1+IF(OR($O49=4,$P49=4,$Q49=4),1,0),0))</f>
        <v/>
      </c>
      <c r="W49" s="4" t="str">
        <f>IF(OR(F49="",Results!F11=""),"",IF(F49=Results!F11,1+IF(OR($O49=5,$P49=5,$Q49=5),1,0),0))</f>
        <v/>
      </c>
      <c r="X49" s="4" t="str">
        <f>IF(OR(G49="",Results!G11=""),"",IF(G49=Results!G11,1+IF(OR($O49=6,$P49=6,$Q49=6),1,0),0))</f>
        <v/>
      </c>
      <c r="Y49" s="4" t="str">
        <f>IF(OR(H49="",Results!H11=""),"",IF(H49=Results!H11,1+IF(OR($O49=7,$P49=7,$Q49=7),1,0),0))</f>
        <v/>
      </c>
      <c r="Z49" s="4" t="str">
        <f>IF(OR(I49="",Results!I11=""),"",IF(I49=Results!I11,1+IF(OR($O49=8,$P49=8,$Q49=8),1,0),0))</f>
        <v/>
      </c>
      <c r="AA49" s="4" t="str">
        <f>IF(OR(J49="",Results!J11=""),"",IF(J49=Results!J11,1+IF(OR($O49=9,$P49=9,$Q49=9),1,0),0))</f>
        <v/>
      </c>
      <c r="AB49" s="4" t="str">
        <f>IF(OR(K49="",Results!K11=""),"",IF(K49=Results!K11,1+IF(OR($O49=10,$P49=10,$Q49=10),1,0),0))</f>
        <v/>
      </c>
      <c r="AC49" s="4" t="str">
        <f>IF(OR(L49="",Results!L11=""),"",IF(L49=Results!L11,1+IF(OR($O49=11,$P49=11,$Q49=11),1,0),0))</f>
        <v/>
      </c>
      <c r="AD49" s="4" t="str">
        <f>IF(OR(M49="",Results!M11=""),"",IF(M49=Results!M11,1+IF(OR($O49=12,$P49=12,$Q49=12),1,0),0))</f>
        <v/>
      </c>
      <c r="AE49" s="4" t="str">
        <f>IF(OR(N49="",Results!N11=""),"",IF(N49=Results!N11,1+IF(OR($O49=13,$P49=13,$Q49=13),1,0),0))</f>
        <v/>
      </c>
      <c r="AF49" s="11">
        <f t="shared" si="2"/>
        <v>0</v>
      </c>
      <c r="AG49" s="4" t="str">
        <f>IF(OR($R49="",Results!O11=""),"",ABS($R49-Results!O11))</f>
        <v/>
      </c>
      <c r="AH49" s="12">
        <v>34</v>
      </c>
      <c r="AI49" s="13" t="str">
        <f>IF(OR(B49="",Results!B11=""),"",IF(AND(B49=Results!B11,Results!B11&lt;&gt;Games!$C$83),1,0))</f>
        <v/>
      </c>
      <c r="AJ49" s="13" t="str">
        <f>IF(OR(C49="",Results!C11=""),"",IF(AND(C49=Results!C11,Results!C11&lt;&gt;Games!$C$84),1,0))</f>
        <v/>
      </c>
      <c r="AK49" s="13" t="str">
        <f>IF(OR(D49="",Results!D11=""),"",IF(AND(D49=Results!D11,Results!D11&lt;&gt;Games!$C$85),1,0))</f>
        <v/>
      </c>
      <c r="AL49" s="13" t="str">
        <f>IF(OR(E49="",Results!E11=""),"",IF(AND(E49=Results!E11,Results!E11&lt;&gt;Games!$C$86),1,0))</f>
        <v/>
      </c>
      <c r="AM49" s="13" t="str">
        <f>IF(OR(F49="",Results!F11=""),"",IF(AND(F49=Results!F11,Results!F11&lt;&gt;Games!$C$87),1,0))</f>
        <v/>
      </c>
      <c r="AN49" s="13" t="str">
        <f>IF(OR(G49="",Results!G11=""),"",IF(AND(G49=Results!G11,Results!G11&lt;&gt;Games!$C$88),1,0))</f>
        <v/>
      </c>
      <c r="AO49" s="13" t="str">
        <f>IF(OR(H49="",Results!H11=""),"",IF(AND(H49=Results!H11,Results!H11&lt;&gt;Games!$C$89),1,0))</f>
        <v/>
      </c>
      <c r="AP49" s="13" t="str">
        <f>IF(OR(I49="",Results!I11=""),"",IF(AND(I49=Results!I11,Results!I11&lt;&gt;Games!$C$90),1,0))</f>
        <v/>
      </c>
      <c r="AQ49" s="13" t="str">
        <f>IF(OR(J49="",Results!J11=""),"",IF(AND(J49=Results!J11,Results!J11&lt;&gt;Games!$C$91),1,0))</f>
        <v/>
      </c>
      <c r="AR49" s="13" t="str">
        <f>IF(OR(K49="",Results!K11=""),"",IF(AND(K49=Results!K11,Results!K11&lt;&gt;Games!$C$92),1,0))</f>
        <v/>
      </c>
      <c r="AS49" s="13" t="str">
        <f>IF(OR(L49="",Results!L11=""),"",IF(AND(L49=Results!L11,Results!L11&lt;&gt;Games!$C$93),1,0))</f>
        <v/>
      </c>
      <c r="AT49" s="13" t="str">
        <f>IF(OR(M49="",Results!M11=""),"",IF(AND(M49=Results!M11,Results!M11&lt;&gt;Games!$C$94),1,0))</f>
        <v/>
      </c>
      <c r="AU49" s="13" t="str">
        <f>IF(OR(N49="",Results!N11=""),"",IF(AND(N49=Results!N11,Results!N11&lt;&gt;Games!$C$95),1,0))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IF(OR(B50="",Results!B11=""),"",IF(B50=Results!B11,1+IF(OR($O50=1,$P50=1,$Q50=1),1,0),0))</f>
        <v/>
      </c>
      <c r="T50" s="4" t="str">
        <f>IF(OR(C50="",Results!C11=""),"",IF(C50=Results!C11,1+IF(OR($O50=2,$P50=2,$Q50=2),1,0),0))</f>
        <v/>
      </c>
      <c r="U50" s="4" t="str">
        <f>IF(OR(D50="",Results!D11=""),"",IF(D50=Results!D11,1+IF(OR($O50=3,$P50=3,$Q50=3),1,0),0))</f>
        <v/>
      </c>
      <c r="V50" s="4" t="str">
        <f>IF(OR(E50="",Results!E11=""),"",IF(E50=Results!E11,1+IF(OR($O50=4,$P50=4,$Q50=4),1,0),0))</f>
        <v/>
      </c>
      <c r="W50" s="4" t="str">
        <f>IF(OR(F50="",Results!F11=""),"",IF(F50=Results!F11,1+IF(OR($O50=5,$P50=5,$Q50=5),1,0),0))</f>
        <v/>
      </c>
      <c r="X50" s="4" t="str">
        <f>IF(OR(G50="",Results!G11=""),"",IF(G50=Results!G11,1+IF(OR($O50=6,$P50=6,$Q50=6),1,0),0))</f>
        <v/>
      </c>
      <c r="Y50" s="4" t="str">
        <f>IF(OR(H50="",Results!H11=""),"",IF(H50=Results!H11,1+IF(OR($O50=7,$P50=7,$Q50=7),1,0),0))</f>
        <v/>
      </c>
      <c r="Z50" s="4" t="str">
        <f>IF(OR(I50="",Results!I11=""),"",IF(I50=Results!I11,1+IF(OR($O50=8,$P50=8,$Q50=8),1,0),0))</f>
        <v/>
      </c>
      <c r="AA50" s="4" t="str">
        <f>IF(OR(J50="",Results!J11=""),"",IF(J50=Results!J11,1+IF(OR($O50=9,$P50=9,$Q50=9),1,0),0))</f>
        <v/>
      </c>
      <c r="AB50" s="4" t="str">
        <f>IF(OR(K50="",Results!K11=""),"",IF(K50=Results!K11,1+IF(OR($O50=10,$P50=10,$Q50=10),1,0),0))</f>
        <v/>
      </c>
      <c r="AC50" s="4" t="str">
        <f>IF(OR(L50="",Results!L11=""),"",IF(L50=Results!L11,1+IF(OR($O50=11,$P50=11,$Q50=11),1,0),0))</f>
        <v/>
      </c>
      <c r="AD50" s="4" t="str">
        <f>IF(OR(M50="",Results!M11=""),"",IF(M50=Results!M11,1+IF(OR($O50=12,$P50=12,$Q50=12),1,0),0))</f>
        <v/>
      </c>
      <c r="AE50" s="4" t="str">
        <f>IF(OR(N50="",Results!N11=""),"",IF(N50=Results!N11,1+IF(OR($O50=13,$P50=13,$Q50=13),1,0),0))</f>
        <v/>
      </c>
      <c r="AF50" s="11">
        <f t="shared" si="2"/>
        <v>0</v>
      </c>
      <c r="AG50" s="4" t="str">
        <f>IF(OR($R50="",Results!O11=""),"",ABS($R50-Results!O11))</f>
        <v/>
      </c>
      <c r="AH50" s="12">
        <v>40</v>
      </c>
      <c r="AI50" s="13" t="str">
        <f>IF(OR(B50="",Results!B11=""),"",IF(AND(B50=Results!B11,Results!B11&lt;&gt;Games!$C$83),1,0))</f>
        <v/>
      </c>
      <c r="AJ50" s="13" t="str">
        <f>IF(OR(C50="",Results!C11=""),"",IF(AND(C50=Results!C11,Results!C11&lt;&gt;Games!$C$84),1,0))</f>
        <v/>
      </c>
      <c r="AK50" s="13" t="str">
        <f>IF(OR(D50="",Results!D11=""),"",IF(AND(D50=Results!D11,Results!D11&lt;&gt;Games!$C$85),1,0))</f>
        <v/>
      </c>
      <c r="AL50" s="13" t="str">
        <f>IF(OR(E50="",Results!E11=""),"",IF(AND(E50=Results!E11,Results!E11&lt;&gt;Games!$C$86),1,0))</f>
        <v/>
      </c>
      <c r="AM50" s="13" t="str">
        <f>IF(OR(F50="",Results!F11=""),"",IF(AND(F50=Results!F11,Results!F11&lt;&gt;Games!$C$87),1,0))</f>
        <v/>
      </c>
      <c r="AN50" s="13" t="str">
        <f>IF(OR(G50="",Results!G11=""),"",IF(AND(G50=Results!G11,Results!G11&lt;&gt;Games!$C$88),1,0))</f>
        <v/>
      </c>
      <c r="AO50" s="13" t="str">
        <f>IF(OR(H50="",Results!H11=""),"",IF(AND(H50=Results!H11,Results!H11&lt;&gt;Games!$C$89),1,0))</f>
        <v/>
      </c>
      <c r="AP50" s="13" t="str">
        <f>IF(OR(I50="",Results!I11=""),"",IF(AND(I50=Results!I11,Results!I11&lt;&gt;Games!$C$90),1,0))</f>
        <v/>
      </c>
      <c r="AQ50" s="13" t="str">
        <f>IF(OR(J50="",Results!J11=""),"",IF(AND(J50=Results!J11,Results!J11&lt;&gt;Games!$C$91),1,0))</f>
        <v/>
      </c>
      <c r="AR50" s="13" t="str">
        <f>IF(OR(K50="",Results!K11=""),"",IF(AND(K50=Results!K11,Results!K11&lt;&gt;Games!$C$92),1,0))</f>
        <v/>
      </c>
      <c r="AS50" s="13" t="str">
        <f>IF(OR(L50="",Results!L11=""),"",IF(AND(L50=Results!L11,Results!L11&lt;&gt;Games!$C$93),1,0))</f>
        <v/>
      </c>
      <c r="AT50" s="13" t="str">
        <f>IF(OR(M50="",Results!M11=""),"",IF(AND(M50=Results!M11,Results!M11&lt;&gt;Games!$C$94),1,0))</f>
        <v/>
      </c>
      <c r="AU50" s="13" t="str">
        <f>IF(OR(N50="",Results!N11=""),"",IF(AND(N50=Results!N11,Results!N11&lt;&gt;Games!$C$95),1,0))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IF(OR(B51="",Results!B11=""),"",IF(B51=Results!B11,1+IF(OR($O51=1,$P51=1,$Q51=1),1,0),0))</f>
        <v/>
      </c>
      <c r="T51" s="4" t="str">
        <f>IF(OR(C51="",Results!C11=""),"",IF(C51=Results!C11,1+IF(OR($O51=2,$P51=2,$Q51=2),1,0),0))</f>
        <v/>
      </c>
      <c r="U51" s="4" t="str">
        <f>IF(OR(D51="",Results!D11=""),"",IF(D51=Results!D11,1+IF(OR($O51=3,$P51=3,$Q51=3),1,0),0))</f>
        <v/>
      </c>
      <c r="V51" s="4" t="str">
        <f>IF(OR(E51="",Results!E11=""),"",IF(E51=Results!E11,1+IF(OR($O51=4,$P51=4,$Q51=4),1,0),0))</f>
        <v/>
      </c>
      <c r="W51" s="4" t="str">
        <f>IF(OR(F51="",Results!F11=""),"",IF(F51=Results!F11,1+IF(OR($O51=5,$P51=5,$Q51=5),1,0),0))</f>
        <v/>
      </c>
      <c r="X51" s="4" t="str">
        <f>IF(OR(G51="",Results!G11=""),"",IF(G51=Results!G11,1+IF(OR($O51=6,$P51=6,$Q51=6),1,0),0))</f>
        <v/>
      </c>
      <c r="Y51" s="4" t="str">
        <f>IF(OR(H51="",Results!H11=""),"",IF(H51=Results!H11,1+IF(OR($O51=7,$P51=7,$Q51=7),1,0),0))</f>
        <v/>
      </c>
      <c r="Z51" s="4" t="str">
        <f>IF(OR(I51="",Results!I11=""),"",IF(I51=Results!I11,1+IF(OR($O51=8,$P51=8,$Q51=8),1,0),0))</f>
        <v/>
      </c>
      <c r="AA51" s="4" t="str">
        <f>IF(OR(J51="",Results!J11=""),"",IF(J51=Results!J11,1+IF(OR($O51=9,$P51=9,$Q51=9),1,0),0))</f>
        <v/>
      </c>
      <c r="AB51" s="4" t="str">
        <f>IF(OR(K51="",Results!K11=""),"",IF(K51=Results!K11,1+IF(OR($O51=10,$P51=10,$Q51=10),1,0),0))</f>
        <v/>
      </c>
      <c r="AC51" s="4" t="str">
        <f>IF(OR(L51="",Results!L11=""),"",IF(L51=Results!L11,1+IF(OR($O51=11,$P51=11,$Q51=11),1,0),0))</f>
        <v/>
      </c>
      <c r="AD51" s="4" t="str">
        <f>IF(OR(M51="",Results!M11=""),"",IF(M51=Results!M11,1+IF(OR($O51=12,$P51=12,$Q51=12),1,0),0))</f>
        <v/>
      </c>
      <c r="AE51" s="4" t="str">
        <f>IF(OR(N51="",Results!N11=""),"",IF(N51=Results!N11,1+IF(OR($O51=13,$P51=13,$Q51=13),1,0),0))</f>
        <v/>
      </c>
      <c r="AF51" s="11">
        <f t="shared" si="2"/>
        <v>0</v>
      </c>
      <c r="AG51" s="4" t="str">
        <f>IF(OR($R51="",Results!O11=""),"",ABS($R51-Results!O11))</f>
        <v/>
      </c>
      <c r="AH51" s="12">
        <v>42</v>
      </c>
      <c r="AI51" s="13" t="str">
        <f>IF(OR(B51="",Results!B11=""),"",IF(AND(B51=Results!B11,Results!B11&lt;&gt;Games!$C$83),1,0))</f>
        <v/>
      </c>
      <c r="AJ51" s="13" t="str">
        <f>IF(OR(C51="",Results!C11=""),"",IF(AND(C51=Results!C11,Results!C11&lt;&gt;Games!$C$84),1,0))</f>
        <v/>
      </c>
      <c r="AK51" s="13" t="str">
        <f>IF(OR(D51="",Results!D11=""),"",IF(AND(D51=Results!D11,Results!D11&lt;&gt;Games!$C$85),1,0))</f>
        <v/>
      </c>
      <c r="AL51" s="13" t="str">
        <f>IF(OR(E51="",Results!E11=""),"",IF(AND(E51=Results!E11,Results!E11&lt;&gt;Games!$C$86),1,0))</f>
        <v/>
      </c>
      <c r="AM51" s="13" t="str">
        <f>IF(OR(F51="",Results!F11=""),"",IF(AND(F51=Results!F11,Results!F11&lt;&gt;Games!$C$87),1,0))</f>
        <v/>
      </c>
      <c r="AN51" s="13" t="str">
        <f>IF(OR(G51="",Results!G11=""),"",IF(AND(G51=Results!G11,Results!G11&lt;&gt;Games!$C$88),1,0))</f>
        <v/>
      </c>
      <c r="AO51" s="13" t="str">
        <f>IF(OR(H51="",Results!H11=""),"",IF(AND(H51=Results!H11,Results!H11&lt;&gt;Games!$C$89),1,0))</f>
        <v/>
      </c>
      <c r="AP51" s="13" t="str">
        <f>IF(OR(I51="",Results!I11=""),"",IF(AND(I51=Results!I11,Results!I11&lt;&gt;Games!$C$90),1,0))</f>
        <v/>
      </c>
      <c r="AQ51" s="13" t="str">
        <f>IF(OR(J51="",Results!J11=""),"",IF(AND(J51=Results!J11,Results!J11&lt;&gt;Games!$C$91),1,0))</f>
        <v/>
      </c>
      <c r="AR51" s="13" t="str">
        <f>IF(OR(K51="",Results!K11=""),"",IF(AND(K51=Results!K11,Results!K11&lt;&gt;Games!$C$92),1,0))</f>
        <v/>
      </c>
      <c r="AS51" s="13" t="str">
        <f>IF(OR(L51="",Results!L11=""),"",IF(AND(L51=Results!L11,Results!L11&lt;&gt;Games!$C$93),1,0))</f>
        <v/>
      </c>
      <c r="AT51" s="13" t="str">
        <f>IF(OR(M51="",Results!M11=""),"",IF(AND(M51=Results!M11,Results!M11&lt;&gt;Games!$C$94),1,0))</f>
        <v/>
      </c>
      <c r="AU51" s="13" t="str">
        <f>IF(OR(N51="",Results!N11=""),"",IF(AND(N51=Results!N11,Results!N11&lt;&gt;Games!$C$95),1,0))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 t="str">
        <f>IF(OR(B52="",Results!B11=""),"",IF(B52=Results!B11,1+IF(OR($O52=1,$P52=1,$Q52=1),1,0),0))</f>
        <v/>
      </c>
      <c r="T52" s="4" t="str">
        <f>IF(OR(C52="",Results!C11=""),"",IF(C52=Results!C11,1+IF(OR($O52=2,$P52=2,$Q52=2),1,0),0))</f>
        <v/>
      </c>
      <c r="U52" s="4" t="str">
        <f>IF(OR(D52="",Results!D11=""),"",IF(D52=Results!D11,1+IF(OR($O52=3,$P52=3,$Q52=3),1,0),0))</f>
        <v/>
      </c>
      <c r="V52" s="4" t="str">
        <f>IF(OR(E52="",Results!E11=""),"",IF(E52=Results!E11,1+IF(OR($O52=4,$P52=4,$Q52=4),1,0),0))</f>
        <v/>
      </c>
      <c r="W52" s="4" t="str">
        <f>IF(OR(F52="",Results!F11=""),"",IF(F52=Results!F11,1+IF(OR($O52=5,$P52=5,$Q52=5),1,0),0))</f>
        <v/>
      </c>
      <c r="X52" s="4" t="str">
        <f>IF(OR(G52="",Results!G11=""),"",IF(G52=Results!G11,1+IF(OR($O52=6,$P52=6,$Q52=6),1,0),0))</f>
        <v/>
      </c>
      <c r="Y52" s="4" t="str">
        <f>IF(OR(H52="",Results!H11=""),"",IF(H52=Results!H11,1+IF(OR($O52=7,$P52=7,$Q52=7),1,0),0))</f>
        <v/>
      </c>
      <c r="Z52" s="4" t="str">
        <f>IF(OR(I52="",Results!I11=""),"",IF(I52=Results!I11,1+IF(OR($O52=8,$P52=8,$Q52=8),1,0),0))</f>
        <v/>
      </c>
      <c r="AA52" s="4" t="str">
        <f>IF(OR(J52="",Results!J11=""),"",IF(J52=Results!J11,1+IF(OR($O52=9,$P52=9,$Q52=9),1,0),0))</f>
        <v/>
      </c>
      <c r="AB52" s="4" t="str">
        <f>IF(OR(K52="",Results!K11=""),"",IF(K52=Results!K11,1+IF(OR($O52=10,$P52=10,$Q52=10),1,0),0))</f>
        <v/>
      </c>
      <c r="AC52" s="4" t="str">
        <f>IF(OR(L52="",Results!L11=""),"",IF(L52=Results!L11,1+IF(OR($O52=11,$P52=11,$Q52=11),1,0),0))</f>
        <v/>
      </c>
      <c r="AD52" s="4" t="str">
        <f>IF(OR(M52="",Results!M11=""),"",IF(M52=Results!M11,1+IF(OR($O52=12,$P52=12,$Q52=12),1,0),0))</f>
        <v/>
      </c>
      <c r="AE52" s="4" t="str">
        <f>IF(OR(N52="",Results!N11=""),"",IF(N52=Results!N11,1+IF(OR($O52=13,$P52=13,$Q52=13),1,0),0))</f>
        <v/>
      </c>
      <c r="AF52" s="11">
        <f t="shared" si="2"/>
        <v>0</v>
      </c>
      <c r="AG52" s="4" t="str">
        <f>IF(OR($R52="",Results!O11=""),"",ABS($R52-Results!O11))</f>
        <v/>
      </c>
      <c r="AH52" s="12">
        <v>27</v>
      </c>
      <c r="AI52" s="13" t="str">
        <f>IF(OR(B52="",Results!B11=""),"",IF(AND(B52=Results!B11,Results!B11&lt;&gt;Games!$C$83),1,0))</f>
        <v/>
      </c>
      <c r="AJ52" s="13" t="str">
        <f>IF(OR(C52="",Results!C11=""),"",IF(AND(C52=Results!C11,Results!C11&lt;&gt;Games!$C$84),1,0))</f>
        <v/>
      </c>
      <c r="AK52" s="13" t="str">
        <f>IF(OR(D52="",Results!D11=""),"",IF(AND(D52=Results!D11,Results!D11&lt;&gt;Games!$C$85),1,0))</f>
        <v/>
      </c>
      <c r="AL52" s="13" t="str">
        <f>IF(OR(E52="",Results!E11=""),"",IF(AND(E52=Results!E11,Results!E11&lt;&gt;Games!$C$86),1,0))</f>
        <v/>
      </c>
      <c r="AM52" s="13" t="str">
        <f>IF(OR(F52="",Results!F11=""),"",IF(AND(F52=Results!F11,Results!F11&lt;&gt;Games!$C$87),1,0))</f>
        <v/>
      </c>
      <c r="AN52" s="13" t="str">
        <f>IF(OR(G52="",Results!G11=""),"",IF(AND(G52=Results!G11,Results!G11&lt;&gt;Games!$C$88),1,0))</f>
        <v/>
      </c>
      <c r="AO52" s="13" t="str">
        <f>IF(OR(H52="",Results!H11=""),"",IF(AND(H52=Results!H11,Results!H11&lt;&gt;Games!$C$89),1,0))</f>
        <v/>
      </c>
      <c r="AP52" s="13" t="str">
        <f>IF(OR(I52="",Results!I11=""),"",IF(AND(I52=Results!I11,Results!I11&lt;&gt;Games!$C$90),1,0))</f>
        <v/>
      </c>
      <c r="AQ52" s="13" t="str">
        <f>IF(OR(J52="",Results!J11=""),"",IF(AND(J52=Results!J11,Results!J11&lt;&gt;Games!$C$91),1,0))</f>
        <v/>
      </c>
      <c r="AR52" s="13" t="str">
        <f>IF(OR(K52="",Results!K11=""),"",IF(AND(K52=Results!K11,Results!K11&lt;&gt;Games!$C$92),1,0))</f>
        <v/>
      </c>
      <c r="AS52" s="13" t="str">
        <f>IF(OR(L52="",Results!L11=""),"",IF(AND(L52=Results!L11,Results!L11&lt;&gt;Games!$C$93),1,0))</f>
        <v/>
      </c>
      <c r="AT52" s="13" t="str">
        <f>IF(OR(M52="",Results!M11=""),"",IF(AND(M52=Results!M11,Results!M11&lt;&gt;Games!$C$94),1,0))</f>
        <v/>
      </c>
      <c r="AU52" s="13" t="str">
        <f>IF(OR(N52="",Results!N11=""),"",IF(AND(N52=Results!N11,Results!N11&lt;&gt;Games!$C$95),1,0))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IF(OR(B53="",Results!B11=""),"",IF(B53=Results!B11,1+IF(OR($O53=1,$P53=1,$Q53=1),1,0),0))</f>
        <v/>
      </c>
      <c r="T53" s="4" t="str">
        <f>IF(OR(C53="",Results!C11=""),"",IF(C53=Results!C11,1+IF(OR($O53=2,$P53=2,$Q53=2),1,0),0))</f>
        <v/>
      </c>
      <c r="U53" s="4" t="str">
        <f>IF(OR(D53="",Results!D11=""),"",IF(D53=Results!D11,1+IF(OR($O53=3,$P53=3,$Q53=3),1,0),0))</f>
        <v/>
      </c>
      <c r="V53" s="4" t="str">
        <f>IF(OR(E53="",Results!E11=""),"",IF(E53=Results!E11,1+IF(OR($O53=4,$P53=4,$Q53=4),1,0),0))</f>
        <v/>
      </c>
      <c r="W53" s="4" t="str">
        <f>IF(OR(F53="",Results!F11=""),"",IF(F53=Results!F11,1+IF(OR($O53=5,$P53=5,$Q53=5),1,0),0))</f>
        <v/>
      </c>
      <c r="X53" s="4" t="str">
        <f>IF(OR(G53="",Results!G11=""),"",IF(G53=Results!G11,1+IF(OR($O53=6,$P53=6,$Q53=6),1,0),0))</f>
        <v/>
      </c>
      <c r="Y53" s="4" t="str">
        <f>IF(OR(H53="",Results!H11=""),"",IF(H53=Results!H11,1+IF(OR($O53=7,$P53=7,$Q53=7),1,0),0))</f>
        <v/>
      </c>
      <c r="Z53" s="4" t="str">
        <f>IF(OR(I53="",Results!I11=""),"",IF(I53=Results!I11,1+IF(OR($O53=8,$P53=8,$Q53=8),1,0),0))</f>
        <v/>
      </c>
      <c r="AA53" s="4" t="str">
        <f>IF(OR(J53="",Results!J11=""),"",IF(J53=Results!J11,1+IF(OR($O53=9,$P53=9,$Q53=9),1,0),0))</f>
        <v/>
      </c>
      <c r="AB53" s="4" t="str">
        <f>IF(OR(K53="",Results!K11=""),"",IF(K53=Results!K11,1+IF(OR($O53=10,$P53=10,$Q53=10),1,0),0))</f>
        <v/>
      </c>
      <c r="AC53" s="4" t="str">
        <f>IF(OR(L53="",Results!L11=""),"",IF(L53=Results!L11,1+IF(OR($O53=11,$P53=11,$Q53=11),1,0),0))</f>
        <v/>
      </c>
      <c r="AD53" s="4" t="str">
        <f>IF(OR(M53="",Results!M11=""),"",IF(M53=Results!M11,1+IF(OR($O53=12,$P53=12,$Q53=12),1,0),0))</f>
        <v/>
      </c>
      <c r="AE53" s="4" t="str">
        <f>IF(OR(N53="",Results!N11=""),"",IF(N53=Results!N11,1+IF(OR($O53=13,$P53=13,$Q53=13),1,0),0))</f>
        <v/>
      </c>
      <c r="AF53" s="11">
        <f t="shared" si="2"/>
        <v>0</v>
      </c>
      <c r="AG53" s="4" t="str">
        <f>IF(OR($R53="",Results!O11=""),"",ABS($R53-Results!O11))</f>
        <v/>
      </c>
      <c r="AH53" s="12">
        <v>35</v>
      </c>
      <c r="AI53" s="13" t="str">
        <f>IF(OR(B53="",Results!B11=""),"",IF(AND(B53=Results!B11,Results!B11&lt;&gt;Games!$C$83),1,0))</f>
        <v/>
      </c>
      <c r="AJ53" s="13" t="str">
        <f>IF(OR(C53="",Results!C11=""),"",IF(AND(C53=Results!C11,Results!C11&lt;&gt;Games!$C$84),1,0))</f>
        <v/>
      </c>
      <c r="AK53" s="13" t="str">
        <f>IF(OR(D53="",Results!D11=""),"",IF(AND(D53=Results!D11,Results!D11&lt;&gt;Games!$C$85),1,0))</f>
        <v/>
      </c>
      <c r="AL53" s="13" t="str">
        <f>IF(OR(E53="",Results!E11=""),"",IF(AND(E53=Results!E11,Results!E11&lt;&gt;Games!$C$86),1,0))</f>
        <v/>
      </c>
      <c r="AM53" s="13" t="str">
        <f>IF(OR(F53="",Results!F11=""),"",IF(AND(F53=Results!F11,Results!F11&lt;&gt;Games!$C$87),1,0))</f>
        <v/>
      </c>
      <c r="AN53" s="13" t="str">
        <f>IF(OR(G53="",Results!G11=""),"",IF(AND(G53=Results!G11,Results!G11&lt;&gt;Games!$C$88),1,0))</f>
        <v/>
      </c>
      <c r="AO53" s="13" t="str">
        <f>IF(OR(H53="",Results!H11=""),"",IF(AND(H53=Results!H11,Results!H11&lt;&gt;Games!$C$89),1,0))</f>
        <v/>
      </c>
      <c r="AP53" s="13" t="str">
        <f>IF(OR(I53="",Results!I11=""),"",IF(AND(I53=Results!I11,Results!I11&lt;&gt;Games!$C$90),1,0))</f>
        <v/>
      </c>
      <c r="AQ53" s="13" t="str">
        <f>IF(OR(J53="",Results!J11=""),"",IF(AND(J53=Results!J11,Results!J11&lt;&gt;Games!$C$91),1,0))</f>
        <v/>
      </c>
      <c r="AR53" s="13" t="str">
        <f>IF(OR(K53="",Results!K11=""),"",IF(AND(K53=Results!K11,Results!K11&lt;&gt;Games!$C$92),1,0))</f>
        <v/>
      </c>
      <c r="AS53" s="13" t="str">
        <f>IF(OR(L53="",Results!L11=""),"",IF(AND(L53=Results!L11,Results!L11&lt;&gt;Games!$C$93),1,0))</f>
        <v/>
      </c>
      <c r="AT53" s="13" t="str">
        <f>IF(OR(M53="",Results!M11=""),"",IF(AND(M53=Results!M11,Results!M11&lt;&gt;Games!$C$94),1,0))</f>
        <v/>
      </c>
      <c r="AU53" s="13" t="str">
        <f>IF(OR(N53="",Results!N11=""),"",IF(AND(N53=Results!N11,Results!N11&lt;&gt;Games!$C$95),1,0))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 t="str">
        <f>IF(OR(B54="",Results!B11=""),"",IF(B54=Results!B11,1+IF(OR($O54=1,$P54=1,$Q54=1),1,0),0))</f>
        <v/>
      </c>
      <c r="T54" s="4" t="str">
        <f>IF(OR(C54="",Results!C11=""),"",IF(C54=Results!C11,1+IF(OR($O54=2,$P54=2,$Q54=2),1,0),0))</f>
        <v/>
      </c>
      <c r="U54" s="4" t="str">
        <f>IF(OR(D54="",Results!D11=""),"",IF(D54=Results!D11,1+IF(OR($O54=3,$P54=3,$Q54=3),1,0),0))</f>
        <v/>
      </c>
      <c r="V54" s="4" t="str">
        <f>IF(OR(E54="",Results!E11=""),"",IF(E54=Results!E11,1+IF(OR($O54=4,$P54=4,$Q54=4),1,0),0))</f>
        <v/>
      </c>
      <c r="W54" s="4" t="str">
        <f>IF(OR(F54="",Results!F11=""),"",IF(F54=Results!F11,1+IF(OR($O54=5,$P54=5,$Q54=5),1,0),0))</f>
        <v/>
      </c>
      <c r="X54" s="4" t="str">
        <f>IF(OR(G54="",Results!G11=""),"",IF(G54=Results!G11,1+IF(OR($O54=6,$P54=6,$Q54=6),1,0),0))</f>
        <v/>
      </c>
      <c r="Y54" s="4" t="str">
        <f>IF(OR(H54="",Results!H11=""),"",IF(H54=Results!H11,1+IF(OR($O54=7,$P54=7,$Q54=7),1,0),0))</f>
        <v/>
      </c>
      <c r="Z54" s="4" t="str">
        <f>IF(OR(I54="",Results!I11=""),"",IF(I54=Results!I11,1+IF(OR($O54=8,$P54=8,$Q54=8),1,0),0))</f>
        <v/>
      </c>
      <c r="AA54" s="4" t="str">
        <f>IF(OR(J54="",Results!J11=""),"",IF(J54=Results!J11,1+IF(OR($O54=9,$P54=9,$Q54=9),1,0),0))</f>
        <v/>
      </c>
      <c r="AB54" s="4" t="str">
        <f>IF(OR(K54="",Results!K11=""),"",IF(K54=Results!K11,1+IF(OR($O54=10,$P54=10,$Q54=10),1,0),0))</f>
        <v/>
      </c>
      <c r="AC54" s="4" t="str">
        <f>IF(OR(L54="",Results!L11=""),"",IF(L54=Results!L11,1+IF(OR($O54=11,$P54=11,$Q54=11),1,0),0))</f>
        <v/>
      </c>
      <c r="AD54" s="4" t="str">
        <f>IF(OR(M54="",Results!M11=""),"",IF(M54=Results!M11,1+IF(OR($O54=12,$P54=12,$Q54=12),1,0),0))</f>
        <v/>
      </c>
      <c r="AE54" s="4" t="str">
        <f>IF(OR(N54="",Results!N11=""),"",IF(N54=Results!N11,1+IF(OR($O54=13,$P54=13,$Q54=13),1,0),0))</f>
        <v/>
      </c>
      <c r="AF54" s="11">
        <f t="shared" si="2"/>
        <v>0</v>
      </c>
      <c r="AG54" s="4" t="str">
        <f>IF(OR($R54="",Results!O11=""),"",ABS($R54-Results!O11))</f>
        <v/>
      </c>
      <c r="AH54" s="12">
        <v>43</v>
      </c>
      <c r="AI54" s="13" t="str">
        <f>IF(OR(B54="",Results!B11=""),"",IF(AND(B54=Results!B11,Results!B11&lt;&gt;Games!$C$83),1,0))</f>
        <v/>
      </c>
      <c r="AJ54" s="13" t="str">
        <f>IF(OR(C54="",Results!C11=""),"",IF(AND(C54=Results!C11,Results!C11&lt;&gt;Games!$C$84),1,0))</f>
        <v/>
      </c>
      <c r="AK54" s="13" t="str">
        <f>IF(OR(D54="",Results!D11=""),"",IF(AND(D54=Results!D11,Results!D11&lt;&gt;Games!$C$85),1,0))</f>
        <v/>
      </c>
      <c r="AL54" s="13" t="str">
        <f>IF(OR(E54="",Results!E11=""),"",IF(AND(E54=Results!E11,Results!E11&lt;&gt;Games!$C$86),1,0))</f>
        <v/>
      </c>
      <c r="AM54" s="13" t="str">
        <f>IF(OR(F54="",Results!F11=""),"",IF(AND(F54=Results!F11,Results!F11&lt;&gt;Games!$C$87),1,0))</f>
        <v/>
      </c>
      <c r="AN54" s="13" t="str">
        <f>IF(OR(G54="",Results!G11=""),"",IF(AND(G54=Results!G11,Results!G11&lt;&gt;Games!$C$88),1,0))</f>
        <v/>
      </c>
      <c r="AO54" s="13" t="str">
        <f>IF(OR(H54="",Results!H11=""),"",IF(AND(H54=Results!H11,Results!H11&lt;&gt;Games!$C$89),1,0))</f>
        <v/>
      </c>
      <c r="AP54" s="13" t="str">
        <f>IF(OR(I54="",Results!I11=""),"",IF(AND(I54=Results!I11,Results!I11&lt;&gt;Games!$C$90),1,0))</f>
        <v/>
      </c>
      <c r="AQ54" s="13" t="str">
        <f>IF(OR(J54="",Results!J11=""),"",IF(AND(J54=Results!J11,Results!J11&lt;&gt;Games!$C$91),1,0))</f>
        <v/>
      </c>
      <c r="AR54" s="13" t="str">
        <f>IF(OR(K54="",Results!K11=""),"",IF(AND(K54=Results!K11,Results!K11&lt;&gt;Games!$C$92),1,0))</f>
        <v/>
      </c>
      <c r="AS54" s="13" t="str">
        <f>IF(OR(L54="",Results!L11=""),"",IF(AND(L54=Results!L11,Results!L11&lt;&gt;Games!$C$93),1,0))</f>
        <v/>
      </c>
      <c r="AT54" s="13" t="str">
        <f>IF(OR(M54="",Results!M11=""),"",IF(AND(M54=Results!M11,Results!M11&lt;&gt;Games!$C$94),1,0))</f>
        <v/>
      </c>
      <c r="AU54" s="13" t="str">
        <f>IF(OR(N54="",Results!N11=""),"",IF(AND(N54=Results!N11,Results!N11&lt;&gt;Games!$C$95),1,0))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IF(OR(B55="",Results!B11=""),"",IF(B55=Results!B11,1+IF(OR($O55=1,$P55=1,$Q55=1),1,0),0))</f>
        <v/>
      </c>
      <c r="T55" s="4" t="str">
        <f>IF(OR(C55="",Results!C11=""),"",IF(C55=Results!C11,1+IF(OR($O55=2,$P55=2,$Q55=2),1,0),0))</f>
        <v/>
      </c>
      <c r="U55" s="4" t="str">
        <f>IF(OR(D55="",Results!D11=""),"",IF(D55=Results!D11,1+IF(OR($O55=3,$P55=3,$Q55=3),1,0),0))</f>
        <v/>
      </c>
      <c r="V55" s="4" t="str">
        <f>IF(OR(E55="",Results!E11=""),"",IF(E55=Results!E11,1+IF(OR($O55=4,$P55=4,$Q55=4),1,0),0))</f>
        <v/>
      </c>
      <c r="W55" s="4" t="str">
        <f>IF(OR(F55="",Results!F11=""),"",IF(F55=Results!F11,1+IF(OR($O55=5,$P55=5,$Q55=5),1,0),0))</f>
        <v/>
      </c>
      <c r="X55" s="4" t="str">
        <f>IF(OR(G55="",Results!G11=""),"",IF(G55=Results!G11,1+IF(OR($O55=6,$P55=6,$Q55=6),1,0),0))</f>
        <v/>
      </c>
      <c r="Y55" s="4" t="str">
        <f>IF(OR(H55="",Results!H11=""),"",IF(H55=Results!H11,1+IF(OR($O55=7,$P55=7,$Q55=7),1,0),0))</f>
        <v/>
      </c>
      <c r="Z55" s="4" t="str">
        <f>IF(OR(I55="",Results!I11=""),"",IF(I55=Results!I11,1+IF(OR($O55=8,$P55=8,$Q55=8),1,0),0))</f>
        <v/>
      </c>
      <c r="AA55" s="4" t="str">
        <f>IF(OR(J55="",Results!J11=""),"",IF(J55=Results!J11,1+IF(OR($O55=9,$P55=9,$Q55=9),1,0),0))</f>
        <v/>
      </c>
      <c r="AB55" s="4" t="str">
        <f>IF(OR(K55="",Results!K11=""),"",IF(K55=Results!K11,1+IF(OR($O55=10,$P55=10,$Q55=10),1,0),0))</f>
        <v/>
      </c>
      <c r="AC55" s="4" t="str">
        <f>IF(OR(L55="",Results!L11=""),"",IF(L55=Results!L11,1+IF(OR($O55=11,$P55=11,$Q55=11),1,0),0))</f>
        <v/>
      </c>
      <c r="AD55" s="4" t="str">
        <f>IF(OR(M55="",Results!M11=""),"",IF(M55=Results!M11,1+IF(OR($O55=12,$P55=12,$Q55=12),1,0),0))</f>
        <v/>
      </c>
      <c r="AE55" s="4" t="str">
        <f>IF(OR(N55="",Results!N11=""),"",IF(N55=Results!N11,1+IF(OR($O55=13,$P55=13,$Q55=13),1,0),0))</f>
        <v/>
      </c>
      <c r="AF55" s="11">
        <f t="shared" si="2"/>
        <v>0</v>
      </c>
      <c r="AG55" s="4" t="str">
        <f>IF(OR($R55="",Results!O11=""),"",ABS($R55-Results!O11))</f>
        <v/>
      </c>
      <c r="AH55" s="12">
        <v>44</v>
      </c>
      <c r="AI55" s="13" t="str">
        <f>IF(OR(B55="",Results!B11=""),"",IF(AND(B55=Results!B11,Results!B11&lt;&gt;Games!$C$83),1,0))</f>
        <v/>
      </c>
      <c r="AJ55" s="13" t="str">
        <f>IF(OR(C55="",Results!C11=""),"",IF(AND(C55=Results!C11,Results!C11&lt;&gt;Games!$C$84),1,0))</f>
        <v/>
      </c>
      <c r="AK55" s="13" t="str">
        <f>IF(OR(D55="",Results!D11=""),"",IF(AND(D55=Results!D11,Results!D11&lt;&gt;Games!$C$85),1,0))</f>
        <v/>
      </c>
      <c r="AL55" s="13" t="str">
        <f>IF(OR(E55="",Results!E11=""),"",IF(AND(E55=Results!E11,Results!E11&lt;&gt;Games!$C$86),1,0))</f>
        <v/>
      </c>
      <c r="AM55" s="13" t="str">
        <f>IF(OR(F55="",Results!F11=""),"",IF(AND(F55=Results!F11,Results!F11&lt;&gt;Games!$C$87),1,0))</f>
        <v/>
      </c>
      <c r="AN55" s="13" t="str">
        <f>IF(OR(G55="",Results!G11=""),"",IF(AND(G55=Results!G11,Results!G11&lt;&gt;Games!$C$88),1,0))</f>
        <v/>
      </c>
      <c r="AO55" s="13" t="str">
        <f>IF(OR(H55="",Results!H11=""),"",IF(AND(H55=Results!H11,Results!H11&lt;&gt;Games!$C$89),1,0))</f>
        <v/>
      </c>
      <c r="AP55" s="13" t="str">
        <f>IF(OR(I55="",Results!I11=""),"",IF(AND(I55=Results!I11,Results!I11&lt;&gt;Games!$C$90),1,0))</f>
        <v/>
      </c>
      <c r="AQ55" s="13" t="str">
        <f>IF(OR(J55="",Results!J11=""),"",IF(AND(J55=Results!J11,Results!J11&lt;&gt;Games!$C$91),1,0))</f>
        <v/>
      </c>
      <c r="AR55" s="13" t="str">
        <f>IF(OR(K55="",Results!K11=""),"",IF(AND(K55=Results!K11,Results!K11&lt;&gt;Games!$C$92),1,0))</f>
        <v/>
      </c>
      <c r="AS55" s="13" t="str">
        <f>IF(OR(L55="",Results!L11=""),"",IF(AND(L55=Results!L11,Results!L11&lt;&gt;Games!$C$93),1,0))</f>
        <v/>
      </c>
      <c r="AT55" s="13" t="str">
        <f>IF(OR(M55="",Results!M11=""),"",IF(AND(M55=Results!M11,Results!M11&lt;&gt;Games!$C$94),1,0))</f>
        <v/>
      </c>
      <c r="AU55" s="13" t="str">
        <f>IF(OR(N55="",Results!N11=""),"",IF(AND(N55=Results!N11,Results!N11&lt;&gt;Games!$C$95),1,0))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IF(OR(B56="",Results!B11=""),"",IF(B56=Results!B11,1+IF(OR($O56=1,$P56=1,$Q56=1),1,0),0))</f>
        <v/>
      </c>
      <c r="T56" s="4" t="str">
        <f>IF(OR(C56="",Results!C11=""),"",IF(C56=Results!C11,1+IF(OR($O56=2,$P56=2,$Q56=2),1,0),0))</f>
        <v/>
      </c>
      <c r="U56" s="4" t="str">
        <f>IF(OR(D56="",Results!D11=""),"",IF(D56=Results!D11,1+IF(OR($O56=3,$P56=3,$Q56=3),1,0),0))</f>
        <v/>
      </c>
      <c r="V56" s="4" t="str">
        <f>IF(OR(E56="",Results!E11=""),"",IF(E56=Results!E11,1+IF(OR($O56=4,$P56=4,$Q56=4),1,0),0))</f>
        <v/>
      </c>
      <c r="W56" s="4" t="str">
        <f>IF(OR(F56="",Results!F11=""),"",IF(F56=Results!F11,1+IF(OR($O56=5,$P56=5,$Q56=5),1,0),0))</f>
        <v/>
      </c>
      <c r="X56" s="4" t="str">
        <f>IF(OR(G56="",Results!G11=""),"",IF(G56=Results!G11,1+IF(OR($O56=6,$P56=6,$Q56=6),1,0),0))</f>
        <v/>
      </c>
      <c r="Y56" s="4" t="str">
        <f>IF(OR(H56="",Results!H11=""),"",IF(H56=Results!H11,1+IF(OR($O56=7,$P56=7,$Q56=7),1,0),0))</f>
        <v/>
      </c>
      <c r="Z56" s="4" t="str">
        <f>IF(OR(I56="",Results!I11=""),"",IF(I56=Results!I11,1+IF(OR($O56=8,$P56=8,$Q56=8),1,0),0))</f>
        <v/>
      </c>
      <c r="AA56" s="4" t="str">
        <f>IF(OR(J56="",Results!J11=""),"",IF(J56=Results!J11,1+IF(OR($O56=9,$P56=9,$Q56=9),1,0),0))</f>
        <v/>
      </c>
      <c r="AB56" s="4" t="str">
        <f>IF(OR(K56="",Results!K11=""),"",IF(K56=Results!K11,1+IF(OR($O56=10,$P56=10,$Q56=10),1,0),0))</f>
        <v/>
      </c>
      <c r="AC56" s="4" t="str">
        <f>IF(OR(L56="",Results!L11=""),"",IF(L56=Results!L11,1+IF(OR($O56=11,$P56=11,$Q56=11),1,0),0))</f>
        <v/>
      </c>
      <c r="AD56" s="4" t="str">
        <f>IF(OR(M56="",Results!M11=""),"",IF(M56=Results!M11,1+IF(OR($O56=12,$P56=12,$Q56=12),1,0),0))</f>
        <v/>
      </c>
      <c r="AE56" s="4" t="str">
        <f>IF(OR(N56="",Results!N11=""),"",IF(N56=Results!N11,1+IF(OR($O56=13,$P56=13,$Q56=13),1,0),0))</f>
        <v/>
      </c>
      <c r="AF56" s="11">
        <f t="shared" si="2"/>
        <v>0</v>
      </c>
      <c r="AG56" s="4" t="str">
        <f>IF(OR($R56="",Results!O11=""),"",ABS($R56-Results!O11))</f>
        <v/>
      </c>
      <c r="AH56" s="12">
        <v>59</v>
      </c>
      <c r="AI56" s="13" t="str">
        <f>IF(OR(B56="",Results!B11=""),"",IF(AND(B56=Results!B11,Results!B11&lt;&gt;Games!$C$83),1,0))</f>
        <v/>
      </c>
      <c r="AJ56" s="13" t="str">
        <f>IF(OR(C56="",Results!C11=""),"",IF(AND(C56=Results!C11,Results!C11&lt;&gt;Games!$C$84),1,0))</f>
        <v/>
      </c>
      <c r="AK56" s="13" t="str">
        <f>IF(OR(D56="",Results!D11=""),"",IF(AND(D56=Results!D11,Results!D11&lt;&gt;Games!$C$85),1,0))</f>
        <v/>
      </c>
      <c r="AL56" s="13" t="str">
        <f>IF(OR(E56="",Results!E11=""),"",IF(AND(E56=Results!E11,Results!E11&lt;&gt;Games!$C$86),1,0))</f>
        <v/>
      </c>
      <c r="AM56" s="13" t="str">
        <f>IF(OR(F56="",Results!F11=""),"",IF(AND(F56=Results!F11,Results!F11&lt;&gt;Games!$C$87),1,0))</f>
        <v/>
      </c>
      <c r="AN56" s="13" t="str">
        <f>IF(OR(G56="",Results!G11=""),"",IF(AND(G56=Results!G11,Results!G11&lt;&gt;Games!$C$88),1,0))</f>
        <v/>
      </c>
      <c r="AO56" s="13" t="str">
        <f>IF(OR(H56="",Results!H11=""),"",IF(AND(H56=Results!H11,Results!H11&lt;&gt;Games!$C$89),1,0))</f>
        <v/>
      </c>
      <c r="AP56" s="13" t="str">
        <f>IF(OR(I56="",Results!I11=""),"",IF(AND(I56=Results!I11,Results!I11&lt;&gt;Games!$C$90),1,0))</f>
        <v/>
      </c>
      <c r="AQ56" s="13" t="str">
        <f>IF(OR(J56="",Results!J11=""),"",IF(AND(J56=Results!J11,Results!J11&lt;&gt;Games!$C$91),1,0))</f>
        <v/>
      </c>
      <c r="AR56" s="13" t="str">
        <f>IF(OR(K56="",Results!K11=""),"",IF(AND(K56=Results!K11,Results!K11&lt;&gt;Games!$C$92),1,0))</f>
        <v/>
      </c>
      <c r="AS56" s="13" t="str">
        <f>IF(OR(L56="",Results!L11=""),"",IF(AND(L56=Results!L11,Results!L11&lt;&gt;Games!$C$93),1,0))</f>
        <v/>
      </c>
      <c r="AT56" s="13" t="str">
        <f>IF(OR(M56="",Results!M11=""),"",IF(AND(M56=Results!M11,Results!M11&lt;&gt;Games!$C$94),1,0))</f>
        <v/>
      </c>
      <c r="AU56" s="13" t="str">
        <f>IF(OR(N56="",Results!N11=""),"",IF(AND(N56=Results!N11,Results!N11&lt;&gt;Games!$C$95),1,0))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tr">
        <f>IF(OR(B57="",Results!B11=""),"",IF(B57=Results!B11,1+IF(OR($O57=1,$P57=1,$Q57=1),1,0),0))</f>
        <v/>
      </c>
      <c r="T57" s="4" t="str">
        <f>IF(OR(C57="",Results!C11=""),"",IF(C57=Results!C11,1+IF(OR($O57=2,$P57=2,$Q57=2),1,0),0))</f>
        <v/>
      </c>
      <c r="U57" s="4" t="str">
        <f>IF(OR(D57="",Results!D11=""),"",IF(D57=Results!D11,1+IF(OR($O57=3,$P57=3,$Q57=3),1,0),0))</f>
        <v/>
      </c>
      <c r="V57" s="4" t="str">
        <f>IF(OR(E57="",Results!E11=""),"",IF(E57=Results!E11,1+IF(OR($O57=4,$P57=4,$Q57=4),1,0),0))</f>
        <v/>
      </c>
      <c r="W57" s="4" t="str">
        <f>IF(OR(F57="",Results!F11=""),"",IF(F57=Results!F11,1+IF(OR($O57=5,$P57=5,$Q57=5),1,0),0))</f>
        <v/>
      </c>
      <c r="X57" s="4" t="str">
        <f>IF(OR(G57="",Results!G11=""),"",IF(G57=Results!G11,1+IF(OR($O57=6,$P57=6,$Q57=6),1,0),0))</f>
        <v/>
      </c>
      <c r="Y57" s="4" t="str">
        <f>IF(OR(H57="",Results!H11=""),"",IF(H57=Results!H11,1+IF(OR($O57=7,$P57=7,$Q57=7),1,0),0))</f>
        <v/>
      </c>
      <c r="Z57" s="4" t="str">
        <f>IF(OR(I57="",Results!I11=""),"",IF(I57=Results!I11,1+IF(OR($O57=8,$P57=8,$Q57=8),1,0),0))</f>
        <v/>
      </c>
      <c r="AA57" s="4" t="str">
        <f>IF(OR(J57="",Results!J11=""),"",IF(J57=Results!J11,1+IF(OR($O57=9,$P57=9,$Q57=9),1,0),0))</f>
        <v/>
      </c>
      <c r="AB57" s="4" t="str">
        <f>IF(OR(K57="",Results!K11=""),"",IF(K57=Results!K11,1+IF(OR($O57=10,$P57=10,$Q57=10),1,0),0))</f>
        <v/>
      </c>
      <c r="AC57" s="4" t="str">
        <f>IF(OR(L57="",Results!L11=""),"",IF(L57=Results!L11,1+IF(OR($O57=11,$P57=11,$Q57=11),1,0),0))</f>
        <v/>
      </c>
      <c r="AD57" s="4" t="str">
        <f>IF(OR(M57="",Results!M11=""),"",IF(M57=Results!M11,1+IF(OR($O57=12,$P57=12,$Q57=12),1,0),0))</f>
        <v/>
      </c>
      <c r="AE57" s="4" t="str">
        <f>IF(OR(N57="",Results!N11=""),"",IF(N57=Results!N11,1+IF(OR($O57=13,$P57=13,$Q57=13),1,0),0))</f>
        <v/>
      </c>
      <c r="AF57" s="11">
        <f t="shared" si="2"/>
        <v>0</v>
      </c>
      <c r="AG57" s="4" t="str">
        <f>IF(OR($R57="",Results!O11=""),"",ABS($R57-Results!O11))</f>
        <v/>
      </c>
      <c r="AH57" s="12">
        <v>28</v>
      </c>
      <c r="AI57" s="13" t="str">
        <f>IF(OR(B57="",Results!B11=""),"",IF(AND(B57=Results!B11,Results!B11&lt;&gt;Games!$C$83),1,0))</f>
        <v/>
      </c>
      <c r="AJ57" s="13" t="str">
        <f>IF(OR(C57="",Results!C11=""),"",IF(AND(C57=Results!C11,Results!C11&lt;&gt;Games!$C$84),1,0))</f>
        <v/>
      </c>
      <c r="AK57" s="13" t="str">
        <f>IF(OR(D57="",Results!D11=""),"",IF(AND(D57=Results!D11,Results!D11&lt;&gt;Games!$C$85),1,0))</f>
        <v/>
      </c>
      <c r="AL57" s="13" t="str">
        <f>IF(OR(E57="",Results!E11=""),"",IF(AND(E57=Results!E11,Results!E11&lt;&gt;Games!$C$86),1,0))</f>
        <v/>
      </c>
      <c r="AM57" s="13" t="str">
        <f>IF(OR(F57="",Results!F11=""),"",IF(AND(F57=Results!F11,Results!F11&lt;&gt;Games!$C$87),1,0))</f>
        <v/>
      </c>
      <c r="AN57" s="13" t="str">
        <f>IF(OR(G57="",Results!G11=""),"",IF(AND(G57=Results!G11,Results!G11&lt;&gt;Games!$C$88),1,0))</f>
        <v/>
      </c>
      <c r="AO57" s="13" t="str">
        <f>IF(OR(H57="",Results!H11=""),"",IF(AND(H57=Results!H11,Results!H11&lt;&gt;Games!$C$89),1,0))</f>
        <v/>
      </c>
      <c r="AP57" s="13" t="str">
        <f>IF(OR(I57="",Results!I11=""),"",IF(AND(I57=Results!I11,Results!I11&lt;&gt;Games!$C$90),1,0))</f>
        <v/>
      </c>
      <c r="AQ57" s="13" t="str">
        <f>IF(OR(J57="",Results!J11=""),"",IF(AND(J57=Results!J11,Results!J11&lt;&gt;Games!$C$91),1,0))</f>
        <v/>
      </c>
      <c r="AR57" s="13" t="str">
        <f>IF(OR(K57="",Results!K11=""),"",IF(AND(K57=Results!K11,Results!K11&lt;&gt;Games!$C$92),1,0))</f>
        <v/>
      </c>
      <c r="AS57" s="13" t="str">
        <f>IF(OR(L57="",Results!L11=""),"",IF(AND(L57=Results!L11,Results!L11&lt;&gt;Games!$C$93),1,0))</f>
        <v/>
      </c>
      <c r="AT57" s="13" t="str">
        <f>IF(OR(M57="",Results!M11=""),"",IF(AND(M57=Results!M11,Results!M11&lt;&gt;Games!$C$94),1,0))</f>
        <v/>
      </c>
      <c r="AU57" s="13" t="str">
        <f>IF(OR(N57="",Results!N11=""),"",IF(AND(N57=Results!N11,Results!N11&lt;&gt;Games!$C$95),1,0))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 t="str">
        <f>IF(OR(B58="",Results!B11=""),"",IF(B58=Results!B11,1+IF(OR($O58=1,$P58=1,$Q58=1),1,0),0))</f>
        <v/>
      </c>
      <c r="T58" s="4" t="str">
        <f>IF(OR(C58="",Results!C11=""),"",IF(C58=Results!C11,1+IF(OR($O58=2,$P58=2,$Q58=2),1,0),0))</f>
        <v/>
      </c>
      <c r="U58" s="4" t="str">
        <f>IF(OR(D58="",Results!D11=""),"",IF(D58=Results!D11,1+IF(OR($O58=3,$P58=3,$Q58=3),1,0),0))</f>
        <v/>
      </c>
      <c r="V58" s="4" t="str">
        <f>IF(OR(E58="",Results!E11=""),"",IF(E58=Results!E11,1+IF(OR($O58=4,$P58=4,$Q58=4),1,0),0))</f>
        <v/>
      </c>
      <c r="W58" s="4" t="str">
        <f>IF(OR(F58="",Results!F11=""),"",IF(F58=Results!F11,1+IF(OR($O58=5,$P58=5,$Q58=5),1,0),0))</f>
        <v/>
      </c>
      <c r="X58" s="4" t="str">
        <f>IF(OR(G58="",Results!G11=""),"",IF(G58=Results!G11,1+IF(OR($O58=6,$P58=6,$Q58=6),1,0),0))</f>
        <v/>
      </c>
      <c r="Y58" s="4" t="str">
        <f>IF(OR(H58="",Results!H11=""),"",IF(H58=Results!H11,1+IF(OR($O58=7,$P58=7,$Q58=7),1,0),0))</f>
        <v/>
      </c>
      <c r="Z58" s="4" t="str">
        <f>IF(OR(I58="",Results!I11=""),"",IF(I58=Results!I11,1+IF(OR($O58=8,$P58=8,$Q58=8),1,0),0))</f>
        <v/>
      </c>
      <c r="AA58" s="4" t="str">
        <f>IF(OR(J58="",Results!J11=""),"",IF(J58=Results!J11,1+IF(OR($O58=9,$P58=9,$Q58=9),1,0),0))</f>
        <v/>
      </c>
      <c r="AB58" s="4" t="str">
        <f>IF(OR(K58="",Results!K11=""),"",IF(K58=Results!K11,1+IF(OR($O58=10,$P58=10,$Q58=10),1,0),0))</f>
        <v/>
      </c>
      <c r="AC58" s="4" t="str">
        <f>IF(OR(L58="",Results!L11=""),"",IF(L58=Results!L11,1+IF(OR($O58=11,$P58=11,$Q58=11),1,0),0))</f>
        <v/>
      </c>
      <c r="AD58" s="4" t="str">
        <f>IF(OR(M58="",Results!M11=""),"",IF(M58=Results!M11,1+IF(OR($O58=12,$P58=12,$Q58=12),1,0),0))</f>
        <v/>
      </c>
      <c r="AE58" s="4" t="str">
        <f>IF(OR(N58="",Results!N11=""),"",IF(N58=Results!N11,1+IF(OR($O58=13,$P58=13,$Q58=13),1,0),0))</f>
        <v/>
      </c>
      <c r="AF58" s="11">
        <f t="shared" si="2"/>
        <v>0</v>
      </c>
      <c r="AG58" s="4" t="str">
        <f>IF(OR($R58="",Results!O11=""),"",ABS($R58-Results!O11))</f>
        <v/>
      </c>
      <c r="AH58" s="12">
        <v>29</v>
      </c>
      <c r="AI58" s="13" t="str">
        <f>IF(OR(B58="",Results!B11=""),"",IF(AND(B58=Results!B11,Results!B11&lt;&gt;Games!$C$83),1,0))</f>
        <v/>
      </c>
      <c r="AJ58" s="13" t="str">
        <f>IF(OR(C58="",Results!C11=""),"",IF(AND(C58=Results!C11,Results!C11&lt;&gt;Games!$C$84),1,0))</f>
        <v/>
      </c>
      <c r="AK58" s="13" t="str">
        <f>IF(OR(D58="",Results!D11=""),"",IF(AND(D58=Results!D11,Results!D11&lt;&gt;Games!$C$85),1,0))</f>
        <v/>
      </c>
      <c r="AL58" s="13" t="str">
        <f>IF(OR(E58="",Results!E11=""),"",IF(AND(E58=Results!E11,Results!E11&lt;&gt;Games!$C$86),1,0))</f>
        <v/>
      </c>
      <c r="AM58" s="13" t="str">
        <f>IF(OR(F58="",Results!F11=""),"",IF(AND(F58=Results!F11,Results!F11&lt;&gt;Games!$C$87),1,0))</f>
        <v/>
      </c>
      <c r="AN58" s="13" t="str">
        <f>IF(OR(G58="",Results!G11=""),"",IF(AND(G58=Results!G11,Results!G11&lt;&gt;Games!$C$88),1,0))</f>
        <v/>
      </c>
      <c r="AO58" s="13" t="str">
        <f>IF(OR(H58="",Results!H11=""),"",IF(AND(H58=Results!H11,Results!H11&lt;&gt;Games!$C$89),1,0))</f>
        <v/>
      </c>
      <c r="AP58" s="13" t="str">
        <f>IF(OR(I58="",Results!I11=""),"",IF(AND(I58=Results!I11,Results!I11&lt;&gt;Games!$C$90),1,0))</f>
        <v/>
      </c>
      <c r="AQ58" s="13" t="str">
        <f>IF(OR(J58="",Results!J11=""),"",IF(AND(J58=Results!J11,Results!J11&lt;&gt;Games!$C$91),1,0))</f>
        <v/>
      </c>
      <c r="AR58" s="13" t="str">
        <f>IF(OR(K58="",Results!K11=""),"",IF(AND(K58=Results!K11,Results!K11&lt;&gt;Games!$C$92),1,0))</f>
        <v/>
      </c>
      <c r="AS58" s="13" t="str">
        <f>IF(OR(L58="",Results!L11=""),"",IF(AND(L58=Results!L11,Results!L11&lt;&gt;Games!$C$93),1,0))</f>
        <v/>
      </c>
      <c r="AT58" s="13" t="str">
        <f>IF(OR(M58="",Results!M11=""),"",IF(AND(M58=Results!M11,Results!M11&lt;&gt;Games!$C$94),1,0))</f>
        <v/>
      </c>
      <c r="AU58" s="13" t="str">
        <f>IF(OR(N58="",Results!N11=""),"",IF(AND(N58=Results!N11,Results!N11&lt;&gt;Games!$C$95),1,0))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IF(OR(B59="",Results!B11=""),"",IF(B59=Results!B11,1+IF(OR($O59=1,$P59=1,$Q59=1),1,0),0))</f>
        <v/>
      </c>
      <c r="T59" s="4" t="str">
        <f>IF(OR(C59="",Results!C11=""),"",IF(C59=Results!C11,1+IF(OR($O59=2,$P59=2,$Q59=2),1,0),0))</f>
        <v/>
      </c>
      <c r="U59" s="4" t="str">
        <f>IF(OR(D59="",Results!D11=""),"",IF(D59=Results!D11,1+IF(OR($O59=3,$P59=3,$Q59=3),1,0),0))</f>
        <v/>
      </c>
      <c r="V59" s="4" t="str">
        <f>IF(OR(E59="",Results!E11=""),"",IF(E59=Results!E11,1+IF(OR($O59=4,$P59=4,$Q59=4),1,0),0))</f>
        <v/>
      </c>
      <c r="W59" s="4" t="str">
        <f>IF(OR(F59="",Results!F11=""),"",IF(F59=Results!F11,1+IF(OR($O59=5,$P59=5,$Q59=5),1,0),0))</f>
        <v/>
      </c>
      <c r="X59" s="4" t="str">
        <f>IF(OR(G59="",Results!G11=""),"",IF(G59=Results!G11,1+IF(OR($O59=6,$P59=6,$Q59=6),1,0),0))</f>
        <v/>
      </c>
      <c r="Y59" s="4" t="str">
        <f>IF(OR(H59="",Results!H11=""),"",IF(H59=Results!H11,1+IF(OR($O59=7,$P59=7,$Q59=7),1,0),0))</f>
        <v/>
      </c>
      <c r="Z59" s="4" t="str">
        <f>IF(OR(I59="",Results!I11=""),"",IF(I59=Results!I11,1+IF(OR($O59=8,$P59=8,$Q59=8),1,0),0))</f>
        <v/>
      </c>
      <c r="AA59" s="4" t="str">
        <f>IF(OR(J59="",Results!J11=""),"",IF(J59=Results!J11,1+IF(OR($O59=9,$P59=9,$Q59=9),1,0),0))</f>
        <v/>
      </c>
      <c r="AB59" s="4" t="str">
        <f>IF(OR(K59="",Results!K11=""),"",IF(K59=Results!K11,1+IF(OR($O59=10,$P59=10,$Q59=10),1,0),0))</f>
        <v/>
      </c>
      <c r="AC59" s="4" t="str">
        <f>IF(OR(L59="",Results!L11=""),"",IF(L59=Results!L11,1+IF(OR($O59=11,$P59=11,$Q59=11),1,0),0))</f>
        <v/>
      </c>
      <c r="AD59" s="4" t="str">
        <f>IF(OR(M59="",Results!M11=""),"",IF(M59=Results!M11,1+IF(OR($O59=12,$P59=12,$Q59=12),1,0),0))</f>
        <v/>
      </c>
      <c r="AE59" s="4" t="str">
        <f>IF(OR(N59="",Results!N11=""),"",IF(N59=Results!N11,1+IF(OR($O59=13,$P59=13,$Q59=13),1,0),0))</f>
        <v/>
      </c>
      <c r="AF59" s="11">
        <f t="shared" si="2"/>
        <v>0</v>
      </c>
      <c r="AG59" s="4" t="str">
        <f>IF(OR($R59="",Results!O11=""),"",ABS($R59-Results!O11))</f>
        <v/>
      </c>
      <c r="AH59" s="12">
        <v>51</v>
      </c>
      <c r="AI59" s="13" t="str">
        <f>IF(OR(B59="",Results!B11=""),"",IF(AND(B59=Results!B11,Results!B11&lt;&gt;Games!$C$83),1,0))</f>
        <v/>
      </c>
      <c r="AJ59" s="13" t="str">
        <f>IF(OR(C59="",Results!C11=""),"",IF(AND(C59=Results!C11,Results!C11&lt;&gt;Games!$C$84),1,0))</f>
        <v/>
      </c>
      <c r="AK59" s="13" t="str">
        <f>IF(OR(D59="",Results!D11=""),"",IF(AND(D59=Results!D11,Results!D11&lt;&gt;Games!$C$85),1,0))</f>
        <v/>
      </c>
      <c r="AL59" s="13" t="str">
        <f>IF(OR(E59="",Results!E11=""),"",IF(AND(E59=Results!E11,Results!E11&lt;&gt;Games!$C$86),1,0))</f>
        <v/>
      </c>
      <c r="AM59" s="13" t="str">
        <f>IF(OR(F59="",Results!F11=""),"",IF(AND(F59=Results!F11,Results!F11&lt;&gt;Games!$C$87),1,0))</f>
        <v/>
      </c>
      <c r="AN59" s="13" t="str">
        <f>IF(OR(G59="",Results!G11=""),"",IF(AND(G59=Results!G11,Results!G11&lt;&gt;Games!$C$88),1,0))</f>
        <v/>
      </c>
      <c r="AO59" s="13" t="str">
        <f>IF(OR(H59="",Results!H11=""),"",IF(AND(H59=Results!H11,Results!H11&lt;&gt;Games!$C$89),1,0))</f>
        <v/>
      </c>
      <c r="AP59" s="13" t="str">
        <f>IF(OR(I59="",Results!I11=""),"",IF(AND(I59=Results!I11,Results!I11&lt;&gt;Games!$C$90),1,0))</f>
        <v/>
      </c>
      <c r="AQ59" s="13" t="str">
        <f>IF(OR(J59="",Results!J11=""),"",IF(AND(J59=Results!J11,Results!J11&lt;&gt;Games!$C$91),1,0))</f>
        <v/>
      </c>
      <c r="AR59" s="13" t="str">
        <f>IF(OR(K59="",Results!K11=""),"",IF(AND(K59=Results!K11,Results!K11&lt;&gt;Games!$C$92),1,0))</f>
        <v/>
      </c>
      <c r="AS59" s="13" t="str">
        <f>IF(OR(L59="",Results!L11=""),"",IF(AND(L59=Results!L11,Results!L11&lt;&gt;Games!$C$93),1,0))</f>
        <v/>
      </c>
      <c r="AT59" s="13" t="str">
        <f>IF(OR(M59="",Results!M11=""),"",IF(AND(M59=Results!M11,Results!M11&lt;&gt;Games!$C$94),1,0))</f>
        <v/>
      </c>
      <c r="AU59" s="13" t="str">
        <f>IF(OR(N59="",Results!N11=""),"",IF(AND(N59=Results!N11,Results!N11&lt;&gt;Games!$C$95),1,0))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IF(OR(B60="",Results!B11=""),"",IF(B60=Results!B11,1+IF(OR($O60=1,$P60=1,$Q60=1),1,0),0))</f>
        <v/>
      </c>
      <c r="T60" s="4" t="str">
        <f>IF(OR(C60="",Results!C11=""),"",IF(C60=Results!C11,1+IF(OR($O60=2,$P60=2,$Q60=2),1,0),0))</f>
        <v/>
      </c>
      <c r="U60" s="4" t="str">
        <f>IF(OR(D60="",Results!D11=""),"",IF(D60=Results!D11,1+IF(OR($O60=3,$P60=3,$Q60=3),1,0),0))</f>
        <v/>
      </c>
      <c r="V60" s="4" t="str">
        <f>IF(OR(E60="",Results!E11=""),"",IF(E60=Results!E11,1+IF(OR($O60=4,$P60=4,$Q60=4),1,0),0))</f>
        <v/>
      </c>
      <c r="W60" s="4" t="str">
        <f>IF(OR(F60="",Results!F11=""),"",IF(F60=Results!F11,1+IF(OR($O60=5,$P60=5,$Q60=5),1,0),0))</f>
        <v/>
      </c>
      <c r="X60" s="4" t="str">
        <f>IF(OR(G60="",Results!G11=""),"",IF(G60=Results!G11,1+IF(OR($O60=6,$P60=6,$Q60=6),1,0),0))</f>
        <v/>
      </c>
      <c r="Y60" s="4" t="str">
        <f>IF(OR(H60="",Results!H11=""),"",IF(H60=Results!H11,1+IF(OR($O60=7,$P60=7,$Q60=7),1,0),0))</f>
        <v/>
      </c>
      <c r="Z60" s="4" t="str">
        <f>IF(OR(I60="",Results!I11=""),"",IF(I60=Results!I11,1+IF(OR($O60=8,$P60=8,$Q60=8),1,0),0))</f>
        <v/>
      </c>
      <c r="AA60" s="4" t="str">
        <f>IF(OR(J60="",Results!J11=""),"",IF(J60=Results!J11,1+IF(OR($O60=9,$P60=9,$Q60=9),1,0),0))</f>
        <v/>
      </c>
      <c r="AB60" s="4" t="str">
        <f>IF(OR(K60="",Results!K11=""),"",IF(K60=Results!K11,1+IF(OR($O60=10,$P60=10,$Q60=10),1,0),0))</f>
        <v/>
      </c>
      <c r="AC60" s="4" t="str">
        <f>IF(OR(L60="",Results!L11=""),"",IF(L60=Results!L11,1+IF(OR($O60=11,$P60=11,$Q60=11),1,0),0))</f>
        <v/>
      </c>
      <c r="AD60" s="4" t="str">
        <f>IF(OR(M60="",Results!M11=""),"",IF(M60=Results!M11,1+IF(OR($O60=12,$P60=12,$Q60=12),1,0),0))</f>
        <v/>
      </c>
      <c r="AE60" s="4" t="str">
        <f>IF(OR(N60="",Results!N11=""),"",IF(N60=Results!N11,1+IF(OR($O60=13,$P60=13,$Q60=13),1,0),0))</f>
        <v/>
      </c>
      <c r="AF60" s="11">
        <f t="shared" si="2"/>
        <v>0</v>
      </c>
      <c r="AG60" s="4" t="str">
        <f>IF(OR($R60="",Results!O11=""),"",ABS($R60-Results!O11))</f>
        <v/>
      </c>
      <c r="AH60" s="12">
        <v>45</v>
      </c>
      <c r="AI60" s="13" t="str">
        <f>IF(OR(B60="",Results!B11=""),"",IF(AND(B60=Results!B11,Results!B11&lt;&gt;Games!$C$83),1,0))</f>
        <v/>
      </c>
      <c r="AJ60" s="13" t="str">
        <f>IF(OR(C60="",Results!C11=""),"",IF(AND(C60=Results!C11,Results!C11&lt;&gt;Games!$C$84),1,0))</f>
        <v/>
      </c>
      <c r="AK60" s="13" t="str">
        <f>IF(OR(D60="",Results!D11=""),"",IF(AND(D60=Results!D11,Results!D11&lt;&gt;Games!$C$85),1,0))</f>
        <v/>
      </c>
      <c r="AL60" s="13" t="str">
        <f>IF(OR(E60="",Results!E11=""),"",IF(AND(E60=Results!E11,Results!E11&lt;&gt;Games!$C$86),1,0))</f>
        <v/>
      </c>
      <c r="AM60" s="13" t="str">
        <f>IF(OR(F60="",Results!F11=""),"",IF(AND(F60=Results!F11,Results!F11&lt;&gt;Games!$C$87),1,0))</f>
        <v/>
      </c>
      <c r="AN60" s="13" t="str">
        <f>IF(OR(G60="",Results!G11=""),"",IF(AND(G60=Results!G11,Results!G11&lt;&gt;Games!$C$88),1,0))</f>
        <v/>
      </c>
      <c r="AO60" s="13" t="str">
        <f>IF(OR(H60="",Results!H11=""),"",IF(AND(H60=Results!H11,Results!H11&lt;&gt;Games!$C$89),1,0))</f>
        <v/>
      </c>
      <c r="AP60" s="13" t="str">
        <f>IF(OR(I60="",Results!I11=""),"",IF(AND(I60=Results!I11,Results!I11&lt;&gt;Games!$C$90),1,0))</f>
        <v/>
      </c>
      <c r="AQ60" s="13" t="str">
        <f>IF(OR(J60="",Results!J11=""),"",IF(AND(J60=Results!J11,Results!J11&lt;&gt;Games!$C$91),1,0))</f>
        <v/>
      </c>
      <c r="AR60" s="13" t="str">
        <f>IF(OR(K60="",Results!K11=""),"",IF(AND(K60=Results!K11,Results!K11&lt;&gt;Games!$C$92),1,0))</f>
        <v/>
      </c>
      <c r="AS60" s="13" t="str">
        <f>IF(OR(L60="",Results!L11=""),"",IF(AND(L60=Results!L11,Results!L11&lt;&gt;Games!$C$93),1,0))</f>
        <v/>
      </c>
      <c r="AT60" s="13" t="str">
        <f>IF(OR(M60="",Results!M11=""),"",IF(AND(M60=Results!M11,Results!M11&lt;&gt;Games!$C$94),1,0))</f>
        <v/>
      </c>
      <c r="AU60" s="13" t="str">
        <f>IF(OR(N60="",Results!N11=""),"",IF(AND(N60=Results!N11,Results!N11&lt;&gt;Games!$C$95),1,0))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 t="str">
        <f>IF(OR(B61="",Results!B11=""),"",IF(B61=Results!B11,1+IF(OR($O61=1,$P61=1,$Q61=1),1,0),0))</f>
        <v/>
      </c>
      <c r="T61" s="4" t="str">
        <f>IF(OR(C61="",Results!C11=""),"",IF(C61=Results!C11,1+IF(OR($O61=2,$P61=2,$Q61=2),1,0),0))</f>
        <v/>
      </c>
      <c r="U61" s="4" t="str">
        <f>IF(OR(D61="",Results!D11=""),"",IF(D61=Results!D11,1+IF(OR($O61=3,$P61=3,$Q61=3),1,0),0))</f>
        <v/>
      </c>
      <c r="V61" s="4" t="str">
        <f>IF(OR(E61="",Results!E11=""),"",IF(E61=Results!E11,1+IF(OR($O61=4,$P61=4,$Q61=4),1,0),0))</f>
        <v/>
      </c>
      <c r="W61" s="4" t="str">
        <f>IF(OR(F61="",Results!F11=""),"",IF(F61=Results!F11,1+IF(OR($O61=5,$P61=5,$Q61=5),1,0),0))</f>
        <v/>
      </c>
      <c r="X61" s="4" t="str">
        <f>IF(OR(G61="",Results!G11=""),"",IF(G61=Results!G11,1+IF(OR($O61=6,$P61=6,$Q61=6),1,0),0))</f>
        <v/>
      </c>
      <c r="Y61" s="4" t="str">
        <f>IF(OR(H61="",Results!H11=""),"",IF(H61=Results!H11,1+IF(OR($O61=7,$P61=7,$Q61=7),1,0),0))</f>
        <v/>
      </c>
      <c r="Z61" s="4" t="str">
        <f>IF(OR(I61="",Results!I11=""),"",IF(I61=Results!I11,1+IF(OR($O61=8,$P61=8,$Q61=8),1,0),0))</f>
        <v/>
      </c>
      <c r="AA61" s="4" t="str">
        <f>IF(OR(J61="",Results!J11=""),"",IF(J61=Results!J11,1+IF(OR($O61=9,$P61=9,$Q61=9),1,0),0))</f>
        <v/>
      </c>
      <c r="AB61" s="4" t="str">
        <f>IF(OR(K61="",Results!K11=""),"",IF(K61=Results!K11,1+IF(OR($O61=10,$P61=10,$Q61=10),1,0),0))</f>
        <v/>
      </c>
      <c r="AC61" s="4" t="str">
        <f>IF(OR(L61="",Results!L11=""),"",IF(L61=Results!L11,1+IF(OR($O61=11,$P61=11,$Q61=11),1,0),0))</f>
        <v/>
      </c>
      <c r="AD61" s="4" t="str">
        <f>IF(OR(M61="",Results!M11=""),"",IF(M61=Results!M11,1+IF(OR($O61=12,$P61=12,$Q61=12),1,0),0))</f>
        <v/>
      </c>
      <c r="AE61" s="4" t="str">
        <f>IF(OR(N61="",Results!N11=""),"",IF(N61=Results!N11,1+IF(OR($O61=13,$P61=13,$Q61=13),1,0),0))</f>
        <v/>
      </c>
      <c r="AF61" s="11">
        <f t="shared" si="2"/>
        <v>0</v>
      </c>
      <c r="AG61" s="4" t="str">
        <f>IF(OR($R61="",Results!O11=""),"",ABS($R61-Results!O11))</f>
        <v/>
      </c>
      <c r="AH61" s="12">
        <v>30</v>
      </c>
      <c r="AI61" s="13" t="str">
        <f>IF(OR(B61="",Results!B11=""),"",IF(AND(B61=Results!B11,Results!B11&lt;&gt;Games!$C$83),1,0))</f>
        <v/>
      </c>
      <c r="AJ61" s="13" t="str">
        <f>IF(OR(C61="",Results!C11=""),"",IF(AND(C61=Results!C11,Results!C11&lt;&gt;Games!$C$84),1,0))</f>
        <v/>
      </c>
      <c r="AK61" s="13" t="str">
        <f>IF(OR(D61="",Results!D11=""),"",IF(AND(D61=Results!D11,Results!D11&lt;&gt;Games!$C$85),1,0))</f>
        <v/>
      </c>
      <c r="AL61" s="13" t="str">
        <f>IF(OR(E61="",Results!E11=""),"",IF(AND(E61=Results!E11,Results!E11&lt;&gt;Games!$C$86),1,0))</f>
        <v/>
      </c>
      <c r="AM61" s="13" t="str">
        <f>IF(OR(F61="",Results!F11=""),"",IF(AND(F61=Results!F11,Results!F11&lt;&gt;Games!$C$87),1,0))</f>
        <v/>
      </c>
      <c r="AN61" s="13" t="str">
        <f>IF(OR(G61="",Results!G11=""),"",IF(AND(G61=Results!G11,Results!G11&lt;&gt;Games!$C$88),1,0))</f>
        <v/>
      </c>
      <c r="AO61" s="13" t="str">
        <f>IF(OR(H61="",Results!H11=""),"",IF(AND(H61=Results!H11,Results!H11&lt;&gt;Games!$C$89),1,0))</f>
        <v/>
      </c>
      <c r="AP61" s="13" t="str">
        <f>IF(OR(I61="",Results!I11=""),"",IF(AND(I61=Results!I11,Results!I11&lt;&gt;Games!$C$90),1,0))</f>
        <v/>
      </c>
      <c r="AQ61" s="13" t="str">
        <f>IF(OR(J61="",Results!J11=""),"",IF(AND(J61=Results!J11,Results!J11&lt;&gt;Games!$C$91),1,0))</f>
        <v/>
      </c>
      <c r="AR61" s="13" t="str">
        <f>IF(OR(K61="",Results!K11=""),"",IF(AND(K61=Results!K11,Results!K11&lt;&gt;Games!$C$92),1,0))</f>
        <v/>
      </c>
      <c r="AS61" s="13" t="str">
        <f>IF(OR(L61="",Results!L11=""),"",IF(AND(L61=Results!L11,Results!L11&lt;&gt;Games!$C$93),1,0))</f>
        <v/>
      </c>
      <c r="AT61" s="13" t="str">
        <f>IF(OR(M61="",Results!M11=""),"",IF(AND(M61=Results!M11,Results!M11&lt;&gt;Games!$C$94),1,0))</f>
        <v/>
      </c>
      <c r="AU61" s="13" t="str">
        <f>IF(OR(N61="",Results!N11=""),"",IF(AND(N61=Results!N11,Results!N11&lt;&gt;Games!$C$95),1,0))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IF(OR(B62="",Results!B11=""),"",IF(B62=Results!B11,1+IF(OR($O62=1,$P62=1,$Q62=1),1,0),0))</f>
        <v/>
      </c>
      <c r="T62" s="4" t="str">
        <f>IF(OR(C62="",Results!C11=""),"",IF(C62=Results!C11,1+IF(OR($O62=2,$P62=2,$Q62=2),1,0),0))</f>
        <v/>
      </c>
      <c r="U62" s="4" t="str">
        <f>IF(OR(D62="",Results!D11=""),"",IF(D62=Results!D11,1+IF(OR($O62=3,$P62=3,$Q62=3),1,0),0))</f>
        <v/>
      </c>
      <c r="V62" s="4" t="str">
        <f>IF(OR(E62="",Results!E11=""),"",IF(E62=Results!E11,1+IF(OR($O62=4,$P62=4,$Q62=4),1,0),0))</f>
        <v/>
      </c>
      <c r="W62" s="4" t="str">
        <f>IF(OR(F62="",Results!F11=""),"",IF(F62=Results!F11,1+IF(OR($O62=5,$P62=5,$Q62=5),1,0),0))</f>
        <v/>
      </c>
      <c r="X62" s="4" t="str">
        <f>IF(OR(G62="",Results!G11=""),"",IF(G62=Results!G11,1+IF(OR($O62=6,$P62=6,$Q62=6),1,0),0))</f>
        <v/>
      </c>
      <c r="Y62" s="4" t="str">
        <f>IF(OR(H62="",Results!H11=""),"",IF(H62=Results!H11,1+IF(OR($O62=7,$P62=7,$Q62=7),1,0),0))</f>
        <v/>
      </c>
      <c r="Z62" s="4" t="str">
        <f>IF(OR(I62="",Results!I11=""),"",IF(I62=Results!I11,1+IF(OR($O62=8,$P62=8,$Q62=8),1,0),0))</f>
        <v/>
      </c>
      <c r="AA62" s="4" t="str">
        <f>IF(OR(J62="",Results!J11=""),"",IF(J62=Results!J11,1+IF(OR($O62=9,$P62=9,$Q62=9),1,0),0))</f>
        <v/>
      </c>
      <c r="AB62" s="4" t="str">
        <f>IF(OR(K62="",Results!K11=""),"",IF(K62=Results!K11,1+IF(OR($O62=10,$P62=10,$Q62=10),1,0),0))</f>
        <v/>
      </c>
      <c r="AC62" s="4" t="str">
        <f>IF(OR(L62="",Results!L11=""),"",IF(L62=Results!L11,1+IF(OR($O62=11,$P62=11,$Q62=11),1,0),0))</f>
        <v/>
      </c>
      <c r="AD62" s="4" t="str">
        <f>IF(OR(M62="",Results!M11=""),"",IF(M62=Results!M11,1+IF(OR($O62=12,$P62=12,$Q62=12),1,0),0))</f>
        <v/>
      </c>
      <c r="AE62" s="4" t="str">
        <f>IF(OR(N62="",Results!N11=""),"",IF(N62=Results!N11,1+IF(OR($O62=13,$P62=13,$Q62=13),1,0),0))</f>
        <v/>
      </c>
      <c r="AF62" s="11">
        <f t="shared" si="2"/>
        <v>0</v>
      </c>
      <c r="AG62" s="4" t="str">
        <f>IF(OR($R62="",Results!O11=""),"",ABS($R62-Results!O11))</f>
        <v/>
      </c>
      <c r="AH62" s="12">
        <v>31</v>
      </c>
      <c r="AI62" s="13" t="str">
        <f>IF(OR(B62="",Results!B11=""),"",IF(AND(B62=Results!B11,Results!B11&lt;&gt;Games!$C$83),1,0))</f>
        <v/>
      </c>
      <c r="AJ62" s="13" t="str">
        <f>IF(OR(C62="",Results!C11=""),"",IF(AND(C62=Results!C11,Results!C11&lt;&gt;Games!$C$84),1,0))</f>
        <v/>
      </c>
      <c r="AK62" s="13" t="str">
        <f>IF(OR(D62="",Results!D11=""),"",IF(AND(D62=Results!D11,Results!D11&lt;&gt;Games!$C$85),1,0))</f>
        <v/>
      </c>
      <c r="AL62" s="13" t="str">
        <f>IF(OR(E62="",Results!E11=""),"",IF(AND(E62=Results!E11,Results!E11&lt;&gt;Games!$C$86),1,0))</f>
        <v/>
      </c>
      <c r="AM62" s="13" t="str">
        <f>IF(OR(F62="",Results!F11=""),"",IF(AND(F62=Results!F11,Results!F11&lt;&gt;Games!$C$87),1,0))</f>
        <v/>
      </c>
      <c r="AN62" s="13" t="str">
        <f>IF(OR(G62="",Results!G11=""),"",IF(AND(G62=Results!G11,Results!G11&lt;&gt;Games!$C$88),1,0))</f>
        <v/>
      </c>
      <c r="AO62" s="13" t="str">
        <f>IF(OR(H62="",Results!H11=""),"",IF(AND(H62=Results!H11,Results!H11&lt;&gt;Games!$C$89),1,0))</f>
        <v/>
      </c>
      <c r="AP62" s="13" t="str">
        <f>IF(OR(I62="",Results!I11=""),"",IF(AND(I62=Results!I11,Results!I11&lt;&gt;Games!$C$90),1,0))</f>
        <v/>
      </c>
      <c r="AQ62" s="13" t="str">
        <f>IF(OR(J62="",Results!J11=""),"",IF(AND(J62=Results!J11,Results!J11&lt;&gt;Games!$C$91),1,0))</f>
        <v/>
      </c>
      <c r="AR62" s="13" t="str">
        <f>IF(OR(K62="",Results!K11=""),"",IF(AND(K62=Results!K11,Results!K11&lt;&gt;Games!$C$92),1,0))</f>
        <v/>
      </c>
      <c r="AS62" s="13" t="str">
        <f>IF(OR(L62="",Results!L11=""),"",IF(AND(L62=Results!L11,Results!L11&lt;&gt;Games!$C$93),1,0))</f>
        <v/>
      </c>
      <c r="AT62" s="13" t="str">
        <f>IF(OR(M62="",Results!M11=""),"",IF(AND(M62=Results!M11,Results!M11&lt;&gt;Games!$C$94),1,0))</f>
        <v/>
      </c>
      <c r="AU62" s="13" t="str">
        <f>IF(OR(N62="",Results!N11=""),"",IF(AND(N62=Results!N11,Results!N11&lt;&gt;Games!$C$95),1,0))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 t="str">
        <f>IF(OR(B63="",Results!B11=""),"",IF(B63=Results!B11,1+IF(OR($O63=1,$P63=1,$Q63=1),1,0),0))</f>
        <v/>
      </c>
      <c r="T63" s="4" t="str">
        <f>IF(OR(C63="",Results!C11=""),"",IF(C63=Results!C11,1+IF(OR($O63=2,$P63=2,$Q63=2),1,0),0))</f>
        <v/>
      </c>
      <c r="U63" s="4" t="str">
        <f>IF(OR(D63="",Results!D11=""),"",IF(D63=Results!D11,1+IF(OR($O63=3,$P63=3,$Q63=3),1,0),0))</f>
        <v/>
      </c>
      <c r="V63" s="4" t="str">
        <f>IF(OR(E63="",Results!E11=""),"",IF(E63=Results!E11,1+IF(OR($O63=4,$P63=4,$Q63=4),1,0),0))</f>
        <v/>
      </c>
      <c r="W63" s="4" t="str">
        <f>IF(OR(F63="",Results!F11=""),"",IF(F63=Results!F11,1+IF(OR($O63=5,$P63=5,$Q63=5),1,0),0))</f>
        <v/>
      </c>
      <c r="X63" s="4" t="str">
        <f>IF(OR(G63="",Results!G11=""),"",IF(G63=Results!G11,1+IF(OR($O63=6,$P63=6,$Q63=6),1,0),0))</f>
        <v/>
      </c>
      <c r="Y63" s="4" t="str">
        <f>IF(OR(H63="",Results!H11=""),"",IF(H63=Results!H11,1+IF(OR($O63=7,$P63=7,$Q63=7),1,0),0))</f>
        <v/>
      </c>
      <c r="Z63" s="4" t="str">
        <f>IF(OR(I63="",Results!I11=""),"",IF(I63=Results!I11,1+IF(OR($O63=8,$P63=8,$Q63=8),1,0),0))</f>
        <v/>
      </c>
      <c r="AA63" s="4" t="str">
        <f>IF(OR(J63="",Results!J11=""),"",IF(J63=Results!J11,1+IF(OR($O63=9,$P63=9,$Q63=9),1,0),0))</f>
        <v/>
      </c>
      <c r="AB63" s="4" t="str">
        <f>IF(OR(K63="",Results!K11=""),"",IF(K63=Results!K11,1+IF(OR($O63=10,$P63=10,$Q63=10),1,0),0))</f>
        <v/>
      </c>
      <c r="AC63" s="4" t="str">
        <f>IF(OR(L63="",Results!L11=""),"",IF(L63=Results!L11,1+IF(OR($O63=11,$P63=11,$Q63=11),1,0),0))</f>
        <v/>
      </c>
      <c r="AD63" s="4" t="str">
        <f>IF(OR(M63="",Results!M11=""),"",IF(M63=Results!M11,1+IF(OR($O63=12,$P63=12,$Q63=12),1,0),0))</f>
        <v/>
      </c>
      <c r="AE63" s="4" t="str">
        <f>IF(OR(N63="",Results!N11=""),"",IF(N63=Results!N11,1+IF(OR($O63=13,$P63=13,$Q63=13),1,0),0))</f>
        <v/>
      </c>
      <c r="AF63" s="11">
        <f t="shared" si="2"/>
        <v>0</v>
      </c>
      <c r="AG63" s="4" t="str">
        <f>IF(OR($R63="",Results!O11=""),"",ABS($R63-Results!O11))</f>
        <v/>
      </c>
      <c r="AH63" s="12">
        <v>32</v>
      </c>
      <c r="AI63" s="13" t="str">
        <f>IF(OR(B63="",Results!B11=""),"",IF(AND(B63=Results!B11,Results!B11&lt;&gt;Games!$C$83),1,0))</f>
        <v/>
      </c>
      <c r="AJ63" s="13" t="str">
        <f>IF(OR(C63="",Results!C11=""),"",IF(AND(C63=Results!C11,Results!C11&lt;&gt;Games!$C$84),1,0))</f>
        <v/>
      </c>
      <c r="AK63" s="13" t="str">
        <f>IF(OR(D63="",Results!D11=""),"",IF(AND(D63=Results!D11,Results!D11&lt;&gt;Games!$C$85),1,0))</f>
        <v/>
      </c>
      <c r="AL63" s="13" t="str">
        <f>IF(OR(E63="",Results!E11=""),"",IF(AND(E63=Results!E11,Results!E11&lt;&gt;Games!$C$86),1,0))</f>
        <v/>
      </c>
      <c r="AM63" s="13" t="str">
        <f>IF(OR(F63="",Results!F11=""),"",IF(AND(F63=Results!F11,Results!F11&lt;&gt;Games!$C$87),1,0))</f>
        <v/>
      </c>
      <c r="AN63" s="13" t="str">
        <f>IF(OR(G63="",Results!G11=""),"",IF(AND(G63=Results!G11,Results!G11&lt;&gt;Games!$C$88),1,0))</f>
        <v/>
      </c>
      <c r="AO63" s="13" t="str">
        <f>IF(OR(H63="",Results!H11=""),"",IF(AND(H63=Results!H11,Results!H11&lt;&gt;Games!$C$89),1,0))</f>
        <v/>
      </c>
      <c r="AP63" s="13" t="str">
        <f>IF(OR(I63="",Results!I11=""),"",IF(AND(I63=Results!I11,Results!I11&lt;&gt;Games!$C$90),1,0))</f>
        <v/>
      </c>
      <c r="AQ63" s="13" t="str">
        <f>IF(OR(J63="",Results!J11=""),"",IF(AND(J63=Results!J11,Results!J11&lt;&gt;Games!$C$91),1,0))</f>
        <v/>
      </c>
      <c r="AR63" s="13" t="str">
        <f>IF(OR(K63="",Results!K11=""),"",IF(AND(K63=Results!K11,Results!K11&lt;&gt;Games!$C$92),1,0))</f>
        <v/>
      </c>
      <c r="AS63" s="13" t="str">
        <f>IF(OR(L63="",Results!L11=""),"",IF(AND(L63=Results!L11,Results!L11&lt;&gt;Games!$C$93),1,0))</f>
        <v/>
      </c>
      <c r="AT63" s="13" t="str">
        <f>IF(OR(M63="",Results!M11=""),"",IF(AND(M63=Results!M11,Results!M11&lt;&gt;Games!$C$94),1,0))</f>
        <v/>
      </c>
      <c r="AU63" s="13" t="str">
        <f>IF(OR(N63="",Results!N11=""),"",IF(AND(N63=Results!N11,Results!N11&lt;&gt;Games!$C$95),1,0))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 t="str">
        <f>IF(OR(B64="",Results!B11=""),"",IF(B64=Results!B11,1+IF(OR($O64=1,$P64=1,$Q64=1),1,0),0))</f>
        <v/>
      </c>
      <c r="T64" s="4" t="str">
        <f>IF(OR(C64="",Results!C11=""),"",IF(C64=Results!C11,1+IF(OR($O64=2,$P64=2,$Q64=2),1,0),0))</f>
        <v/>
      </c>
      <c r="U64" s="4" t="str">
        <f>IF(OR(D64="",Results!D11=""),"",IF(D64=Results!D11,1+IF(OR($O64=3,$P64=3,$Q64=3),1,0),0))</f>
        <v/>
      </c>
      <c r="V64" s="4" t="str">
        <f>IF(OR(E64="",Results!E11=""),"",IF(E64=Results!E11,1+IF(OR($O64=4,$P64=4,$Q64=4),1,0),0))</f>
        <v/>
      </c>
      <c r="W64" s="4" t="str">
        <f>IF(OR(F64="",Results!F11=""),"",IF(F64=Results!F11,1+IF(OR($O64=5,$P64=5,$Q64=5),1,0),0))</f>
        <v/>
      </c>
      <c r="X64" s="4" t="str">
        <f>IF(OR(G64="",Results!G11=""),"",IF(G64=Results!G11,1+IF(OR($O64=6,$P64=6,$Q64=6),1,0),0))</f>
        <v/>
      </c>
      <c r="Y64" s="4" t="str">
        <f>IF(OR(H64="",Results!H11=""),"",IF(H64=Results!H11,1+IF(OR($O64=7,$P64=7,$Q64=7),1,0),0))</f>
        <v/>
      </c>
      <c r="Z64" s="4" t="str">
        <f>IF(OR(I64="",Results!I11=""),"",IF(I64=Results!I11,1+IF(OR($O64=8,$P64=8,$Q64=8),1,0),0))</f>
        <v/>
      </c>
      <c r="AA64" s="4" t="str">
        <f>IF(OR(J64="",Results!J11=""),"",IF(J64=Results!J11,1+IF(OR($O64=9,$P64=9,$Q64=9),1,0),0))</f>
        <v/>
      </c>
      <c r="AB64" s="4" t="str">
        <f>IF(OR(K64="",Results!K11=""),"",IF(K64=Results!K11,1+IF(OR($O64=10,$P64=10,$Q64=10),1,0),0))</f>
        <v/>
      </c>
      <c r="AC64" s="4" t="str">
        <f>IF(OR(L64="",Results!L11=""),"",IF(L64=Results!L11,1+IF(OR($O64=11,$P64=11,$Q64=11),1,0),0))</f>
        <v/>
      </c>
      <c r="AD64" s="4" t="str">
        <f>IF(OR(M64="",Results!M11=""),"",IF(M64=Results!M11,1+IF(OR($O64=12,$P64=12,$Q64=12),1,0),0))</f>
        <v/>
      </c>
      <c r="AE64" s="4" t="str">
        <f>IF(OR(N64="",Results!N11=""),"",IF(N64=Results!N11,1+IF(OR($O64=13,$P64=13,$Q64=13),1,0),0))</f>
        <v/>
      </c>
      <c r="AF64" s="11">
        <f t="shared" si="2"/>
        <v>0</v>
      </c>
      <c r="AG64" s="4" t="str">
        <f>IF(OR($R64="",Results!O11=""),"",ABS($R64-Results!O11))</f>
        <v/>
      </c>
      <c r="AH64" s="12">
        <v>46</v>
      </c>
      <c r="AI64" s="13" t="str">
        <f>IF(OR(B64="",Results!B11=""),"",IF(AND(B64=Results!B11,Results!B11&lt;&gt;Games!$C$83),1,0))</f>
        <v/>
      </c>
      <c r="AJ64" s="13" t="str">
        <f>IF(OR(C64="",Results!C11=""),"",IF(AND(C64=Results!C11,Results!C11&lt;&gt;Games!$C$84),1,0))</f>
        <v/>
      </c>
      <c r="AK64" s="13" t="str">
        <f>IF(OR(D64="",Results!D11=""),"",IF(AND(D64=Results!D11,Results!D11&lt;&gt;Games!$C$85),1,0))</f>
        <v/>
      </c>
      <c r="AL64" s="13" t="str">
        <f>IF(OR(E64="",Results!E11=""),"",IF(AND(E64=Results!E11,Results!E11&lt;&gt;Games!$C$86),1,0))</f>
        <v/>
      </c>
      <c r="AM64" s="13" t="str">
        <f>IF(OR(F64="",Results!F11=""),"",IF(AND(F64=Results!F11,Results!F11&lt;&gt;Games!$C$87),1,0))</f>
        <v/>
      </c>
      <c r="AN64" s="13" t="str">
        <f>IF(OR(G64="",Results!G11=""),"",IF(AND(G64=Results!G11,Results!G11&lt;&gt;Games!$C$88),1,0))</f>
        <v/>
      </c>
      <c r="AO64" s="13" t="str">
        <f>IF(OR(H64="",Results!H11=""),"",IF(AND(H64=Results!H11,Results!H11&lt;&gt;Games!$C$89),1,0))</f>
        <v/>
      </c>
      <c r="AP64" s="13" t="str">
        <f>IF(OR(I64="",Results!I11=""),"",IF(AND(I64=Results!I11,Results!I11&lt;&gt;Games!$C$90),1,0))</f>
        <v/>
      </c>
      <c r="AQ64" s="13" t="str">
        <f>IF(OR(J64="",Results!J11=""),"",IF(AND(J64=Results!J11,Results!J11&lt;&gt;Games!$C$91),1,0))</f>
        <v/>
      </c>
      <c r="AR64" s="13" t="str">
        <f>IF(OR(K64="",Results!K11=""),"",IF(AND(K64=Results!K11,Results!K11&lt;&gt;Games!$C$92),1,0))</f>
        <v/>
      </c>
      <c r="AS64" s="13" t="str">
        <f>IF(OR(L64="",Results!L11=""),"",IF(AND(L64=Results!L11,Results!L11&lt;&gt;Games!$C$93),1,0))</f>
        <v/>
      </c>
      <c r="AT64" s="13" t="str">
        <f>IF(OR(M64="",Results!M11=""),"",IF(AND(M64=Results!M11,Results!M11&lt;&gt;Games!$C$94),1,0))</f>
        <v/>
      </c>
      <c r="AU64" s="13" t="str">
        <f>IF(OR(N64="",Results!N11=""),"",IF(AND(N64=Results!N11,Results!N11&lt;&gt;Games!$C$95),1,0))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IF(OR(B65="",Results!B11=""),"",IF(B65=Results!B11,1+IF(OR($O65=1,$P65=1,$Q65=1),1,0),0))</f>
        <v/>
      </c>
      <c r="T65" s="4" t="str">
        <f>IF(OR(C65="",Results!C11=""),"",IF(C65=Results!C11,1+IF(OR($O65=2,$P65=2,$Q65=2),1,0),0))</f>
        <v/>
      </c>
      <c r="U65" s="4" t="str">
        <f>IF(OR(D65="",Results!D11=""),"",IF(D65=Results!D11,1+IF(OR($O65=3,$P65=3,$Q65=3),1,0),0))</f>
        <v/>
      </c>
      <c r="V65" s="4" t="str">
        <f>IF(OR(E65="",Results!E11=""),"",IF(E65=Results!E11,1+IF(OR($O65=4,$P65=4,$Q65=4),1,0),0))</f>
        <v/>
      </c>
      <c r="W65" s="4" t="str">
        <f>IF(OR(F65="",Results!F11=""),"",IF(F65=Results!F11,1+IF(OR($O65=5,$P65=5,$Q65=5),1,0),0))</f>
        <v/>
      </c>
      <c r="X65" s="4" t="str">
        <f>IF(OR(G65="",Results!G11=""),"",IF(G65=Results!G11,1+IF(OR($O65=6,$P65=6,$Q65=6),1,0),0))</f>
        <v/>
      </c>
      <c r="Y65" s="4" t="str">
        <f>IF(OR(H65="",Results!H11=""),"",IF(H65=Results!H11,1+IF(OR($O65=7,$P65=7,$Q65=7),1,0),0))</f>
        <v/>
      </c>
      <c r="Z65" s="4" t="str">
        <f>IF(OR(I65="",Results!I11=""),"",IF(I65=Results!I11,1+IF(OR($O65=8,$P65=8,$Q65=8),1,0),0))</f>
        <v/>
      </c>
      <c r="AA65" s="4" t="str">
        <f>IF(OR(J65="",Results!J11=""),"",IF(J65=Results!J11,1+IF(OR($O65=9,$P65=9,$Q65=9),1,0),0))</f>
        <v/>
      </c>
      <c r="AB65" s="4" t="str">
        <f>IF(OR(K65="",Results!K11=""),"",IF(K65=Results!K11,1+IF(OR($O65=10,$P65=10,$Q65=10),1,0),0))</f>
        <v/>
      </c>
      <c r="AC65" s="4" t="str">
        <f>IF(OR(L65="",Results!L11=""),"",IF(L65=Results!L11,1+IF(OR($O65=11,$P65=11,$Q65=11),1,0),0))</f>
        <v/>
      </c>
      <c r="AD65" s="4" t="str">
        <f>IF(OR(M65="",Results!M11=""),"",IF(M65=Results!M11,1+IF(OR($O65=12,$P65=12,$Q65=12),1,0),0))</f>
        <v/>
      </c>
      <c r="AE65" s="4" t="str">
        <f>IF(OR(N65="",Results!N11=""),"",IF(N65=Results!N11,1+IF(OR($O65=13,$P65=13,$Q65=13),1,0),0))</f>
        <v/>
      </c>
      <c r="AF65" s="11">
        <f t="shared" si="2"/>
        <v>0</v>
      </c>
      <c r="AG65" s="4" t="str">
        <f>IF(OR($R65="",Results!O11=""),"",ABS($R65-Results!O11))</f>
        <v/>
      </c>
      <c r="AH65" s="12">
        <v>33</v>
      </c>
      <c r="AI65" s="13" t="str">
        <f>IF(OR(B65="",Results!B11=""),"",IF(AND(B65=Results!B11,Results!B11&lt;&gt;Games!$C$83),1,0))</f>
        <v/>
      </c>
      <c r="AJ65" s="13" t="str">
        <f>IF(OR(C65="",Results!C11=""),"",IF(AND(C65=Results!C11,Results!C11&lt;&gt;Games!$C$84),1,0))</f>
        <v/>
      </c>
      <c r="AK65" s="13" t="str">
        <f>IF(OR(D65="",Results!D11=""),"",IF(AND(D65=Results!D11,Results!D11&lt;&gt;Games!$C$85),1,0))</f>
        <v/>
      </c>
      <c r="AL65" s="13" t="str">
        <f>IF(OR(E65="",Results!E11=""),"",IF(AND(E65=Results!E11,Results!E11&lt;&gt;Games!$C$86),1,0))</f>
        <v/>
      </c>
      <c r="AM65" s="13" t="str">
        <f>IF(OR(F65="",Results!F11=""),"",IF(AND(F65=Results!F11,Results!F11&lt;&gt;Games!$C$87),1,0))</f>
        <v/>
      </c>
      <c r="AN65" s="13" t="str">
        <f>IF(OR(G65="",Results!G11=""),"",IF(AND(G65=Results!G11,Results!G11&lt;&gt;Games!$C$88),1,0))</f>
        <v/>
      </c>
      <c r="AO65" s="13" t="str">
        <f>IF(OR(H65="",Results!H11=""),"",IF(AND(H65=Results!H11,Results!H11&lt;&gt;Games!$C$89),1,0))</f>
        <v/>
      </c>
      <c r="AP65" s="13" t="str">
        <f>IF(OR(I65="",Results!I11=""),"",IF(AND(I65=Results!I11,Results!I11&lt;&gt;Games!$C$90),1,0))</f>
        <v/>
      </c>
      <c r="AQ65" s="13" t="str">
        <f>IF(OR(J65="",Results!J11=""),"",IF(AND(J65=Results!J11,Results!J11&lt;&gt;Games!$C$91),1,0))</f>
        <v/>
      </c>
      <c r="AR65" s="13" t="str">
        <f>IF(OR(K65="",Results!K11=""),"",IF(AND(K65=Results!K11,Results!K11&lt;&gt;Games!$C$92),1,0))</f>
        <v/>
      </c>
      <c r="AS65" s="13" t="str">
        <f>IF(OR(L65="",Results!L11=""),"",IF(AND(L65=Results!L11,Results!L11&lt;&gt;Games!$C$93),1,0))</f>
        <v/>
      </c>
      <c r="AT65" s="13" t="str">
        <f>IF(OR(M65="",Results!M11=""),"",IF(AND(M65=Results!M11,Results!M11&lt;&gt;Games!$C$94),1,0))</f>
        <v/>
      </c>
      <c r="AU65" s="13" t="str">
        <f>IF(OR(N65="",Results!N11=""),"",IF(AND(N65=Results!N11,Results!N11&lt;&gt;Games!$C$95),1,0))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8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800-000001000000}">
          <x14:formula1>
            <xm:f>Games!$C$83:$D$83</xm:f>
          </x14:formula1>
          <x14:formula2>
            <xm:f>0</xm:f>
          </x14:formula2>
          <xm:sqref>B6:B65</xm:sqref>
        </x14:dataValidation>
        <x14:dataValidation type="list" allowBlank="1" xr:uid="{00000000-0002-0000-0800-000002000000}">
          <x14:formula1>
            <xm:f>Games!$C$84:$D$84</xm:f>
          </x14:formula1>
          <x14:formula2>
            <xm:f>0</xm:f>
          </x14:formula2>
          <xm:sqref>C6:C65</xm:sqref>
        </x14:dataValidation>
        <x14:dataValidation type="list" allowBlank="1" xr:uid="{00000000-0002-0000-0800-000003000000}">
          <x14:formula1>
            <xm:f>Games!$C$85:$D$85</xm:f>
          </x14:formula1>
          <x14:formula2>
            <xm:f>0</xm:f>
          </x14:formula2>
          <xm:sqref>D6:D65</xm:sqref>
        </x14:dataValidation>
        <x14:dataValidation type="list" allowBlank="1" xr:uid="{00000000-0002-0000-0800-000004000000}">
          <x14:formula1>
            <xm:f>Games!$C$86:$D$86</xm:f>
          </x14:formula1>
          <x14:formula2>
            <xm:f>0</xm:f>
          </x14:formula2>
          <xm:sqref>E6:E65</xm:sqref>
        </x14:dataValidation>
        <x14:dataValidation type="list" allowBlank="1" xr:uid="{00000000-0002-0000-0800-000005000000}">
          <x14:formula1>
            <xm:f>Games!$C$87:$D$87</xm:f>
          </x14:formula1>
          <x14:formula2>
            <xm:f>0</xm:f>
          </x14:formula2>
          <xm:sqref>F6:F65</xm:sqref>
        </x14:dataValidation>
        <x14:dataValidation type="list" allowBlank="1" xr:uid="{00000000-0002-0000-0800-000006000000}">
          <x14:formula1>
            <xm:f>Games!$C$88:$D$88</xm:f>
          </x14:formula1>
          <x14:formula2>
            <xm:f>0</xm:f>
          </x14:formula2>
          <xm:sqref>G6:G65</xm:sqref>
        </x14:dataValidation>
        <x14:dataValidation type="list" allowBlank="1" xr:uid="{00000000-0002-0000-0800-000007000000}">
          <x14:formula1>
            <xm:f>Games!$C$89:$D$89</xm:f>
          </x14:formula1>
          <x14:formula2>
            <xm:f>0</xm:f>
          </x14:formula2>
          <xm:sqref>H6:H65</xm:sqref>
        </x14:dataValidation>
        <x14:dataValidation type="list" allowBlank="1" xr:uid="{00000000-0002-0000-0800-000008000000}">
          <x14:formula1>
            <xm:f>Games!$C$90:$D$90</xm:f>
          </x14:formula1>
          <x14:formula2>
            <xm:f>0</xm:f>
          </x14:formula2>
          <xm:sqref>I6:I65</xm:sqref>
        </x14:dataValidation>
        <x14:dataValidation type="list" allowBlank="1" xr:uid="{00000000-0002-0000-0800-000009000000}">
          <x14:formula1>
            <xm:f>Games!$C$91:$D$91</xm:f>
          </x14:formula1>
          <x14:formula2>
            <xm:f>0</xm:f>
          </x14:formula2>
          <xm:sqref>J6:J65</xm:sqref>
        </x14:dataValidation>
        <x14:dataValidation type="list" allowBlank="1" xr:uid="{00000000-0002-0000-0800-00000A000000}">
          <x14:formula1>
            <xm:f>Games!$C$92:$D$92</xm:f>
          </x14:formula1>
          <x14:formula2>
            <xm:f>0</xm:f>
          </x14:formula2>
          <xm:sqref>K6:K65</xm:sqref>
        </x14:dataValidation>
        <x14:dataValidation type="list" allowBlank="1" xr:uid="{00000000-0002-0000-0800-00000B000000}">
          <x14:formula1>
            <xm:f>Games!$C$93:$D$93</xm:f>
          </x14:formula1>
          <x14:formula2>
            <xm:f>0</xm:f>
          </x14:formula2>
          <xm:sqref>L6:L65</xm:sqref>
        </x14:dataValidation>
        <x14:dataValidation type="list" allowBlank="1" xr:uid="{00000000-0002-0000-0800-00000C000000}">
          <x14:formula1>
            <xm:f>Games!$C$94:$D$94</xm:f>
          </x14:formula1>
          <x14:formula2>
            <xm:f>0</xm:f>
          </x14:formula2>
          <xm:sqref>M6:M65</xm:sqref>
        </x14:dataValidation>
        <x14:dataValidation type="list" allowBlank="1" xr:uid="{00000000-0002-0000-0800-00000D000000}">
          <x14:formula1>
            <xm:f>Games!$C$95:$D$95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321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1&amp;CHAR(10)&amp;Games!C96&amp;" vs "&amp;Games!D96</f>
        <v xml:space="preserve">1
 vs </v>
      </c>
      <c r="C4" s="10" t="str">
        <f>2&amp;CHAR(10)&amp;Games!C97&amp;" vs "&amp;Games!D97</f>
        <v xml:space="preserve">2
 vs </v>
      </c>
      <c r="D4" s="10" t="str">
        <f>3&amp;CHAR(10)&amp;Games!C98&amp;" vs "&amp;Games!D98</f>
        <v xml:space="preserve">3
 vs </v>
      </c>
      <c r="E4" s="10" t="str">
        <f>4&amp;CHAR(10)&amp;Games!C99&amp;" vs "&amp;Games!D99</f>
        <v xml:space="preserve">4
 vs </v>
      </c>
      <c r="F4" s="10" t="str">
        <f>5&amp;CHAR(10)&amp;Games!C100&amp;" vs "&amp;Games!D100</f>
        <v xml:space="preserve">5
 vs </v>
      </c>
      <c r="G4" s="10" t="str">
        <f>6&amp;CHAR(10)&amp;Games!C101&amp;" vs "&amp;Games!D101</f>
        <v xml:space="preserve">6
 vs </v>
      </c>
      <c r="H4" s="10" t="str">
        <f>7&amp;CHAR(10)&amp;Games!C102&amp;" vs "&amp;Games!D102</f>
        <v xml:space="preserve">7
 vs </v>
      </c>
      <c r="I4" s="10" t="str">
        <f>8&amp;CHAR(10)&amp;Games!C103&amp;" vs "&amp;Games!D103</f>
        <v xml:space="preserve">8
 vs </v>
      </c>
      <c r="J4" s="10" t="str">
        <f>9&amp;CHAR(10)&amp;Games!C104&amp;" vs "&amp;Games!D104</f>
        <v xml:space="preserve">9
 vs </v>
      </c>
      <c r="K4" s="10" t="str">
        <f>10&amp;CHAR(10)&amp;Games!C105&amp;" vs "&amp;Games!D105</f>
        <v xml:space="preserve">10
 vs </v>
      </c>
      <c r="L4" s="10" t="str">
        <f>11&amp;CHAR(10)&amp;Games!C106&amp;" vs "&amp;Games!D106</f>
        <v xml:space="preserve">11
 vs </v>
      </c>
      <c r="M4" s="10" t="str">
        <f>12&amp;CHAR(10)&amp;Games!C107&amp;" vs "&amp;Games!D107</f>
        <v xml:space="preserve">12
 vs </v>
      </c>
      <c r="N4" s="10" t="str">
        <f>13&amp;CHAR(10)&amp;Games!C108&amp;" vs "&amp;Games!D108</f>
        <v xml:space="preserve">13
 vs 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 t="str">
        <f>IF(OR(B6="",Results!B12=""),"",IF(B6=Results!B12,1+IF(OR($O6=1,$P6=1,$Q6=1),1,0),0))</f>
        <v/>
      </c>
      <c r="T6" s="4" t="str">
        <f>IF(OR(C6="",Results!C12=""),"",IF(C6=Results!C12,1+IF(OR($O6=2,$P6=2,$Q6=2),1,0),0))</f>
        <v/>
      </c>
      <c r="U6" s="4" t="str">
        <f>IF(OR(D6="",Results!D12=""),"",IF(D6=Results!D12,1+IF(OR($O6=3,$P6=3,$Q6=3),1,0),0))</f>
        <v/>
      </c>
      <c r="V6" s="4" t="str">
        <f>IF(OR(E6="",Results!E12=""),"",IF(E6=Results!E12,1+IF(OR($O6=4,$P6=4,$Q6=4),1,0),0))</f>
        <v/>
      </c>
      <c r="W6" s="4" t="str">
        <f>IF(OR(F6="",Results!F12=""),"",IF(F6=Results!F12,1+IF(OR($O6=5,$P6=5,$Q6=5),1,0),0))</f>
        <v/>
      </c>
      <c r="X6" s="4" t="str">
        <f>IF(OR(G6="",Results!G12=""),"",IF(G6=Results!G12,1+IF(OR($O6=6,$P6=6,$Q6=6),1,0),0))</f>
        <v/>
      </c>
      <c r="Y6" s="4" t="str">
        <f>IF(OR(H6="",Results!H12=""),"",IF(H6=Results!H12,1+IF(OR($O6=7,$P6=7,$Q6=7),1,0),0))</f>
        <v/>
      </c>
      <c r="Z6" s="4" t="str">
        <f>IF(OR(I6="",Results!I12=""),"",IF(I6=Results!I12,1+IF(OR($O6=8,$P6=8,$Q6=8),1,0),0))</f>
        <v/>
      </c>
      <c r="AA6" s="4" t="str">
        <f>IF(OR(J6="",Results!J12=""),"",IF(J6=Results!J12,1+IF(OR($O6=9,$P6=9,$Q6=9),1,0),0))</f>
        <v/>
      </c>
      <c r="AB6" s="4" t="str">
        <f>IF(OR(K6="",Results!K12=""),"",IF(K6=Results!K12,1+IF(OR($O6=10,$P6=10,$Q6=10),1,0),0))</f>
        <v/>
      </c>
      <c r="AC6" s="4" t="str">
        <f>IF(OR(L6="",Results!L12=""),"",IF(L6=Results!L12,1+IF(OR($O6=11,$P6=11,$Q6=11),1,0),0))</f>
        <v/>
      </c>
      <c r="AD6" s="4" t="str">
        <f>IF(OR(M6="",Results!M12=""),"",IF(M6=Results!M12,1+IF(OR($O6=12,$P6=12,$Q6=12),1,0),0))</f>
        <v/>
      </c>
      <c r="AE6" s="4" t="str">
        <f>IF(OR(N6="",Results!N12=""),"",IF(N6=Results!N12,1+IF(OR($O6=13,$P6=13,$Q6=13),1,0),0))</f>
        <v/>
      </c>
      <c r="AF6" s="11">
        <f t="shared" ref="AF6:AF37" si="0">SUM(S6:AE6)</f>
        <v>0</v>
      </c>
      <c r="AG6" s="4" t="str">
        <f>IF(OR($R6="",Results!O12=""),"",ABS($R6-Results!O12))</f>
        <v/>
      </c>
      <c r="AH6" s="12">
        <v>2</v>
      </c>
      <c r="AI6" s="13" t="str">
        <f>IF(OR(B6="",Results!B12=""),"",IF(AND(B6=Results!B12,Results!B12&lt;&gt;Games!$C$96),1,0))</f>
        <v/>
      </c>
      <c r="AJ6" s="13" t="str">
        <f>IF(OR(C6="",Results!C12=""),"",IF(AND(C6=Results!C12,Results!C12&lt;&gt;Games!$C$97),1,0))</f>
        <v/>
      </c>
      <c r="AK6" s="13" t="str">
        <f>IF(OR(D6="",Results!D12=""),"",IF(AND(D6=Results!D12,Results!D12&lt;&gt;Games!$C$98),1,0))</f>
        <v/>
      </c>
      <c r="AL6" s="13" t="str">
        <f>IF(OR(E6="",Results!E12=""),"",IF(AND(E6=Results!E12,Results!E12&lt;&gt;Games!$C$99),1,0))</f>
        <v/>
      </c>
      <c r="AM6" s="13" t="str">
        <f>IF(OR(F6="",Results!F12=""),"",IF(AND(F6=Results!F12,Results!F12&lt;&gt;Games!$C$100),1,0))</f>
        <v/>
      </c>
      <c r="AN6" s="13" t="str">
        <f>IF(OR(G6="",Results!G12=""),"",IF(AND(G6=Results!G12,Results!G12&lt;&gt;Games!$C$101),1,0))</f>
        <v/>
      </c>
      <c r="AO6" s="13" t="str">
        <f>IF(OR(H6="",Results!H12=""),"",IF(AND(H6=Results!H12,Results!H12&lt;&gt;Games!$C$102),1,0))</f>
        <v/>
      </c>
      <c r="AP6" s="13" t="str">
        <f>IF(OR(I6="",Results!I12=""),"",IF(AND(I6=Results!I12,Results!I12&lt;&gt;Games!$C$103),1,0))</f>
        <v/>
      </c>
      <c r="AQ6" s="13" t="str">
        <f>IF(OR(J6="",Results!J12=""),"",IF(AND(J6=Results!J12,Results!J12&lt;&gt;Games!$C$104),1,0))</f>
        <v/>
      </c>
      <c r="AR6" s="13" t="str">
        <f>IF(OR(K6="",Results!K12=""),"",IF(AND(K6=Results!K12,Results!K12&lt;&gt;Games!$C$105),1,0))</f>
        <v/>
      </c>
      <c r="AS6" s="13" t="str">
        <f>IF(OR(L6="",Results!L12=""),"",IF(AND(L6=Results!L12,Results!L12&lt;&gt;Games!$C$106),1,0))</f>
        <v/>
      </c>
      <c r="AT6" s="13" t="str">
        <f>IF(OR(M6="",Results!M12=""),"",IF(AND(M6=Results!M12,Results!M12&lt;&gt;Games!$C$107),1,0))</f>
        <v/>
      </c>
      <c r="AU6" s="13" t="str">
        <f>IF(OR(N6="",Results!N12=""),"",IF(AND(N6=Results!N12,Results!N12&lt;&gt;Games!$C$108),1,0))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IF(OR(B7="",Results!B12=""),"",IF(B7=Results!B12,1+IF(OR($O7=1,$P7=1,$Q7=1),1,0),0))</f>
        <v/>
      </c>
      <c r="T7" s="4" t="str">
        <f>IF(OR(C7="",Results!C12=""),"",IF(C7=Results!C12,1+IF(OR($O7=2,$P7=2,$Q7=2),1,0),0))</f>
        <v/>
      </c>
      <c r="U7" s="4" t="str">
        <f>IF(OR(D7="",Results!D12=""),"",IF(D7=Results!D12,1+IF(OR($O7=3,$P7=3,$Q7=3),1,0),0))</f>
        <v/>
      </c>
      <c r="V7" s="4" t="str">
        <f>IF(OR(E7="",Results!E12=""),"",IF(E7=Results!E12,1+IF(OR($O7=4,$P7=4,$Q7=4),1,0),0))</f>
        <v/>
      </c>
      <c r="W7" s="4" t="str">
        <f>IF(OR(F7="",Results!F12=""),"",IF(F7=Results!F12,1+IF(OR($O7=5,$P7=5,$Q7=5),1,0),0))</f>
        <v/>
      </c>
      <c r="X7" s="4" t="str">
        <f>IF(OR(G7="",Results!G12=""),"",IF(G7=Results!G12,1+IF(OR($O7=6,$P7=6,$Q7=6),1,0),0))</f>
        <v/>
      </c>
      <c r="Y7" s="4" t="str">
        <f>IF(OR(H7="",Results!H12=""),"",IF(H7=Results!H12,1+IF(OR($O7=7,$P7=7,$Q7=7),1,0),0))</f>
        <v/>
      </c>
      <c r="Z7" s="4" t="str">
        <f>IF(OR(I7="",Results!I12=""),"",IF(I7=Results!I12,1+IF(OR($O7=8,$P7=8,$Q7=8),1,0),0))</f>
        <v/>
      </c>
      <c r="AA7" s="4" t="str">
        <f>IF(OR(J7="",Results!J12=""),"",IF(J7=Results!J12,1+IF(OR($O7=9,$P7=9,$Q7=9),1,0),0))</f>
        <v/>
      </c>
      <c r="AB7" s="4" t="str">
        <f>IF(OR(K7="",Results!K12=""),"",IF(K7=Results!K12,1+IF(OR($O7=10,$P7=10,$Q7=10),1,0),0))</f>
        <v/>
      </c>
      <c r="AC7" s="4" t="str">
        <f>IF(OR(L7="",Results!L12=""),"",IF(L7=Results!L12,1+IF(OR($O7=11,$P7=11,$Q7=11),1,0),0))</f>
        <v/>
      </c>
      <c r="AD7" s="4" t="str">
        <f>IF(OR(M7="",Results!M12=""),"",IF(M7=Results!M12,1+IF(OR($O7=12,$P7=12,$Q7=12),1,0),0))</f>
        <v/>
      </c>
      <c r="AE7" s="4" t="str">
        <f>IF(OR(N7="",Results!N12=""),"",IF(N7=Results!N12,1+IF(OR($O7=13,$P7=13,$Q7=13),1,0),0))</f>
        <v/>
      </c>
      <c r="AF7" s="11">
        <f t="shared" si="0"/>
        <v>0</v>
      </c>
      <c r="AG7" s="4" t="str">
        <f>IF(OR($R7="",Results!O12=""),"",ABS($R7-Results!O12))</f>
        <v/>
      </c>
      <c r="AH7" s="12">
        <v>53</v>
      </c>
      <c r="AI7" s="13" t="str">
        <f>IF(OR(B7="",Results!B12=""),"",IF(AND(B7=Results!B12,Results!B12&lt;&gt;Games!$C$96),1,0))</f>
        <v/>
      </c>
      <c r="AJ7" s="13" t="str">
        <f>IF(OR(C7="",Results!C12=""),"",IF(AND(C7=Results!C12,Results!C12&lt;&gt;Games!$C$97),1,0))</f>
        <v/>
      </c>
      <c r="AK7" s="13" t="str">
        <f>IF(OR(D7="",Results!D12=""),"",IF(AND(D7=Results!D12,Results!D12&lt;&gt;Games!$C$98),1,0))</f>
        <v/>
      </c>
      <c r="AL7" s="13" t="str">
        <f>IF(OR(E7="",Results!E12=""),"",IF(AND(E7=Results!E12,Results!E12&lt;&gt;Games!$C$99),1,0))</f>
        <v/>
      </c>
      <c r="AM7" s="13" t="str">
        <f>IF(OR(F7="",Results!F12=""),"",IF(AND(F7=Results!F12,Results!F12&lt;&gt;Games!$C$100),1,0))</f>
        <v/>
      </c>
      <c r="AN7" s="13" t="str">
        <f>IF(OR(G7="",Results!G12=""),"",IF(AND(G7=Results!G12,Results!G12&lt;&gt;Games!$C$101),1,0))</f>
        <v/>
      </c>
      <c r="AO7" s="13" t="str">
        <f>IF(OR(H7="",Results!H12=""),"",IF(AND(H7=Results!H12,Results!H12&lt;&gt;Games!$C$102),1,0))</f>
        <v/>
      </c>
      <c r="AP7" s="13" t="str">
        <f>IF(OR(I7="",Results!I12=""),"",IF(AND(I7=Results!I12,Results!I12&lt;&gt;Games!$C$103),1,0))</f>
        <v/>
      </c>
      <c r="AQ7" s="13" t="str">
        <f>IF(OR(J7="",Results!J12=""),"",IF(AND(J7=Results!J12,Results!J12&lt;&gt;Games!$C$104),1,0))</f>
        <v/>
      </c>
      <c r="AR7" s="13" t="str">
        <f>IF(OR(K7="",Results!K12=""),"",IF(AND(K7=Results!K12,Results!K12&lt;&gt;Games!$C$105),1,0))</f>
        <v/>
      </c>
      <c r="AS7" s="13" t="str">
        <f>IF(OR(L7="",Results!L12=""),"",IF(AND(L7=Results!L12,Results!L12&lt;&gt;Games!$C$106),1,0))</f>
        <v/>
      </c>
      <c r="AT7" s="13" t="str">
        <f>IF(OR(M7="",Results!M12=""),"",IF(AND(M7=Results!M12,Results!M12&lt;&gt;Games!$C$107),1,0))</f>
        <v/>
      </c>
      <c r="AU7" s="13" t="str">
        <f>IF(OR(N7="",Results!N12=""),"",IF(AND(N7=Results!N12,Results!N12&lt;&gt;Games!$C$108),1,0))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" t="str">
        <f>IF(OR(B8="",Results!B12=""),"",IF(B8=Results!B12,1+IF(OR($O8=1,$P8=1,$Q8=1),1,0),0))</f>
        <v/>
      </c>
      <c r="T8" s="4" t="str">
        <f>IF(OR(C8="",Results!C12=""),"",IF(C8=Results!C12,1+IF(OR($O8=2,$P8=2,$Q8=2),1,0),0))</f>
        <v/>
      </c>
      <c r="U8" s="4" t="str">
        <f>IF(OR(D8="",Results!D12=""),"",IF(D8=Results!D12,1+IF(OR($O8=3,$P8=3,$Q8=3),1,0),0))</f>
        <v/>
      </c>
      <c r="V8" s="4" t="str">
        <f>IF(OR(E8="",Results!E12=""),"",IF(E8=Results!E12,1+IF(OR($O8=4,$P8=4,$Q8=4),1,0),0))</f>
        <v/>
      </c>
      <c r="W8" s="4" t="str">
        <f>IF(OR(F8="",Results!F12=""),"",IF(F8=Results!F12,1+IF(OR($O8=5,$P8=5,$Q8=5),1,0),0))</f>
        <v/>
      </c>
      <c r="X8" s="4" t="str">
        <f>IF(OR(G8="",Results!G12=""),"",IF(G8=Results!G12,1+IF(OR($O8=6,$P8=6,$Q8=6),1,0),0))</f>
        <v/>
      </c>
      <c r="Y8" s="4" t="str">
        <f>IF(OR(H8="",Results!H12=""),"",IF(H8=Results!H12,1+IF(OR($O8=7,$P8=7,$Q8=7),1,0),0))</f>
        <v/>
      </c>
      <c r="Z8" s="4" t="str">
        <f>IF(OR(I8="",Results!I12=""),"",IF(I8=Results!I12,1+IF(OR($O8=8,$P8=8,$Q8=8),1,0),0))</f>
        <v/>
      </c>
      <c r="AA8" s="4" t="str">
        <f>IF(OR(J8="",Results!J12=""),"",IF(J8=Results!J12,1+IF(OR($O8=9,$P8=9,$Q8=9),1,0),0))</f>
        <v/>
      </c>
      <c r="AB8" s="4" t="str">
        <f>IF(OR(K8="",Results!K12=""),"",IF(K8=Results!K12,1+IF(OR($O8=10,$P8=10,$Q8=10),1,0),0))</f>
        <v/>
      </c>
      <c r="AC8" s="4" t="str">
        <f>IF(OR(L8="",Results!L12=""),"",IF(L8=Results!L12,1+IF(OR($O8=11,$P8=11,$Q8=11),1,0),0))</f>
        <v/>
      </c>
      <c r="AD8" s="4" t="str">
        <f>IF(OR(M8="",Results!M12=""),"",IF(M8=Results!M12,1+IF(OR($O8=12,$P8=12,$Q8=12),1,0),0))</f>
        <v/>
      </c>
      <c r="AE8" s="4" t="str">
        <f>IF(OR(N8="",Results!N12=""),"",IF(N8=Results!N12,1+IF(OR($O8=13,$P8=13,$Q8=13),1,0),0))</f>
        <v/>
      </c>
      <c r="AF8" s="11">
        <f t="shared" si="0"/>
        <v>0</v>
      </c>
      <c r="AG8" s="4" t="str">
        <f>IF(OR($R8="",Results!O12=""),"",ABS($R8-Results!O12))</f>
        <v/>
      </c>
      <c r="AH8" s="12">
        <v>61</v>
      </c>
      <c r="AI8" s="13" t="str">
        <f>IF(OR(B8="",Results!B12=""),"",IF(AND(B8=Results!B12,Results!B12&lt;&gt;Games!$C$96),1,0))</f>
        <v/>
      </c>
      <c r="AJ8" s="13" t="str">
        <f>IF(OR(C8="",Results!C12=""),"",IF(AND(C8=Results!C12,Results!C12&lt;&gt;Games!$C$97),1,0))</f>
        <v/>
      </c>
      <c r="AK8" s="13" t="str">
        <f>IF(OR(D8="",Results!D12=""),"",IF(AND(D8=Results!D12,Results!D12&lt;&gt;Games!$C$98),1,0))</f>
        <v/>
      </c>
      <c r="AL8" s="13" t="str">
        <f>IF(OR(E8="",Results!E12=""),"",IF(AND(E8=Results!E12,Results!E12&lt;&gt;Games!$C$99),1,0))</f>
        <v/>
      </c>
      <c r="AM8" s="13" t="str">
        <f>IF(OR(F8="",Results!F12=""),"",IF(AND(F8=Results!F12,Results!F12&lt;&gt;Games!$C$100),1,0))</f>
        <v/>
      </c>
      <c r="AN8" s="13" t="str">
        <f>IF(OR(G8="",Results!G12=""),"",IF(AND(G8=Results!G12,Results!G12&lt;&gt;Games!$C$101),1,0))</f>
        <v/>
      </c>
      <c r="AO8" s="13" t="str">
        <f>IF(OR(H8="",Results!H12=""),"",IF(AND(H8=Results!H12,Results!H12&lt;&gt;Games!$C$102),1,0))</f>
        <v/>
      </c>
      <c r="AP8" s="13" t="str">
        <f>IF(OR(I8="",Results!I12=""),"",IF(AND(I8=Results!I12,Results!I12&lt;&gt;Games!$C$103),1,0))</f>
        <v/>
      </c>
      <c r="AQ8" s="13" t="str">
        <f>IF(OR(J8="",Results!J12=""),"",IF(AND(J8=Results!J12,Results!J12&lt;&gt;Games!$C$104),1,0))</f>
        <v/>
      </c>
      <c r="AR8" s="13" t="str">
        <f>IF(OR(K8="",Results!K12=""),"",IF(AND(K8=Results!K12,Results!K12&lt;&gt;Games!$C$105),1,0))</f>
        <v/>
      </c>
      <c r="AS8" s="13" t="str">
        <f>IF(OR(L8="",Results!L12=""),"",IF(AND(L8=Results!L12,Results!L12&lt;&gt;Games!$C$106),1,0))</f>
        <v/>
      </c>
      <c r="AT8" s="13" t="str">
        <f>IF(OR(M8="",Results!M12=""),"",IF(AND(M8=Results!M12,Results!M12&lt;&gt;Games!$C$107),1,0))</f>
        <v/>
      </c>
      <c r="AU8" s="13" t="str">
        <f>IF(OR(N8="",Results!N12=""),"",IF(AND(N8=Results!N12,Results!N12&lt;&gt;Games!$C$108),1,0))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IF(OR(B9="",Results!B12=""),"",IF(B9=Results!B12,1+IF(OR($O9=1,$P9=1,$Q9=1),1,0),0))</f>
        <v/>
      </c>
      <c r="T9" s="4" t="str">
        <f>IF(OR(C9="",Results!C12=""),"",IF(C9=Results!C12,1+IF(OR($O9=2,$P9=2,$Q9=2),1,0),0))</f>
        <v/>
      </c>
      <c r="U9" s="4" t="str">
        <f>IF(OR(D9="",Results!D12=""),"",IF(D9=Results!D12,1+IF(OR($O9=3,$P9=3,$Q9=3),1,0),0))</f>
        <v/>
      </c>
      <c r="V9" s="4" t="str">
        <f>IF(OR(E9="",Results!E12=""),"",IF(E9=Results!E12,1+IF(OR($O9=4,$P9=4,$Q9=4),1,0),0))</f>
        <v/>
      </c>
      <c r="W9" s="4" t="str">
        <f>IF(OR(F9="",Results!F12=""),"",IF(F9=Results!F12,1+IF(OR($O9=5,$P9=5,$Q9=5),1,0),0))</f>
        <v/>
      </c>
      <c r="X9" s="4" t="str">
        <f>IF(OR(G9="",Results!G12=""),"",IF(G9=Results!G12,1+IF(OR($O9=6,$P9=6,$Q9=6),1,0),0))</f>
        <v/>
      </c>
      <c r="Y9" s="4" t="str">
        <f>IF(OR(H9="",Results!H12=""),"",IF(H9=Results!H12,1+IF(OR($O9=7,$P9=7,$Q9=7),1,0),0))</f>
        <v/>
      </c>
      <c r="Z9" s="4" t="str">
        <f>IF(OR(I9="",Results!I12=""),"",IF(I9=Results!I12,1+IF(OR($O9=8,$P9=8,$Q9=8),1,0),0))</f>
        <v/>
      </c>
      <c r="AA9" s="4" t="str">
        <f>IF(OR(J9="",Results!J12=""),"",IF(J9=Results!J12,1+IF(OR($O9=9,$P9=9,$Q9=9),1,0),0))</f>
        <v/>
      </c>
      <c r="AB9" s="4" t="str">
        <f>IF(OR(K9="",Results!K12=""),"",IF(K9=Results!K12,1+IF(OR($O9=10,$P9=10,$Q9=10),1,0),0))</f>
        <v/>
      </c>
      <c r="AC9" s="4" t="str">
        <f>IF(OR(L9="",Results!L12=""),"",IF(L9=Results!L12,1+IF(OR($O9=11,$P9=11,$Q9=11),1,0),0))</f>
        <v/>
      </c>
      <c r="AD9" s="4" t="str">
        <f>IF(OR(M9="",Results!M12=""),"",IF(M9=Results!M12,1+IF(OR($O9=12,$P9=12,$Q9=12),1,0),0))</f>
        <v/>
      </c>
      <c r="AE9" s="4" t="str">
        <f>IF(OR(N9="",Results!N12=""),"",IF(N9=Results!N12,1+IF(OR($O9=13,$P9=13,$Q9=13),1,0),0))</f>
        <v/>
      </c>
      <c r="AF9" s="11">
        <f t="shared" si="0"/>
        <v>0</v>
      </c>
      <c r="AG9" s="4" t="str">
        <f>IF(OR($R9="",Results!O12=""),"",ABS($R9-Results!O12))</f>
        <v/>
      </c>
      <c r="AH9" s="12">
        <v>41</v>
      </c>
      <c r="AI9" s="13" t="str">
        <f>IF(OR(B9="",Results!B12=""),"",IF(AND(B9=Results!B12,Results!B12&lt;&gt;Games!$C$96),1,0))</f>
        <v/>
      </c>
      <c r="AJ9" s="13" t="str">
        <f>IF(OR(C9="",Results!C12=""),"",IF(AND(C9=Results!C12,Results!C12&lt;&gt;Games!$C$97),1,0))</f>
        <v/>
      </c>
      <c r="AK9" s="13" t="str">
        <f>IF(OR(D9="",Results!D12=""),"",IF(AND(D9=Results!D12,Results!D12&lt;&gt;Games!$C$98),1,0))</f>
        <v/>
      </c>
      <c r="AL9" s="13" t="str">
        <f>IF(OR(E9="",Results!E12=""),"",IF(AND(E9=Results!E12,Results!E12&lt;&gt;Games!$C$99),1,0))</f>
        <v/>
      </c>
      <c r="AM9" s="13" t="str">
        <f>IF(OR(F9="",Results!F12=""),"",IF(AND(F9=Results!F12,Results!F12&lt;&gt;Games!$C$100),1,0))</f>
        <v/>
      </c>
      <c r="AN9" s="13" t="str">
        <f>IF(OR(G9="",Results!G12=""),"",IF(AND(G9=Results!G12,Results!G12&lt;&gt;Games!$C$101),1,0))</f>
        <v/>
      </c>
      <c r="AO9" s="13" t="str">
        <f>IF(OR(H9="",Results!H12=""),"",IF(AND(H9=Results!H12,Results!H12&lt;&gt;Games!$C$102),1,0))</f>
        <v/>
      </c>
      <c r="AP9" s="13" t="str">
        <f>IF(OR(I9="",Results!I12=""),"",IF(AND(I9=Results!I12,Results!I12&lt;&gt;Games!$C$103),1,0))</f>
        <v/>
      </c>
      <c r="AQ9" s="13" t="str">
        <f>IF(OR(J9="",Results!J12=""),"",IF(AND(J9=Results!J12,Results!J12&lt;&gt;Games!$C$104),1,0))</f>
        <v/>
      </c>
      <c r="AR9" s="13" t="str">
        <f>IF(OR(K9="",Results!K12=""),"",IF(AND(K9=Results!K12,Results!K12&lt;&gt;Games!$C$105),1,0))</f>
        <v/>
      </c>
      <c r="AS9" s="13" t="str">
        <f>IF(OR(L9="",Results!L12=""),"",IF(AND(L9=Results!L12,Results!L12&lt;&gt;Games!$C$106),1,0))</f>
        <v/>
      </c>
      <c r="AT9" s="13" t="str">
        <f>IF(OR(M9="",Results!M12=""),"",IF(AND(M9=Results!M12,Results!M12&lt;&gt;Games!$C$107),1,0))</f>
        <v/>
      </c>
      <c r="AU9" s="13" t="str">
        <f>IF(OR(N9="",Results!N12=""),"",IF(AND(N9=Results!N12,Results!N12&lt;&gt;Games!$C$108),1,0))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tr">
        <f>IF(OR(B10="",Results!B12=""),"",IF(B10=Results!B12,1+IF(OR($O10=1,$P10=1,$Q10=1),1,0),0))</f>
        <v/>
      </c>
      <c r="T10" s="4" t="str">
        <f>IF(OR(C10="",Results!C12=""),"",IF(C10=Results!C12,1+IF(OR($O10=2,$P10=2,$Q10=2),1,0),0))</f>
        <v/>
      </c>
      <c r="U10" s="4" t="str">
        <f>IF(OR(D10="",Results!D12=""),"",IF(D10=Results!D12,1+IF(OR($O10=3,$P10=3,$Q10=3),1,0),0))</f>
        <v/>
      </c>
      <c r="V10" s="4" t="str">
        <f>IF(OR(E10="",Results!E12=""),"",IF(E10=Results!E12,1+IF(OR($O10=4,$P10=4,$Q10=4),1,0),0))</f>
        <v/>
      </c>
      <c r="W10" s="4" t="str">
        <f>IF(OR(F10="",Results!F12=""),"",IF(F10=Results!F12,1+IF(OR($O10=5,$P10=5,$Q10=5),1,0),0))</f>
        <v/>
      </c>
      <c r="X10" s="4" t="str">
        <f>IF(OR(G10="",Results!G12=""),"",IF(G10=Results!G12,1+IF(OR($O10=6,$P10=6,$Q10=6),1,0),0))</f>
        <v/>
      </c>
      <c r="Y10" s="4" t="str">
        <f>IF(OR(H10="",Results!H12=""),"",IF(H10=Results!H12,1+IF(OR($O10=7,$P10=7,$Q10=7),1,0),0))</f>
        <v/>
      </c>
      <c r="Z10" s="4" t="str">
        <f>IF(OR(I10="",Results!I12=""),"",IF(I10=Results!I12,1+IF(OR($O10=8,$P10=8,$Q10=8),1,0),0))</f>
        <v/>
      </c>
      <c r="AA10" s="4" t="str">
        <f>IF(OR(J10="",Results!J12=""),"",IF(J10=Results!J12,1+IF(OR($O10=9,$P10=9,$Q10=9),1,0),0))</f>
        <v/>
      </c>
      <c r="AB10" s="4" t="str">
        <f>IF(OR(K10="",Results!K12=""),"",IF(K10=Results!K12,1+IF(OR($O10=10,$P10=10,$Q10=10),1,0),0))</f>
        <v/>
      </c>
      <c r="AC10" s="4" t="str">
        <f>IF(OR(L10="",Results!L12=""),"",IF(L10=Results!L12,1+IF(OR($O10=11,$P10=11,$Q10=11),1,0),0))</f>
        <v/>
      </c>
      <c r="AD10" s="4" t="str">
        <f>IF(OR(M10="",Results!M12=""),"",IF(M10=Results!M12,1+IF(OR($O10=12,$P10=12,$Q10=12),1,0),0))</f>
        <v/>
      </c>
      <c r="AE10" s="4" t="str">
        <f>IF(OR(N10="",Results!N12=""),"",IF(N10=Results!N12,1+IF(OR($O10=13,$P10=13,$Q10=13),1,0),0))</f>
        <v/>
      </c>
      <c r="AF10" s="11">
        <f t="shared" si="0"/>
        <v>0</v>
      </c>
      <c r="AG10" s="4" t="str">
        <f>IF(OR($R10="",Results!O12=""),"",ABS($R10-Results!O12))</f>
        <v/>
      </c>
      <c r="AH10" s="12">
        <v>3</v>
      </c>
      <c r="AI10" s="13" t="str">
        <f>IF(OR(B10="",Results!B12=""),"",IF(AND(B10=Results!B12,Results!B12&lt;&gt;Games!$C$96),1,0))</f>
        <v/>
      </c>
      <c r="AJ10" s="13" t="str">
        <f>IF(OR(C10="",Results!C12=""),"",IF(AND(C10=Results!C12,Results!C12&lt;&gt;Games!$C$97),1,0))</f>
        <v/>
      </c>
      <c r="AK10" s="13" t="str">
        <f>IF(OR(D10="",Results!D12=""),"",IF(AND(D10=Results!D12,Results!D12&lt;&gt;Games!$C$98),1,0))</f>
        <v/>
      </c>
      <c r="AL10" s="13" t="str">
        <f>IF(OR(E10="",Results!E12=""),"",IF(AND(E10=Results!E12,Results!E12&lt;&gt;Games!$C$99),1,0))</f>
        <v/>
      </c>
      <c r="AM10" s="13" t="str">
        <f>IF(OR(F10="",Results!F12=""),"",IF(AND(F10=Results!F12,Results!F12&lt;&gt;Games!$C$100),1,0))</f>
        <v/>
      </c>
      <c r="AN10" s="13" t="str">
        <f>IF(OR(G10="",Results!G12=""),"",IF(AND(G10=Results!G12,Results!G12&lt;&gt;Games!$C$101),1,0))</f>
        <v/>
      </c>
      <c r="AO10" s="13" t="str">
        <f>IF(OR(H10="",Results!H12=""),"",IF(AND(H10=Results!H12,Results!H12&lt;&gt;Games!$C$102),1,0))</f>
        <v/>
      </c>
      <c r="AP10" s="13" t="str">
        <f>IF(OR(I10="",Results!I12=""),"",IF(AND(I10=Results!I12,Results!I12&lt;&gt;Games!$C$103),1,0))</f>
        <v/>
      </c>
      <c r="AQ10" s="13" t="str">
        <f>IF(OR(J10="",Results!J12=""),"",IF(AND(J10=Results!J12,Results!J12&lt;&gt;Games!$C$104),1,0))</f>
        <v/>
      </c>
      <c r="AR10" s="13" t="str">
        <f>IF(OR(K10="",Results!K12=""),"",IF(AND(K10=Results!K12,Results!K12&lt;&gt;Games!$C$105),1,0))</f>
        <v/>
      </c>
      <c r="AS10" s="13" t="str">
        <f>IF(OR(L10="",Results!L12=""),"",IF(AND(L10=Results!L12,Results!L12&lt;&gt;Games!$C$106),1,0))</f>
        <v/>
      </c>
      <c r="AT10" s="13" t="str">
        <f>IF(OR(M10="",Results!M12=""),"",IF(AND(M10=Results!M12,Results!M12&lt;&gt;Games!$C$107),1,0))</f>
        <v/>
      </c>
      <c r="AU10" s="13" t="str">
        <f>IF(OR(N10="",Results!N12=""),"",IF(AND(N10=Results!N12,Results!N12&lt;&gt;Games!$C$108),1,0))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IF(OR(B11="",Results!B12=""),"",IF(B11=Results!B12,1+IF(OR($O11=1,$P11=1,$Q11=1),1,0),0))</f>
        <v/>
      </c>
      <c r="T11" s="4" t="str">
        <f>IF(OR(C11="",Results!C12=""),"",IF(C11=Results!C12,1+IF(OR($O11=2,$P11=2,$Q11=2),1,0),0))</f>
        <v/>
      </c>
      <c r="U11" s="4" t="str">
        <f>IF(OR(D11="",Results!D12=""),"",IF(D11=Results!D12,1+IF(OR($O11=3,$P11=3,$Q11=3),1,0),0))</f>
        <v/>
      </c>
      <c r="V11" s="4" t="str">
        <f>IF(OR(E11="",Results!E12=""),"",IF(E11=Results!E12,1+IF(OR($O11=4,$P11=4,$Q11=4),1,0),0))</f>
        <v/>
      </c>
      <c r="W11" s="4" t="str">
        <f>IF(OR(F11="",Results!F12=""),"",IF(F11=Results!F12,1+IF(OR($O11=5,$P11=5,$Q11=5),1,0),0))</f>
        <v/>
      </c>
      <c r="X11" s="4" t="str">
        <f>IF(OR(G11="",Results!G12=""),"",IF(G11=Results!G12,1+IF(OR($O11=6,$P11=6,$Q11=6),1,0),0))</f>
        <v/>
      </c>
      <c r="Y11" s="4" t="str">
        <f>IF(OR(H11="",Results!H12=""),"",IF(H11=Results!H12,1+IF(OR($O11=7,$P11=7,$Q11=7),1,0),0))</f>
        <v/>
      </c>
      <c r="Z11" s="4" t="str">
        <f>IF(OR(I11="",Results!I12=""),"",IF(I11=Results!I12,1+IF(OR($O11=8,$P11=8,$Q11=8),1,0),0))</f>
        <v/>
      </c>
      <c r="AA11" s="4" t="str">
        <f>IF(OR(J11="",Results!J12=""),"",IF(J11=Results!J12,1+IF(OR($O11=9,$P11=9,$Q11=9),1,0),0))</f>
        <v/>
      </c>
      <c r="AB11" s="4" t="str">
        <f>IF(OR(K11="",Results!K12=""),"",IF(K11=Results!K12,1+IF(OR($O11=10,$P11=10,$Q11=10),1,0),0))</f>
        <v/>
      </c>
      <c r="AC11" s="4" t="str">
        <f>IF(OR(L11="",Results!L12=""),"",IF(L11=Results!L12,1+IF(OR($O11=11,$P11=11,$Q11=11),1,0),0))</f>
        <v/>
      </c>
      <c r="AD11" s="4" t="str">
        <f>IF(OR(M11="",Results!M12=""),"",IF(M11=Results!M12,1+IF(OR($O11=12,$P11=12,$Q11=12),1,0),0))</f>
        <v/>
      </c>
      <c r="AE11" s="4" t="str">
        <f>IF(OR(N11="",Results!N12=""),"",IF(N11=Results!N12,1+IF(OR($O11=13,$P11=13,$Q11=13),1,0),0))</f>
        <v/>
      </c>
      <c r="AF11" s="11">
        <f t="shared" si="0"/>
        <v>0</v>
      </c>
      <c r="AG11" s="4" t="str">
        <f>IF(OR($R11="",Results!O12=""),"",ABS($R11-Results!O12))</f>
        <v/>
      </c>
      <c r="AH11" s="12">
        <v>58</v>
      </c>
      <c r="AI11" s="13" t="str">
        <f>IF(OR(B11="",Results!B12=""),"",IF(AND(B11=Results!B12,Results!B12&lt;&gt;Games!$C$96),1,0))</f>
        <v/>
      </c>
      <c r="AJ11" s="13" t="str">
        <f>IF(OR(C11="",Results!C12=""),"",IF(AND(C11=Results!C12,Results!C12&lt;&gt;Games!$C$97),1,0))</f>
        <v/>
      </c>
      <c r="AK11" s="13" t="str">
        <f>IF(OR(D11="",Results!D12=""),"",IF(AND(D11=Results!D12,Results!D12&lt;&gt;Games!$C$98),1,0))</f>
        <v/>
      </c>
      <c r="AL11" s="13" t="str">
        <f>IF(OR(E11="",Results!E12=""),"",IF(AND(E11=Results!E12,Results!E12&lt;&gt;Games!$C$99),1,0))</f>
        <v/>
      </c>
      <c r="AM11" s="13" t="str">
        <f>IF(OR(F11="",Results!F12=""),"",IF(AND(F11=Results!F12,Results!F12&lt;&gt;Games!$C$100),1,0))</f>
        <v/>
      </c>
      <c r="AN11" s="13" t="str">
        <f>IF(OR(G11="",Results!G12=""),"",IF(AND(G11=Results!G12,Results!G12&lt;&gt;Games!$C$101),1,0))</f>
        <v/>
      </c>
      <c r="AO11" s="13" t="str">
        <f>IF(OR(H11="",Results!H12=""),"",IF(AND(H11=Results!H12,Results!H12&lt;&gt;Games!$C$102),1,0))</f>
        <v/>
      </c>
      <c r="AP11" s="13" t="str">
        <f>IF(OR(I11="",Results!I12=""),"",IF(AND(I11=Results!I12,Results!I12&lt;&gt;Games!$C$103),1,0))</f>
        <v/>
      </c>
      <c r="AQ11" s="13" t="str">
        <f>IF(OR(J11="",Results!J12=""),"",IF(AND(J11=Results!J12,Results!J12&lt;&gt;Games!$C$104),1,0))</f>
        <v/>
      </c>
      <c r="AR11" s="13" t="str">
        <f>IF(OR(K11="",Results!K12=""),"",IF(AND(K11=Results!K12,Results!K12&lt;&gt;Games!$C$105),1,0))</f>
        <v/>
      </c>
      <c r="AS11" s="13" t="str">
        <f>IF(OR(L11="",Results!L12=""),"",IF(AND(L11=Results!L12,Results!L12&lt;&gt;Games!$C$106),1,0))</f>
        <v/>
      </c>
      <c r="AT11" s="13" t="str">
        <f>IF(OR(M11="",Results!M12=""),"",IF(AND(M11=Results!M12,Results!M12&lt;&gt;Games!$C$107),1,0))</f>
        <v/>
      </c>
      <c r="AU11" s="13" t="str">
        <f>IF(OR(N11="",Results!N12=""),"",IF(AND(N11=Results!N12,Results!N12&lt;&gt;Games!$C$108),1,0))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 t="str">
        <f>IF(OR(B12="",Results!B12=""),"",IF(B12=Results!B12,1+IF(OR($O12=1,$P12=1,$Q12=1),1,0),0))</f>
        <v/>
      </c>
      <c r="T12" s="4" t="str">
        <f>IF(OR(C12="",Results!C12=""),"",IF(C12=Results!C12,1+IF(OR($O12=2,$P12=2,$Q12=2),1,0),0))</f>
        <v/>
      </c>
      <c r="U12" s="4" t="str">
        <f>IF(OR(D12="",Results!D12=""),"",IF(D12=Results!D12,1+IF(OR($O12=3,$P12=3,$Q12=3),1,0),0))</f>
        <v/>
      </c>
      <c r="V12" s="4" t="str">
        <f>IF(OR(E12="",Results!E12=""),"",IF(E12=Results!E12,1+IF(OR($O12=4,$P12=4,$Q12=4),1,0),0))</f>
        <v/>
      </c>
      <c r="W12" s="4" t="str">
        <f>IF(OR(F12="",Results!F12=""),"",IF(F12=Results!F12,1+IF(OR($O12=5,$P12=5,$Q12=5),1,0),0))</f>
        <v/>
      </c>
      <c r="X12" s="4" t="str">
        <f>IF(OR(G12="",Results!G12=""),"",IF(G12=Results!G12,1+IF(OR($O12=6,$P12=6,$Q12=6),1,0),0))</f>
        <v/>
      </c>
      <c r="Y12" s="4" t="str">
        <f>IF(OR(H12="",Results!H12=""),"",IF(H12=Results!H12,1+IF(OR($O12=7,$P12=7,$Q12=7),1,0),0))</f>
        <v/>
      </c>
      <c r="Z12" s="4" t="str">
        <f>IF(OR(I12="",Results!I12=""),"",IF(I12=Results!I12,1+IF(OR($O12=8,$P12=8,$Q12=8),1,0),0))</f>
        <v/>
      </c>
      <c r="AA12" s="4" t="str">
        <f>IF(OR(J12="",Results!J12=""),"",IF(J12=Results!J12,1+IF(OR($O12=9,$P12=9,$Q12=9),1,0),0))</f>
        <v/>
      </c>
      <c r="AB12" s="4" t="str">
        <f>IF(OR(K12="",Results!K12=""),"",IF(K12=Results!K12,1+IF(OR($O12=10,$P12=10,$Q12=10),1,0),0))</f>
        <v/>
      </c>
      <c r="AC12" s="4" t="str">
        <f>IF(OR(L12="",Results!L12=""),"",IF(L12=Results!L12,1+IF(OR($O12=11,$P12=11,$Q12=11),1,0),0))</f>
        <v/>
      </c>
      <c r="AD12" s="4" t="str">
        <f>IF(OR(M12="",Results!M12=""),"",IF(M12=Results!M12,1+IF(OR($O12=12,$P12=12,$Q12=12),1,0),0))</f>
        <v/>
      </c>
      <c r="AE12" s="4" t="str">
        <f>IF(OR(N12="",Results!N12=""),"",IF(N12=Results!N12,1+IF(OR($O12=13,$P12=13,$Q12=13),1,0),0))</f>
        <v/>
      </c>
      <c r="AF12" s="11">
        <f t="shared" si="0"/>
        <v>0</v>
      </c>
      <c r="AG12" s="4" t="str">
        <f>IF(OR($R12="",Results!O12=""),"",ABS($R12-Results!O12))</f>
        <v/>
      </c>
      <c r="AH12" s="12">
        <v>4</v>
      </c>
      <c r="AI12" s="13" t="str">
        <f>IF(OR(B12="",Results!B12=""),"",IF(AND(B12=Results!B12,Results!B12&lt;&gt;Games!$C$96),1,0))</f>
        <v/>
      </c>
      <c r="AJ12" s="13" t="str">
        <f>IF(OR(C12="",Results!C12=""),"",IF(AND(C12=Results!C12,Results!C12&lt;&gt;Games!$C$97),1,0))</f>
        <v/>
      </c>
      <c r="AK12" s="13" t="str">
        <f>IF(OR(D12="",Results!D12=""),"",IF(AND(D12=Results!D12,Results!D12&lt;&gt;Games!$C$98),1,0))</f>
        <v/>
      </c>
      <c r="AL12" s="13" t="str">
        <f>IF(OR(E12="",Results!E12=""),"",IF(AND(E12=Results!E12,Results!E12&lt;&gt;Games!$C$99),1,0))</f>
        <v/>
      </c>
      <c r="AM12" s="13" t="str">
        <f>IF(OR(F12="",Results!F12=""),"",IF(AND(F12=Results!F12,Results!F12&lt;&gt;Games!$C$100),1,0))</f>
        <v/>
      </c>
      <c r="AN12" s="13" t="str">
        <f>IF(OR(G12="",Results!G12=""),"",IF(AND(G12=Results!G12,Results!G12&lt;&gt;Games!$C$101),1,0))</f>
        <v/>
      </c>
      <c r="AO12" s="13" t="str">
        <f>IF(OR(H12="",Results!H12=""),"",IF(AND(H12=Results!H12,Results!H12&lt;&gt;Games!$C$102),1,0))</f>
        <v/>
      </c>
      <c r="AP12" s="13" t="str">
        <f>IF(OR(I12="",Results!I12=""),"",IF(AND(I12=Results!I12,Results!I12&lt;&gt;Games!$C$103),1,0))</f>
        <v/>
      </c>
      <c r="AQ12" s="13" t="str">
        <f>IF(OR(J12="",Results!J12=""),"",IF(AND(J12=Results!J12,Results!J12&lt;&gt;Games!$C$104),1,0))</f>
        <v/>
      </c>
      <c r="AR12" s="13" t="str">
        <f>IF(OR(K12="",Results!K12=""),"",IF(AND(K12=Results!K12,Results!K12&lt;&gt;Games!$C$105),1,0))</f>
        <v/>
      </c>
      <c r="AS12" s="13" t="str">
        <f>IF(OR(L12="",Results!L12=""),"",IF(AND(L12=Results!L12,Results!L12&lt;&gt;Games!$C$106),1,0))</f>
        <v/>
      </c>
      <c r="AT12" s="13" t="str">
        <f>IF(OR(M12="",Results!M12=""),"",IF(AND(M12=Results!M12,Results!M12&lt;&gt;Games!$C$107),1,0))</f>
        <v/>
      </c>
      <c r="AU12" s="13" t="str">
        <f>IF(OR(N12="",Results!N12=""),"",IF(AND(N12=Results!N12,Results!N12&lt;&gt;Games!$C$108),1,0))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IF(OR(B13="",Results!B12=""),"",IF(B13=Results!B12,1+IF(OR($O13=1,$P13=1,$Q13=1),1,0),0))</f>
        <v/>
      </c>
      <c r="T13" s="4" t="str">
        <f>IF(OR(C13="",Results!C12=""),"",IF(C13=Results!C12,1+IF(OR($O13=2,$P13=2,$Q13=2),1,0),0))</f>
        <v/>
      </c>
      <c r="U13" s="4" t="str">
        <f>IF(OR(D13="",Results!D12=""),"",IF(D13=Results!D12,1+IF(OR($O13=3,$P13=3,$Q13=3),1,0),0))</f>
        <v/>
      </c>
      <c r="V13" s="4" t="str">
        <f>IF(OR(E13="",Results!E12=""),"",IF(E13=Results!E12,1+IF(OR($O13=4,$P13=4,$Q13=4),1,0),0))</f>
        <v/>
      </c>
      <c r="W13" s="4" t="str">
        <f>IF(OR(F13="",Results!F12=""),"",IF(F13=Results!F12,1+IF(OR($O13=5,$P13=5,$Q13=5),1,0),0))</f>
        <v/>
      </c>
      <c r="X13" s="4" t="str">
        <f>IF(OR(G13="",Results!G12=""),"",IF(G13=Results!G12,1+IF(OR($O13=6,$P13=6,$Q13=6),1,0),0))</f>
        <v/>
      </c>
      <c r="Y13" s="4" t="str">
        <f>IF(OR(H13="",Results!H12=""),"",IF(H13=Results!H12,1+IF(OR($O13=7,$P13=7,$Q13=7),1,0),0))</f>
        <v/>
      </c>
      <c r="Z13" s="4" t="str">
        <f>IF(OR(I13="",Results!I12=""),"",IF(I13=Results!I12,1+IF(OR($O13=8,$P13=8,$Q13=8),1,0),0))</f>
        <v/>
      </c>
      <c r="AA13" s="4" t="str">
        <f>IF(OR(J13="",Results!J12=""),"",IF(J13=Results!J12,1+IF(OR($O13=9,$P13=9,$Q13=9),1,0),0))</f>
        <v/>
      </c>
      <c r="AB13" s="4" t="str">
        <f>IF(OR(K13="",Results!K12=""),"",IF(K13=Results!K12,1+IF(OR($O13=10,$P13=10,$Q13=10),1,0),0))</f>
        <v/>
      </c>
      <c r="AC13" s="4" t="str">
        <f>IF(OR(L13="",Results!L12=""),"",IF(L13=Results!L12,1+IF(OR($O13=11,$P13=11,$Q13=11),1,0),0))</f>
        <v/>
      </c>
      <c r="AD13" s="4" t="str">
        <f>IF(OR(M13="",Results!M12=""),"",IF(M13=Results!M12,1+IF(OR($O13=12,$P13=12,$Q13=12),1,0),0))</f>
        <v/>
      </c>
      <c r="AE13" s="4" t="str">
        <f>IF(OR(N13="",Results!N12=""),"",IF(N13=Results!N12,1+IF(OR($O13=13,$P13=13,$Q13=13),1,0),0))</f>
        <v/>
      </c>
      <c r="AF13" s="11">
        <f t="shared" si="0"/>
        <v>0</v>
      </c>
      <c r="AG13" s="4" t="str">
        <f>IF(OR($R13="",Results!O12=""),"",ABS($R13-Results!O12))</f>
        <v/>
      </c>
      <c r="AH13" s="12">
        <v>57</v>
      </c>
      <c r="AI13" s="13" t="str">
        <f>IF(OR(B13="",Results!B12=""),"",IF(AND(B13=Results!B12,Results!B12&lt;&gt;Games!$C$96),1,0))</f>
        <v/>
      </c>
      <c r="AJ13" s="13" t="str">
        <f>IF(OR(C13="",Results!C12=""),"",IF(AND(C13=Results!C12,Results!C12&lt;&gt;Games!$C$97),1,0))</f>
        <v/>
      </c>
      <c r="AK13" s="13" t="str">
        <f>IF(OR(D13="",Results!D12=""),"",IF(AND(D13=Results!D12,Results!D12&lt;&gt;Games!$C$98),1,0))</f>
        <v/>
      </c>
      <c r="AL13" s="13" t="str">
        <f>IF(OR(E13="",Results!E12=""),"",IF(AND(E13=Results!E12,Results!E12&lt;&gt;Games!$C$99),1,0))</f>
        <v/>
      </c>
      <c r="AM13" s="13" t="str">
        <f>IF(OR(F13="",Results!F12=""),"",IF(AND(F13=Results!F12,Results!F12&lt;&gt;Games!$C$100),1,0))</f>
        <v/>
      </c>
      <c r="AN13" s="13" t="str">
        <f>IF(OR(G13="",Results!G12=""),"",IF(AND(G13=Results!G12,Results!G12&lt;&gt;Games!$C$101),1,0))</f>
        <v/>
      </c>
      <c r="AO13" s="13" t="str">
        <f>IF(OR(H13="",Results!H12=""),"",IF(AND(H13=Results!H12,Results!H12&lt;&gt;Games!$C$102),1,0))</f>
        <v/>
      </c>
      <c r="AP13" s="13" t="str">
        <f>IF(OR(I13="",Results!I12=""),"",IF(AND(I13=Results!I12,Results!I12&lt;&gt;Games!$C$103),1,0))</f>
        <v/>
      </c>
      <c r="AQ13" s="13" t="str">
        <f>IF(OR(J13="",Results!J12=""),"",IF(AND(J13=Results!J12,Results!J12&lt;&gt;Games!$C$104),1,0))</f>
        <v/>
      </c>
      <c r="AR13" s="13" t="str">
        <f>IF(OR(K13="",Results!K12=""),"",IF(AND(K13=Results!K12,Results!K12&lt;&gt;Games!$C$105),1,0))</f>
        <v/>
      </c>
      <c r="AS13" s="13" t="str">
        <f>IF(OR(L13="",Results!L12=""),"",IF(AND(L13=Results!L12,Results!L12&lt;&gt;Games!$C$106),1,0))</f>
        <v/>
      </c>
      <c r="AT13" s="13" t="str">
        <f>IF(OR(M13="",Results!M12=""),"",IF(AND(M13=Results!M12,Results!M12&lt;&gt;Games!$C$107),1,0))</f>
        <v/>
      </c>
      <c r="AU13" s="13" t="str">
        <f>IF(OR(N13="",Results!N12=""),"",IF(AND(N13=Results!N12,Results!N12&lt;&gt;Games!$C$108),1,0))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 t="str">
        <f>IF(OR(B14="",Results!B12=""),"",IF(B14=Results!B12,1+IF(OR($O14=1,$P14=1,$Q14=1),1,0),0))</f>
        <v/>
      </c>
      <c r="T14" s="4" t="str">
        <f>IF(OR(C14="",Results!C12=""),"",IF(C14=Results!C12,1+IF(OR($O14=2,$P14=2,$Q14=2),1,0),0))</f>
        <v/>
      </c>
      <c r="U14" s="4" t="str">
        <f>IF(OR(D14="",Results!D12=""),"",IF(D14=Results!D12,1+IF(OR($O14=3,$P14=3,$Q14=3),1,0),0))</f>
        <v/>
      </c>
      <c r="V14" s="4" t="str">
        <f>IF(OR(E14="",Results!E12=""),"",IF(E14=Results!E12,1+IF(OR($O14=4,$P14=4,$Q14=4),1,0),0))</f>
        <v/>
      </c>
      <c r="W14" s="4" t="str">
        <f>IF(OR(F14="",Results!F12=""),"",IF(F14=Results!F12,1+IF(OR($O14=5,$P14=5,$Q14=5),1,0),0))</f>
        <v/>
      </c>
      <c r="X14" s="4" t="str">
        <f>IF(OR(G14="",Results!G12=""),"",IF(G14=Results!G12,1+IF(OR($O14=6,$P14=6,$Q14=6),1,0),0))</f>
        <v/>
      </c>
      <c r="Y14" s="4" t="str">
        <f>IF(OR(H14="",Results!H12=""),"",IF(H14=Results!H12,1+IF(OR($O14=7,$P14=7,$Q14=7),1,0),0))</f>
        <v/>
      </c>
      <c r="Z14" s="4" t="str">
        <f>IF(OR(I14="",Results!I12=""),"",IF(I14=Results!I12,1+IF(OR($O14=8,$P14=8,$Q14=8),1,0),0))</f>
        <v/>
      </c>
      <c r="AA14" s="4" t="str">
        <f>IF(OR(J14="",Results!J12=""),"",IF(J14=Results!J12,1+IF(OR($O14=9,$P14=9,$Q14=9),1,0),0))</f>
        <v/>
      </c>
      <c r="AB14" s="4" t="str">
        <f>IF(OR(K14="",Results!K12=""),"",IF(K14=Results!K12,1+IF(OR($O14=10,$P14=10,$Q14=10),1,0),0))</f>
        <v/>
      </c>
      <c r="AC14" s="4" t="str">
        <f>IF(OR(L14="",Results!L12=""),"",IF(L14=Results!L12,1+IF(OR($O14=11,$P14=11,$Q14=11),1,0),0))</f>
        <v/>
      </c>
      <c r="AD14" s="4" t="str">
        <f>IF(OR(M14="",Results!M12=""),"",IF(M14=Results!M12,1+IF(OR($O14=12,$P14=12,$Q14=12),1,0),0))</f>
        <v/>
      </c>
      <c r="AE14" s="4" t="str">
        <f>IF(OR(N14="",Results!N12=""),"",IF(N14=Results!N12,1+IF(OR($O14=13,$P14=13,$Q14=13),1,0),0))</f>
        <v/>
      </c>
      <c r="AF14" s="11">
        <f t="shared" si="0"/>
        <v>0</v>
      </c>
      <c r="AG14" s="4" t="str">
        <f>IF(OR($R14="",Results!O12=""),"",ABS($R14-Results!O12))</f>
        <v/>
      </c>
      <c r="AH14" s="12">
        <v>6</v>
      </c>
      <c r="AI14" s="13" t="str">
        <f>IF(OR(B14="",Results!B12=""),"",IF(AND(B14=Results!B12,Results!B12&lt;&gt;Games!$C$96),1,0))</f>
        <v/>
      </c>
      <c r="AJ14" s="13" t="str">
        <f>IF(OR(C14="",Results!C12=""),"",IF(AND(C14=Results!C12,Results!C12&lt;&gt;Games!$C$97),1,0))</f>
        <v/>
      </c>
      <c r="AK14" s="13" t="str">
        <f>IF(OR(D14="",Results!D12=""),"",IF(AND(D14=Results!D12,Results!D12&lt;&gt;Games!$C$98),1,0))</f>
        <v/>
      </c>
      <c r="AL14" s="13" t="str">
        <f>IF(OR(E14="",Results!E12=""),"",IF(AND(E14=Results!E12,Results!E12&lt;&gt;Games!$C$99),1,0))</f>
        <v/>
      </c>
      <c r="AM14" s="13" t="str">
        <f>IF(OR(F14="",Results!F12=""),"",IF(AND(F14=Results!F12,Results!F12&lt;&gt;Games!$C$100),1,0))</f>
        <v/>
      </c>
      <c r="AN14" s="13" t="str">
        <f>IF(OR(G14="",Results!G12=""),"",IF(AND(G14=Results!G12,Results!G12&lt;&gt;Games!$C$101),1,0))</f>
        <v/>
      </c>
      <c r="AO14" s="13" t="str">
        <f>IF(OR(H14="",Results!H12=""),"",IF(AND(H14=Results!H12,Results!H12&lt;&gt;Games!$C$102),1,0))</f>
        <v/>
      </c>
      <c r="AP14" s="13" t="str">
        <f>IF(OR(I14="",Results!I12=""),"",IF(AND(I14=Results!I12,Results!I12&lt;&gt;Games!$C$103),1,0))</f>
        <v/>
      </c>
      <c r="AQ14" s="13" t="str">
        <f>IF(OR(J14="",Results!J12=""),"",IF(AND(J14=Results!J12,Results!J12&lt;&gt;Games!$C$104),1,0))</f>
        <v/>
      </c>
      <c r="AR14" s="13" t="str">
        <f>IF(OR(K14="",Results!K12=""),"",IF(AND(K14=Results!K12,Results!K12&lt;&gt;Games!$C$105),1,0))</f>
        <v/>
      </c>
      <c r="AS14" s="13" t="str">
        <f>IF(OR(L14="",Results!L12=""),"",IF(AND(L14=Results!L12,Results!L12&lt;&gt;Games!$C$106),1,0))</f>
        <v/>
      </c>
      <c r="AT14" s="13" t="str">
        <f>IF(OR(M14="",Results!M12=""),"",IF(AND(M14=Results!M12,Results!M12&lt;&gt;Games!$C$107),1,0))</f>
        <v/>
      </c>
      <c r="AU14" s="13" t="str">
        <f>IF(OR(N14="",Results!N12=""),"",IF(AND(N14=Results!N12,Results!N12&lt;&gt;Games!$C$108),1,0))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IF(OR(B15="",Results!B12=""),"",IF(B15=Results!B12,1+IF(OR($O15=1,$P15=1,$Q15=1),1,0),0))</f>
        <v/>
      </c>
      <c r="T15" s="4" t="str">
        <f>IF(OR(C15="",Results!C12=""),"",IF(C15=Results!C12,1+IF(OR($O15=2,$P15=2,$Q15=2),1,0),0))</f>
        <v/>
      </c>
      <c r="U15" s="4" t="str">
        <f>IF(OR(D15="",Results!D12=""),"",IF(D15=Results!D12,1+IF(OR($O15=3,$P15=3,$Q15=3),1,0),0))</f>
        <v/>
      </c>
      <c r="V15" s="4" t="str">
        <f>IF(OR(E15="",Results!E12=""),"",IF(E15=Results!E12,1+IF(OR($O15=4,$P15=4,$Q15=4),1,0),0))</f>
        <v/>
      </c>
      <c r="W15" s="4" t="str">
        <f>IF(OR(F15="",Results!F12=""),"",IF(F15=Results!F12,1+IF(OR($O15=5,$P15=5,$Q15=5),1,0),0))</f>
        <v/>
      </c>
      <c r="X15" s="4" t="str">
        <f>IF(OR(G15="",Results!G12=""),"",IF(G15=Results!G12,1+IF(OR($O15=6,$P15=6,$Q15=6),1,0),0))</f>
        <v/>
      </c>
      <c r="Y15" s="4" t="str">
        <f>IF(OR(H15="",Results!H12=""),"",IF(H15=Results!H12,1+IF(OR($O15=7,$P15=7,$Q15=7),1,0),0))</f>
        <v/>
      </c>
      <c r="Z15" s="4" t="str">
        <f>IF(OR(I15="",Results!I12=""),"",IF(I15=Results!I12,1+IF(OR($O15=8,$P15=8,$Q15=8),1,0),0))</f>
        <v/>
      </c>
      <c r="AA15" s="4" t="str">
        <f>IF(OR(J15="",Results!J12=""),"",IF(J15=Results!J12,1+IF(OR($O15=9,$P15=9,$Q15=9),1,0),0))</f>
        <v/>
      </c>
      <c r="AB15" s="4" t="str">
        <f>IF(OR(K15="",Results!K12=""),"",IF(K15=Results!K12,1+IF(OR($O15=10,$P15=10,$Q15=10),1,0),0))</f>
        <v/>
      </c>
      <c r="AC15" s="4" t="str">
        <f>IF(OR(L15="",Results!L12=""),"",IF(L15=Results!L12,1+IF(OR($O15=11,$P15=11,$Q15=11),1,0),0))</f>
        <v/>
      </c>
      <c r="AD15" s="4" t="str">
        <f>IF(OR(M15="",Results!M12=""),"",IF(M15=Results!M12,1+IF(OR($O15=12,$P15=12,$Q15=12),1,0),0))</f>
        <v/>
      </c>
      <c r="AE15" s="4" t="str">
        <f>IF(OR(N15="",Results!N12=""),"",IF(N15=Results!N12,1+IF(OR($O15=13,$P15=13,$Q15=13),1,0),0))</f>
        <v/>
      </c>
      <c r="AF15" s="11">
        <f t="shared" si="0"/>
        <v>0</v>
      </c>
      <c r="AG15" s="4" t="str">
        <f>IF(OR($R15="",Results!O12=""),"",ABS($R15-Results!O12))</f>
        <v/>
      </c>
      <c r="AH15" s="12">
        <v>5</v>
      </c>
      <c r="AI15" s="13" t="str">
        <f>IF(OR(B15="",Results!B12=""),"",IF(AND(B15=Results!B12,Results!B12&lt;&gt;Games!$C$96),1,0))</f>
        <v/>
      </c>
      <c r="AJ15" s="13" t="str">
        <f>IF(OR(C15="",Results!C12=""),"",IF(AND(C15=Results!C12,Results!C12&lt;&gt;Games!$C$97),1,0))</f>
        <v/>
      </c>
      <c r="AK15" s="13" t="str">
        <f>IF(OR(D15="",Results!D12=""),"",IF(AND(D15=Results!D12,Results!D12&lt;&gt;Games!$C$98),1,0))</f>
        <v/>
      </c>
      <c r="AL15" s="13" t="str">
        <f>IF(OR(E15="",Results!E12=""),"",IF(AND(E15=Results!E12,Results!E12&lt;&gt;Games!$C$99),1,0))</f>
        <v/>
      </c>
      <c r="AM15" s="13" t="str">
        <f>IF(OR(F15="",Results!F12=""),"",IF(AND(F15=Results!F12,Results!F12&lt;&gt;Games!$C$100),1,0))</f>
        <v/>
      </c>
      <c r="AN15" s="13" t="str">
        <f>IF(OR(G15="",Results!G12=""),"",IF(AND(G15=Results!G12,Results!G12&lt;&gt;Games!$C$101),1,0))</f>
        <v/>
      </c>
      <c r="AO15" s="13" t="str">
        <f>IF(OR(H15="",Results!H12=""),"",IF(AND(H15=Results!H12,Results!H12&lt;&gt;Games!$C$102),1,0))</f>
        <v/>
      </c>
      <c r="AP15" s="13" t="str">
        <f>IF(OR(I15="",Results!I12=""),"",IF(AND(I15=Results!I12,Results!I12&lt;&gt;Games!$C$103),1,0))</f>
        <v/>
      </c>
      <c r="AQ15" s="13" t="str">
        <f>IF(OR(J15="",Results!J12=""),"",IF(AND(J15=Results!J12,Results!J12&lt;&gt;Games!$C$104),1,0))</f>
        <v/>
      </c>
      <c r="AR15" s="13" t="str">
        <f>IF(OR(K15="",Results!K12=""),"",IF(AND(K15=Results!K12,Results!K12&lt;&gt;Games!$C$105),1,0))</f>
        <v/>
      </c>
      <c r="AS15" s="13" t="str">
        <f>IF(OR(L15="",Results!L12=""),"",IF(AND(L15=Results!L12,Results!L12&lt;&gt;Games!$C$106),1,0))</f>
        <v/>
      </c>
      <c r="AT15" s="13" t="str">
        <f>IF(OR(M15="",Results!M12=""),"",IF(AND(M15=Results!M12,Results!M12&lt;&gt;Games!$C$107),1,0))</f>
        <v/>
      </c>
      <c r="AU15" s="13" t="str">
        <f>IF(OR(N15="",Results!N12=""),"",IF(AND(N15=Results!N12,Results!N12&lt;&gt;Games!$C$108),1,0))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tr">
        <f>IF(OR(B16="",Results!B12=""),"",IF(B16=Results!B12,1+IF(OR($O16=1,$P16=1,$Q16=1),1,0),0))</f>
        <v/>
      </c>
      <c r="T16" s="4" t="str">
        <f>IF(OR(C16="",Results!C12=""),"",IF(C16=Results!C12,1+IF(OR($O16=2,$P16=2,$Q16=2),1,0),0))</f>
        <v/>
      </c>
      <c r="U16" s="4" t="str">
        <f>IF(OR(D16="",Results!D12=""),"",IF(D16=Results!D12,1+IF(OR($O16=3,$P16=3,$Q16=3),1,0),0))</f>
        <v/>
      </c>
      <c r="V16" s="4" t="str">
        <f>IF(OR(E16="",Results!E12=""),"",IF(E16=Results!E12,1+IF(OR($O16=4,$P16=4,$Q16=4),1,0),0))</f>
        <v/>
      </c>
      <c r="W16" s="4" t="str">
        <f>IF(OR(F16="",Results!F12=""),"",IF(F16=Results!F12,1+IF(OR($O16=5,$P16=5,$Q16=5),1,0),0))</f>
        <v/>
      </c>
      <c r="X16" s="4" t="str">
        <f>IF(OR(G16="",Results!G12=""),"",IF(G16=Results!G12,1+IF(OR($O16=6,$P16=6,$Q16=6),1,0),0))</f>
        <v/>
      </c>
      <c r="Y16" s="4" t="str">
        <f>IF(OR(H16="",Results!H12=""),"",IF(H16=Results!H12,1+IF(OR($O16=7,$P16=7,$Q16=7),1,0),0))</f>
        <v/>
      </c>
      <c r="Z16" s="4" t="str">
        <f>IF(OR(I16="",Results!I12=""),"",IF(I16=Results!I12,1+IF(OR($O16=8,$P16=8,$Q16=8),1,0),0))</f>
        <v/>
      </c>
      <c r="AA16" s="4" t="str">
        <f>IF(OR(J16="",Results!J12=""),"",IF(J16=Results!J12,1+IF(OR($O16=9,$P16=9,$Q16=9),1,0),0))</f>
        <v/>
      </c>
      <c r="AB16" s="4" t="str">
        <f>IF(OR(K16="",Results!K12=""),"",IF(K16=Results!K12,1+IF(OR($O16=10,$P16=10,$Q16=10),1,0),0))</f>
        <v/>
      </c>
      <c r="AC16" s="4" t="str">
        <f>IF(OR(L16="",Results!L12=""),"",IF(L16=Results!L12,1+IF(OR($O16=11,$P16=11,$Q16=11),1,0),0))</f>
        <v/>
      </c>
      <c r="AD16" s="4" t="str">
        <f>IF(OR(M16="",Results!M12=""),"",IF(M16=Results!M12,1+IF(OR($O16=12,$P16=12,$Q16=12),1,0),0))</f>
        <v/>
      </c>
      <c r="AE16" s="4" t="str">
        <f>IF(OR(N16="",Results!N12=""),"",IF(N16=Results!N12,1+IF(OR($O16=13,$P16=13,$Q16=13),1,0),0))</f>
        <v/>
      </c>
      <c r="AF16" s="11">
        <f t="shared" si="0"/>
        <v>0</v>
      </c>
      <c r="AG16" s="4" t="str">
        <f>IF(OR($R16="",Results!O12=""),"",ABS($R16-Results!O12))</f>
        <v/>
      </c>
      <c r="AH16" s="12">
        <v>8</v>
      </c>
      <c r="AI16" s="13" t="str">
        <f>IF(OR(B16="",Results!B12=""),"",IF(AND(B16=Results!B12,Results!B12&lt;&gt;Games!$C$96),1,0))</f>
        <v/>
      </c>
      <c r="AJ16" s="13" t="str">
        <f>IF(OR(C16="",Results!C12=""),"",IF(AND(C16=Results!C12,Results!C12&lt;&gt;Games!$C$97),1,0))</f>
        <v/>
      </c>
      <c r="AK16" s="13" t="str">
        <f>IF(OR(D16="",Results!D12=""),"",IF(AND(D16=Results!D12,Results!D12&lt;&gt;Games!$C$98),1,0))</f>
        <v/>
      </c>
      <c r="AL16" s="13" t="str">
        <f>IF(OR(E16="",Results!E12=""),"",IF(AND(E16=Results!E12,Results!E12&lt;&gt;Games!$C$99),1,0))</f>
        <v/>
      </c>
      <c r="AM16" s="13" t="str">
        <f>IF(OR(F16="",Results!F12=""),"",IF(AND(F16=Results!F12,Results!F12&lt;&gt;Games!$C$100),1,0))</f>
        <v/>
      </c>
      <c r="AN16" s="13" t="str">
        <f>IF(OR(G16="",Results!G12=""),"",IF(AND(G16=Results!G12,Results!G12&lt;&gt;Games!$C$101),1,0))</f>
        <v/>
      </c>
      <c r="AO16" s="13" t="str">
        <f>IF(OR(H16="",Results!H12=""),"",IF(AND(H16=Results!H12,Results!H12&lt;&gt;Games!$C$102),1,0))</f>
        <v/>
      </c>
      <c r="AP16" s="13" t="str">
        <f>IF(OR(I16="",Results!I12=""),"",IF(AND(I16=Results!I12,Results!I12&lt;&gt;Games!$C$103),1,0))</f>
        <v/>
      </c>
      <c r="AQ16" s="13" t="str">
        <f>IF(OR(J16="",Results!J12=""),"",IF(AND(J16=Results!J12,Results!J12&lt;&gt;Games!$C$104),1,0))</f>
        <v/>
      </c>
      <c r="AR16" s="13" t="str">
        <f>IF(OR(K16="",Results!K12=""),"",IF(AND(K16=Results!K12,Results!K12&lt;&gt;Games!$C$105),1,0))</f>
        <v/>
      </c>
      <c r="AS16" s="13" t="str">
        <f>IF(OR(L16="",Results!L12=""),"",IF(AND(L16=Results!L12,Results!L12&lt;&gt;Games!$C$106),1,0))</f>
        <v/>
      </c>
      <c r="AT16" s="13" t="str">
        <f>IF(OR(M16="",Results!M12=""),"",IF(AND(M16=Results!M12,Results!M12&lt;&gt;Games!$C$107),1,0))</f>
        <v/>
      </c>
      <c r="AU16" s="13" t="str">
        <f>IF(OR(N16="",Results!N12=""),"",IF(AND(N16=Results!N12,Results!N12&lt;&gt;Games!$C$108),1,0))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IF(OR(B17="",Results!B12=""),"",IF(B17=Results!B12,1+IF(OR($O17=1,$P17=1,$Q17=1),1,0),0))</f>
        <v/>
      </c>
      <c r="T17" s="4" t="str">
        <f>IF(OR(C17="",Results!C12=""),"",IF(C17=Results!C12,1+IF(OR($O17=2,$P17=2,$Q17=2),1,0),0))</f>
        <v/>
      </c>
      <c r="U17" s="4" t="str">
        <f>IF(OR(D17="",Results!D12=""),"",IF(D17=Results!D12,1+IF(OR($O17=3,$P17=3,$Q17=3),1,0),0))</f>
        <v/>
      </c>
      <c r="V17" s="4" t="str">
        <f>IF(OR(E17="",Results!E12=""),"",IF(E17=Results!E12,1+IF(OR($O17=4,$P17=4,$Q17=4),1,0),0))</f>
        <v/>
      </c>
      <c r="W17" s="4" t="str">
        <f>IF(OR(F17="",Results!F12=""),"",IF(F17=Results!F12,1+IF(OR($O17=5,$P17=5,$Q17=5),1,0),0))</f>
        <v/>
      </c>
      <c r="X17" s="4" t="str">
        <f>IF(OR(G17="",Results!G12=""),"",IF(G17=Results!G12,1+IF(OR($O17=6,$P17=6,$Q17=6),1,0),0))</f>
        <v/>
      </c>
      <c r="Y17" s="4" t="str">
        <f>IF(OR(H17="",Results!H12=""),"",IF(H17=Results!H12,1+IF(OR($O17=7,$P17=7,$Q17=7),1,0),0))</f>
        <v/>
      </c>
      <c r="Z17" s="4" t="str">
        <f>IF(OR(I17="",Results!I12=""),"",IF(I17=Results!I12,1+IF(OR($O17=8,$P17=8,$Q17=8),1,0),0))</f>
        <v/>
      </c>
      <c r="AA17" s="4" t="str">
        <f>IF(OR(J17="",Results!J12=""),"",IF(J17=Results!J12,1+IF(OR($O17=9,$P17=9,$Q17=9),1,0),0))</f>
        <v/>
      </c>
      <c r="AB17" s="4" t="str">
        <f>IF(OR(K17="",Results!K12=""),"",IF(K17=Results!K12,1+IF(OR($O17=10,$P17=10,$Q17=10),1,0),0))</f>
        <v/>
      </c>
      <c r="AC17" s="4" t="str">
        <f>IF(OR(L17="",Results!L12=""),"",IF(L17=Results!L12,1+IF(OR($O17=11,$P17=11,$Q17=11),1,0),0))</f>
        <v/>
      </c>
      <c r="AD17" s="4" t="str">
        <f>IF(OR(M17="",Results!M12=""),"",IF(M17=Results!M12,1+IF(OR($O17=12,$P17=12,$Q17=12),1,0),0))</f>
        <v/>
      </c>
      <c r="AE17" s="4" t="str">
        <f>IF(OR(N17="",Results!N12=""),"",IF(N17=Results!N12,1+IF(OR($O17=13,$P17=13,$Q17=13),1,0),0))</f>
        <v/>
      </c>
      <c r="AF17" s="11">
        <f t="shared" si="0"/>
        <v>0</v>
      </c>
      <c r="AG17" s="4" t="str">
        <f>IF(OR($R17="",Results!O12=""),"",ABS($R17-Results!O12))</f>
        <v/>
      </c>
      <c r="AH17" s="12">
        <v>7</v>
      </c>
      <c r="AI17" s="13" t="str">
        <f>IF(OR(B17="",Results!B12=""),"",IF(AND(B17=Results!B12,Results!B12&lt;&gt;Games!$C$96),1,0))</f>
        <v/>
      </c>
      <c r="AJ17" s="13" t="str">
        <f>IF(OR(C17="",Results!C12=""),"",IF(AND(C17=Results!C12,Results!C12&lt;&gt;Games!$C$97),1,0))</f>
        <v/>
      </c>
      <c r="AK17" s="13" t="str">
        <f>IF(OR(D17="",Results!D12=""),"",IF(AND(D17=Results!D12,Results!D12&lt;&gt;Games!$C$98),1,0))</f>
        <v/>
      </c>
      <c r="AL17" s="13" t="str">
        <f>IF(OR(E17="",Results!E12=""),"",IF(AND(E17=Results!E12,Results!E12&lt;&gt;Games!$C$99),1,0))</f>
        <v/>
      </c>
      <c r="AM17" s="13" t="str">
        <f>IF(OR(F17="",Results!F12=""),"",IF(AND(F17=Results!F12,Results!F12&lt;&gt;Games!$C$100),1,0))</f>
        <v/>
      </c>
      <c r="AN17" s="13" t="str">
        <f>IF(OR(G17="",Results!G12=""),"",IF(AND(G17=Results!G12,Results!G12&lt;&gt;Games!$C$101),1,0))</f>
        <v/>
      </c>
      <c r="AO17" s="13" t="str">
        <f>IF(OR(H17="",Results!H12=""),"",IF(AND(H17=Results!H12,Results!H12&lt;&gt;Games!$C$102),1,0))</f>
        <v/>
      </c>
      <c r="AP17" s="13" t="str">
        <f>IF(OR(I17="",Results!I12=""),"",IF(AND(I17=Results!I12,Results!I12&lt;&gt;Games!$C$103),1,0))</f>
        <v/>
      </c>
      <c r="AQ17" s="13" t="str">
        <f>IF(OR(J17="",Results!J12=""),"",IF(AND(J17=Results!J12,Results!J12&lt;&gt;Games!$C$104),1,0))</f>
        <v/>
      </c>
      <c r="AR17" s="13" t="str">
        <f>IF(OR(K17="",Results!K12=""),"",IF(AND(K17=Results!K12,Results!K12&lt;&gt;Games!$C$105),1,0))</f>
        <v/>
      </c>
      <c r="AS17" s="13" t="str">
        <f>IF(OR(L17="",Results!L12=""),"",IF(AND(L17=Results!L12,Results!L12&lt;&gt;Games!$C$106),1,0))</f>
        <v/>
      </c>
      <c r="AT17" s="13" t="str">
        <f>IF(OR(M17="",Results!M12=""),"",IF(AND(M17=Results!M12,Results!M12&lt;&gt;Games!$C$107),1,0))</f>
        <v/>
      </c>
      <c r="AU17" s="13" t="str">
        <f>IF(OR(N17="",Results!N12=""),"",IF(AND(N17=Results!N12,Results!N12&lt;&gt;Games!$C$108),1,0))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IF(OR(B18="",Results!B12=""),"",IF(B18=Results!B12,1+IF(OR($O18=1,$P18=1,$Q18=1),1,0),0))</f>
        <v/>
      </c>
      <c r="T18" s="4" t="str">
        <f>IF(OR(C18="",Results!C12=""),"",IF(C18=Results!C12,1+IF(OR($O18=2,$P18=2,$Q18=2),1,0),0))</f>
        <v/>
      </c>
      <c r="U18" s="4" t="str">
        <f>IF(OR(D18="",Results!D12=""),"",IF(D18=Results!D12,1+IF(OR($O18=3,$P18=3,$Q18=3),1,0),0))</f>
        <v/>
      </c>
      <c r="V18" s="4" t="str">
        <f>IF(OR(E18="",Results!E12=""),"",IF(E18=Results!E12,1+IF(OR($O18=4,$P18=4,$Q18=4),1,0),0))</f>
        <v/>
      </c>
      <c r="W18" s="4" t="str">
        <f>IF(OR(F18="",Results!F12=""),"",IF(F18=Results!F12,1+IF(OR($O18=5,$P18=5,$Q18=5),1,0),0))</f>
        <v/>
      </c>
      <c r="X18" s="4" t="str">
        <f>IF(OR(G18="",Results!G12=""),"",IF(G18=Results!G12,1+IF(OR($O18=6,$P18=6,$Q18=6),1,0),0))</f>
        <v/>
      </c>
      <c r="Y18" s="4" t="str">
        <f>IF(OR(H18="",Results!H12=""),"",IF(H18=Results!H12,1+IF(OR($O18=7,$P18=7,$Q18=7),1,0),0))</f>
        <v/>
      </c>
      <c r="Z18" s="4" t="str">
        <f>IF(OR(I18="",Results!I12=""),"",IF(I18=Results!I12,1+IF(OR($O18=8,$P18=8,$Q18=8),1,0),0))</f>
        <v/>
      </c>
      <c r="AA18" s="4" t="str">
        <f>IF(OR(J18="",Results!J12=""),"",IF(J18=Results!J12,1+IF(OR($O18=9,$P18=9,$Q18=9),1,0),0))</f>
        <v/>
      </c>
      <c r="AB18" s="4" t="str">
        <f>IF(OR(K18="",Results!K12=""),"",IF(K18=Results!K12,1+IF(OR($O18=10,$P18=10,$Q18=10),1,0),0))</f>
        <v/>
      </c>
      <c r="AC18" s="4" t="str">
        <f>IF(OR(L18="",Results!L12=""),"",IF(L18=Results!L12,1+IF(OR($O18=11,$P18=11,$Q18=11),1,0),0))</f>
        <v/>
      </c>
      <c r="AD18" s="4" t="str">
        <f>IF(OR(M18="",Results!M12=""),"",IF(M18=Results!M12,1+IF(OR($O18=12,$P18=12,$Q18=12),1,0),0))</f>
        <v/>
      </c>
      <c r="AE18" s="4" t="str">
        <f>IF(OR(N18="",Results!N12=""),"",IF(N18=Results!N12,1+IF(OR($O18=13,$P18=13,$Q18=13),1,0),0))</f>
        <v/>
      </c>
      <c r="AF18" s="11">
        <f t="shared" si="0"/>
        <v>0</v>
      </c>
      <c r="AG18" s="4" t="str">
        <f>IF(OR($R18="",Results!O12=""),"",ABS($R18-Results!O12))</f>
        <v/>
      </c>
      <c r="AH18" s="12">
        <v>37</v>
      </c>
      <c r="AI18" s="13" t="str">
        <f>IF(OR(B18="",Results!B12=""),"",IF(AND(B18=Results!B12,Results!B12&lt;&gt;Games!$C$96),1,0))</f>
        <v/>
      </c>
      <c r="AJ18" s="13" t="str">
        <f>IF(OR(C18="",Results!C12=""),"",IF(AND(C18=Results!C12,Results!C12&lt;&gt;Games!$C$97),1,0))</f>
        <v/>
      </c>
      <c r="AK18" s="13" t="str">
        <f>IF(OR(D18="",Results!D12=""),"",IF(AND(D18=Results!D12,Results!D12&lt;&gt;Games!$C$98),1,0))</f>
        <v/>
      </c>
      <c r="AL18" s="13" t="str">
        <f>IF(OR(E18="",Results!E12=""),"",IF(AND(E18=Results!E12,Results!E12&lt;&gt;Games!$C$99),1,0))</f>
        <v/>
      </c>
      <c r="AM18" s="13" t="str">
        <f>IF(OR(F18="",Results!F12=""),"",IF(AND(F18=Results!F12,Results!F12&lt;&gt;Games!$C$100),1,0))</f>
        <v/>
      </c>
      <c r="AN18" s="13" t="str">
        <f>IF(OR(G18="",Results!G12=""),"",IF(AND(G18=Results!G12,Results!G12&lt;&gt;Games!$C$101),1,0))</f>
        <v/>
      </c>
      <c r="AO18" s="13" t="str">
        <f>IF(OR(H18="",Results!H12=""),"",IF(AND(H18=Results!H12,Results!H12&lt;&gt;Games!$C$102),1,0))</f>
        <v/>
      </c>
      <c r="AP18" s="13" t="str">
        <f>IF(OR(I18="",Results!I12=""),"",IF(AND(I18=Results!I12,Results!I12&lt;&gt;Games!$C$103),1,0))</f>
        <v/>
      </c>
      <c r="AQ18" s="13" t="str">
        <f>IF(OR(J18="",Results!J12=""),"",IF(AND(J18=Results!J12,Results!J12&lt;&gt;Games!$C$104),1,0))</f>
        <v/>
      </c>
      <c r="AR18" s="13" t="str">
        <f>IF(OR(K18="",Results!K12=""),"",IF(AND(K18=Results!K12,Results!K12&lt;&gt;Games!$C$105),1,0))</f>
        <v/>
      </c>
      <c r="AS18" s="13" t="str">
        <f>IF(OR(L18="",Results!L12=""),"",IF(AND(L18=Results!L12,Results!L12&lt;&gt;Games!$C$106),1,0))</f>
        <v/>
      </c>
      <c r="AT18" s="13" t="str">
        <f>IF(OR(M18="",Results!M12=""),"",IF(AND(M18=Results!M12,Results!M12&lt;&gt;Games!$C$107),1,0))</f>
        <v/>
      </c>
      <c r="AU18" s="13" t="str">
        <f>IF(OR(N18="",Results!N12=""),"",IF(AND(N18=Results!N12,Results!N12&lt;&gt;Games!$C$108),1,0))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IF(OR(B19="",Results!B12=""),"",IF(B19=Results!B12,1+IF(OR($O19=1,$P19=1,$Q19=1),1,0),0))</f>
        <v/>
      </c>
      <c r="T19" s="4" t="str">
        <f>IF(OR(C19="",Results!C12=""),"",IF(C19=Results!C12,1+IF(OR($O19=2,$P19=2,$Q19=2),1,0),0))</f>
        <v/>
      </c>
      <c r="U19" s="4" t="str">
        <f>IF(OR(D19="",Results!D12=""),"",IF(D19=Results!D12,1+IF(OR($O19=3,$P19=3,$Q19=3),1,0),0))</f>
        <v/>
      </c>
      <c r="V19" s="4" t="str">
        <f>IF(OR(E19="",Results!E12=""),"",IF(E19=Results!E12,1+IF(OR($O19=4,$P19=4,$Q19=4),1,0),0))</f>
        <v/>
      </c>
      <c r="W19" s="4" t="str">
        <f>IF(OR(F19="",Results!F12=""),"",IF(F19=Results!F12,1+IF(OR($O19=5,$P19=5,$Q19=5),1,0),0))</f>
        <v/>
      </c>
      <c r="X19" s="4" t="str">
        <f>IF(OR(G19="",Results!G12=""),"",IF(G19=Results!G12,1+IF(OR($O19=6,$P19=6,$Q19=6),1,0),0))</f>
        <v/>
      </c>
      <c r="Y19" s="4" t="str">
        <f>IF(OR(H19="",Results!H12=""),"",IF(H19=Results!H12,1+IF(OR($O19=7,$P19=7,$Q19=7),1,0),0))</f>
        <v/>
      </c>
      <c r="Z19" s="4" t="str">
        <f>IF(OR(I19="",Results!I12=""),"",IF(I19=Results!I12,1+IF(OR($O19=8,$P19=8,$Q19=8),1,0),0))</f>
        <v/>
      </c>
      <c r="AA19" s="4" t="str">
        <f>IF(OR(J19="",Results!J12=""),"",IF(J19=Results!J12,1+IF(OR($O19=9,$P19=9,$Q19=9),1,0),0))</f>
        <v/>
      </c>
      <c r="AB19" s="4" t="str">
        <f>IF(OR(K19="",Results!K12=""),"",IF(K19=Results!K12,1+IF(OR($O19=10,$P19=10,$Q19=10),1,0),0))</f>
        <v/>
      </c>
      <c r="AC19" s="4" t="str">
        <f>IF(OR(L19="",Results!L12=""),"",IF(L19=Results!L12,1+IF(OR($O19=11,$P19=11,$Q19=11),1,0),0))</f>
        <v/>
      </c>
      <c r="AD19" s="4" t="str">
        <f>IF(OR(M19="",Results!M12=""),"",IF(M19=Results!M12,1+IF(OR($O19=12,$P19=12,$Q19=12),1,0),0))</f>
        <v/>
      </c>
      <c r="AE19" s="4" t="str">
        <f>IF(OR(N19="",Results!N12=""),"",IF(N19=Results!N12,1+IF(OR($O19=13,$P19=13,$Q19=13),1,0),0))</f>
        <v/>
      </c>
      <c r="AF19" s="11">
        <f t="shared" si="0"/>
        <v>0</v>
      </c>
      <c r="AG19" s="4" t="str">
        <f>IF(OR($R19="",Results!O12=""),"",ABS($R19-Results!O12))</f>
        <v/>
      </c>
      <c r="AH19" s="12">
        <v>26</v>
      </c>
      <c r="AI19" s="13" t="str">
        <f>IF(OR(B19="",Results!B12=""),"",IF(AND(B19=Results!B12,Results!B12&lt;&gt;Games!$C$96),1,0))</f>
        <v/>
      </c>
      <c r="AJ19" s="13" t="str">
        <f>IF(OR(C19="",Results!C12=""),"",IF(AND(C19=Results!C12,Results!C12&lt;&gt;Games!$C$97),1,0))</f>
        <v/>
      </c>
      <c r="AK19" s="13" t="str">
        <f>IF(OR(D19="",Results!D12=""),"",IF(AND(D19=Results!D12,Results!D12&lt;&gt;Games!$C$98),1,0))</f>
        <v/>
      </c>
      <c r="AL19" s="13" t="str">
        <f>IF(OR(E19="",Results!E12=""),"",IF(AND(E19=Results!E12,Results!E12&lt;&gt;Games!$C$99),1,0))</f>
        <v/>
      </c>
      <c r="AM19" s="13" t="str">
        <f>IF(OR(F19="",Results!F12=""),"",IF(AND(F19=Results!F12,Results!F12&lt;&gt;Games!$C$100),1,0))</f>
        <v/>
      </c>
      <c r="AN19" s="13" t="str">
        <f>IF(OR(G19="",Results!G12=""),"",IF(AND(G19=Results!G12,Results!G12&lt;&gt;Games!$C$101),1,0))</f>
        <v/>
      </c>
      <c r="AO19" s="13" t="str">
        <f>IF(OR(H19="",Results!H12=""),"",IF(AND(H19=Results!H12,Results!H12&lt;&gt;Games!$C$102),1,0))</f>
        <v/>
      </c>
      <c r="AP19" s="13" t="str">
        <f>IF(OR(I19="",Results!I12=""),"",IF(AND(I19=Results!I12,Results!I12&lt;&gt;Games!$C$103),1,0))</f>
        <v/>
      </c>
      <c r="AQ19" s="13" t="str">
        <f>IF(OR(J19="",Results!J12=""),"",IF(AND(J19=Results!J12,Results!J12&lt;&gt;Games!$C$104),1,0))</f>
        <v/>
      </c>
      <c r="AR19" s="13" t="str">
        <f>IF(OR(K19="",Results!K12=""),"",IF(AND(K19=Results!K12,Results!K12&lt;&gt;Games!$C$105),1,0))</f>
        <v/>
      </c>
      <c r="AS19" s="13" t="str">
        <f>IF(OR(L19="",Results!L12=""),"",IF(AND(L19=Results!L12,Results!L12&lt;&gt;Games!$C$106),1,0))</f>
        <v/>
      </c>
      <c r="AT19" s="13" t="str">
        <f>IF(OR(M19="",Results!M12=""),"",IF(AND(M19=Results!M12,Results!M12&lt;&gt;Games!$C$107),1,0))</f>
        <v/>
      </c>
      <c r="AU19" s="13" t="str">
        <f>IF(OR(N19="",Results!N12=""),"",IF(AND(N19=Results!N12,Results!N12&lt;&gt;Games!$C$108),1,0))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 t="str">
        <f>IF(OR(B20="",Results!B12=""),"",IF(B20=Results!B12,1+IF(OR($O20=1,$P20=1,$Q20=1),1,0),0))</f>
        <v/>
      </c>
      <c r="T20" s="4" t="str">
        <f>IF(OR(C20="",Results!C12=""),"",IF(C20=Results!C12,1+IF(OR($O20=2,$P20=2,$Q20=2),1,0),0))</f>
        <v/>
      </c>
      <c r="U20" s="4" t="str">
        <f>IF(OR(D20="",Results!D12=""),"",IF(D20=Results!D12,1+IF(OR($O20=3,$P20=3,$Q20=3),1,0),0))</f>
        <v/>
      </c>
      <c r="V20" s="4" t="str">
        <f>IF(OR(E20="",Results!E12=""),"",IF(E20=Results!E12,1+IF(OR($O20=4,$P20=4,$Q20=4),1,0),0))</f>
        <v/>
      </c>
      <c r="W20" s="4" t="str">
        <f>IF(OR(F20="",Results!F12=""),"",IF(F20=Results!F12,1+IF(OR($O20=5,$P20=5,$Q20=5),1,0),0))</f>
        <v/>
      </c>
      <c r="X20" s="4" t="str">
        <f>IF(OR(G20="",Results!G12=""),"",IF(G20=Results!G12,1+IF(OR($O20=6,$P20=6,$Q20=6),1,0),0))</f>
        <v/>
      </c>
      <c r="Y20" s="4" t="str">
        <f>IF(OR(H20="",Results!H12=""),"",IF(H20=Results!H12,1+IF(OR($O20=7,$P20=7,$Q20=7),1,0),0))</f>
        <v/>
      </c>
      <c r="Z20" s="4" t="str">
        <f>IF(OR(I20="",Results!I12=""),"",IF(I20=Results!I12,1+IF(OR($O20=8,$P20=8,$Q20=8),1,0),0))</f>
        <v/>
      </c>
      <c r="AA20" s="4" t="str">
        <f>IF(OR(J20="",Results!J12=""),"",IF(J20=Results!J12,1+IF(OR($O20=9,$P20=9,$Q20=9),1,0),0))</f>
        <v/>
      </c>
      <c r="AB20" s="4" t="str">
        <f>IF(OR(K20="",Results!K12=""),"",IF(K20=Results!K12,1+IF(OR($O20=10,$P20=10,$Q20=10),1,0),0))</f>
        <v/>
      </c>
      <c r="AC20" s="4" t="str">
        <f>IF(OR(L20="",Results!L12=""),"",IF(L20=Results!L12,1+IF(OR($O20=11,$P20=11,$Q20=11),1,0),0))</f>
        <v/>
      </c>
      <c r="AD20" s="4" t="str">
        <f>IF(OR(M20="",Results!M12=""),"",IF(M20=Results!M12,1+IF(OR($O20=12,$P20=12,$Q20=12),1,0),0))</f>
        <v/>
      </c>
      <c r="AE20" s="4" t="str">
        <f>IF(OR(N20="",Results!N12=""),"",IF(N20=Results!N12,1+IF(OR($O20=13,$P20=13,$Q20=13),1,0),0))</f>
        <v/>
      </c>
      <c r="AF20" s="11">
        <f t="shared" si="0"/>
        <v>0</v>
      </c>
      <c r="AG20" s="4" t="str">
        <f>IF(OR($R20="",Results!O12=""),"",ABS($R20-Results!O12))</f>
        <v/>
      </c>
      <c r="AH20" s="12">
        <v>52</v>
      </c>
      <c r="AI20" s="13" t="str">
        <f>IF(OR(B20="",Results!B12=""),"",IF(AND(B20=Results!B12,Results!B12&lt;&gt;Games!$C$96),1,0))</f>
        <v/>
      </c>
      <c r="AJ20" s="13" t="str">
        <f>IF(OR(C20="",Results!C12=""),"",IF(AND(C20=Results!C12,Results!C12&lt;&gt;Games!$C$97),1,0))</f>
        <v/>
      </c>
      <c r="AK20" s="13" t="str">
        <f>IF(OR(D20="",Results!D12=""),"",IF(AND(D20=Results!D12,Results!D12&lt;&gt;Games!$C$98),1,0))</f>
        <v/>
      </c>
      <c r="AL20" s="13" t="str">
        <f>IF(OR(E20="",Results!E12=""),"",IF(AND(E20=Results!E12,Results!E12&lt;&gt;Games!$C$99),1,0))</f>
        <v/>
      </c>
      <c r="AM20" s="13" t="str">
        <f>IF(OR(F20="",Results!F12=""),"",IF(AND(F20=Results!F12,Results!F12&lt;&gt;Games!$C$100),1,0))</f>
        <v/>
      </c>
      <c r="AN20" s="13" t="str">
        <f>IF(OR(G20="",Results!G12=""),"",IF(AND(G20=Results!G12,Results!G12&lt;&gt;Games!$C$101),1,0))</f>
        <v/>
      </c>
      <c r="AO20" s="13" t="str">
        <f>IF(OR(H20="",Results!H12=""),"",IF(AND(H20=Results!H12,Results!H12&lt;&gt;Games!$C$102),1,0))</f>
        <v/>
      </c>
      <c r="AP20" s="13" t="str">
        <f>IF(OR(I20="",Results!I12=""),"",IF(AND(I20=Results!I12,Results!I12&lt;&gt;Games!$C$103),1,0))</f>
        <v/>
      </c>
      <c r="AQ20" s="13" t="str">
        <f>IF(OR(J20="",Results!J12=""),"",IF(AND(J20=Results!J12,Results!J12&lt;&gt;Games!$C$104),1,0))</f>
        <v/>
      </c>
      <c r="AR20" s="13" t="str">
        <f>IF(OR(K20="",Results!K12=""),"",IF(AND(K20=Results!K12,Results!K12&lt;&gt;Games!$C$105),1,0))</f>
        <v/>
      </c>
      <c r="AS20" s="13" t="str">
        <f>IF(OR(L20="",Results!L12=""),"",IF(AND(L20=Results!L12,Results!L12&lt;&gt;Games!$C$106),1,0))</f>
        <v/>
      </c>
      <c r="AT20" s="13" t="str">
        <f>IF(OR(M20="",Results!M12=""),"",IF(AND(M20=Results!M12,Results!M12&lt;&gt;Games!$C$107),1,0))</f>
        <v/>
      </c>
      <c r="AU20" s="13" t="str">
        <f>IF(OR(N20="",Results!N12=""),"",IF(AND(N20=Results!N12,Results!N12&lt;&gt;Games!$C$108),1,0))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 t="str">
        <f>IF(OR(B21="",Results!B12=""),"",IF(B21=Results!B12,1+IF(OR($O21=1,$P21=1,$Q21=1),1,0),0))</f>
        <v/>
      </c>
      <c r="T21" s="4" t="str">
        <f>IF(OR(C21="",Results!C12=""),"",IF(C21=Results!C12,1+IF(OR($O21=2,$P21=2,$Q21=2),1,0),0))</f>
        <v/>
      </c>
      <c r="U21" s="4" t="str">
        <f>IF(OR(D21="",Results!D12=""),"",IF(D21=Results!D12,1+IF(OR($O21=3,$P21=3,$Q21=3),1,0),0))</f>
        <v/>
      </c>
      <c r="V21" s="4" t="str">
        <f>IF(OR(E21="",Results!E12=""),"",IF(E21=Results!E12,1+IF(OR($O21=4,$P21=4,$Q21=4),1,0),0))</f>
        <v/>
      </c>
      <c r="W21" s="4" t="str">
        <f>IF(OR(F21="",Results!F12=""),"",IF(F21=Results!F12,1+IF(OR($O21=5,$P21=5,$Q21=5),1,0),0))</f>
        <v/>
      </c>
      <c r="X21" s="4" t="str">
        <f>IF(OR(G21="",Results!G12=""),"",IF(G21=Results!G12,1+IF(OR($O21=6,$P21=6,$Q21=6),1,0),0))</f>
        <v/>
      </c>
      <c r="Y21" s="4" t="str">
        <f>IF(OR(H21="",Results!H12=""),"",IF(H21=Results!H12,1+IF(OR($O21=7,$P21=7,$Q21=7),1,0),0))</f>
        <v/>
      </c>
      <c r="Z21" s="4" t="str">
        <f>IF(OR(I21="",Results!I12=""),"",IF(I21=Results!I12,1+IF(OR($O21=8,$P21=8,$Q21=8),1,0),0))</f>
        <v/>
      </c>
      <c r="AA21" s="4" t="str">
        <f>IF(OR(J21="",Results!J12=""),"",IF(J21=Results!J12,1+IF(OR($O21=9,$P21=9,$Q21=9),1,0),0))</f>
        <v/>
      </c>
      <c r="AB21" s="4" t="str">
        <f>IF(OR(K21="",Results!K12=""),"",IF(K21=Results!K12,1+IF(OR($O21=10,$P21=10,$Q21=10),1,0),0))</f>
        <v/>
      </c>
      <c r="AC21" s="4" t="str">
        <f>IF(OR(L21="",Results!L12=""),"",IF(L21=Results!L12,1+IF(OR($O21=11,$P21=11,$Q21=11),1,0),0))</f>
        <v/>
      </c>
      <c r="AD21" s="4" t="str">
        <f>IF(OR(M21="",Results!M12=""),"",IF(M21=Results!M12,1+IF(OR($O21=12,$P21=12,$Q21=12),1,0),0))</f>
        <v/>
      </c>
      <c r="AE21" s="4" t="str">
        <f>IF(OR(N21="",Results!N12=""),"",IF(N21=Results!N12,1+IF(OR($O21=13,$P21=13,$Q21=13),1,0),0))</f>
        <v/>
      </c>
      <c r="AF21" s="11">
        <f t="shared" si="0"/>
        <v>0</v>
      </c>
      <c r="AG21" s="4" t="str">
        <f>IF(OR($R21="",Results!O12=""),"",ABS($R21-Results!O12))</f>
        <v/>
      </c>
      <c r="AH21" s="12">
        <v>9</v>
      </c>
      <c r="AI21" s="13" t="str">
        <f>IF(OR(B21="",Results!B12=""),"",IF(AND(B21=Results!B12,Results!B12&lt;&gt;Games!$C$96),1,0))</f>
        <v/>
      </c>
      <c r="AJ21" s="13" t="str">
        <f>IF(OR(C21="",Results!C12=""),"",IF(AND(C21=Results!C12,Results!C12&lt;&gt;Games!$C$97),1,0))</f>
        <v/>
      </c>
      <c r="AK21" s="13" t="str">
        <f>IF(OR(D21="",Results!D12=""),"",IF(AND(D21=Results!D12,Results!D12&lt;&gt;Games!$C$98),1,0))</f>
        <v/>
      </c>
      <c r="AL21" s="13" t="str">
        <f>IF(OR(E21="",Results!E12=""),"",IF(AND(E21=Results!E12,Results!E12&lt;&gt;Games!$C$99),1,0))</f>
        <v/>
      </c>
      <c r="AM21" s="13" t="str">
        <f>IF(OR(F21="",Results!F12=""),"",IF(AND(F21=Results!F12,Results!F12&lt;&gt;Games!$C$100),1,0))</f>
        <v/>
      </c>
      <c r="AN21" s="13" t="str">
        <f>IF(OR(G21="",Results!G12=""),"",IF(AND(G21=Results!G12,Results!G12&lt;&gt;Games!$C$101),1,0))</f>
        <v/>
      </c>
      <c r="AO21" s="13" t="str">
        <f>IF(OR(H21="",Results!H12=""),"",IF(AND(H21=Results!H12,Results!H12&lt;&gt;Games!$C$102),1,0))</f>
        <v/>
      </c>
      <c r="AP21" s="13" t="str">
        <f>IF(OR(I21="",Results!I12=""),"",IF(AND(I21=Results!I12,Results!I12&lt;&gt;Games!$C$103),1,0))</f>
        <v/>
      </c>
      <c r="AQ21" s="13" t="str">
        <f>IF(OR(J21="",Results!J12=""),"",IF(AND(J21=Results!J12,Results!J12&lt;&gt;Games!$C$104),1,0))</f>
        <v/>
      </c>
      <c r="AR21" s="13" t="str">
        <f>IF(OR(K21="",Results!K12=""),"",IF(AND(K21=Results!K12,Results!K12&lt;&gt;Games!$C$105),1,0))</f>
        <v/>
      </c>
      <c r="AS21" s="13" t="str">
        <f>IF(OR(L21="",Results!L12=""),"",IF(AND(L21=Results!L12,Results!L12&lt;&gt;Games!$C$106),1,0))</f>
        <v/>
      </c>
      <c r="AT21" s="13" t="str">
        <f>IF(OR(M21="",Results!M12=""),"",IF(AND(M21=Results!M12,Results!M12&lt;&gt;Games!$C$107),1,0))</f>
        <v/>
      </c>
      <c r="AU21" s="13" t="str">
        <f>IF(OR(N21="",Results!N12=""),"",IF(AND(N21=Results!N12,Results!N12&lt;&gt;Games!$C$108),1,0))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 t="str">
        <f>IF(OR(B22="",Results!B12=""),"",IF(B22=Results!B12,1+IF(OR($O22=1,$P22=1,$Q22=1),1,0),0))</f>
        <v/>
      </c>
      <c r="T22" s="4" t="str">
        <f>IF(OR(C22="",Results!C12=""),"",IF(C22=Results!C12,1+IF(OR($O22=2,$P22=2,$Q22=2),1,0),0))</f>
        <v/>
      </c>
      <c r="U22" s="4" t="str">
        <f>IF(OR(D22="",Results!D12=""),"",IF(D22=Results!D12,1+IF(OR($O22=3,$P22=3,$Q22=3),1,0),0))</f>
        <v/>
      </c>
      <c r="V22" s="4" t="str">
        <f>IF(OR(E22="",Results!E12=""),"",IF(E22=Results!E12,1+IF(OR($O22=4,$P22=4,$Q22=4),1,0),0))</f>
        <v/>
      </c>
      <c r="W22" s="4" t="str">
        <f>IF(OR(F22="",Results!F12=""),"",IF(F22=Results!F12,1+IF(OR($O22=5,$P22=5,$Q22=5),1,0),0))</f>
        <v/>
      </c>
      <c r="X22" s="4" t="str">
        <f>IF(OR(G22="",Results!G12=""),"",IF(G22=Results!G12,1+IF(OR($O22=6,$P22=6,$Q22=6),1,0),0))</f>
        <v/>
      </c>
      <c r="Y22" s="4" t="str">
        <f>IF(OR(H22="",Results!H12=""),"",IF(H22=Results!H12,1+IF(OR($O22=7,$P22=7,$Q22=7),1,0),0))</f>
        <v/>
      </c>
      <c r="Z22" s="4" t="str">
        <f>IF(OR(I22="",Results!I12=""),"",IF(I22=Results!I12,1+IF(OR($O22=8,$P22=8,$Q22=8),1,0),0))</f>
        <v/>
      </c>
      <c r="AA22" s="4" t="str">
        <f>IF(OR(J22="",Results!J12=""),"",IF(J22=Results!J12,1+IF(OR($O22=9,$P22=9,$Q22=9),1,0),0))</f>
        <v/>
      </c>
      <c r="AB22" s="4" t="str">
        <f>IF(OR(K22="",Results!K12=""),"",IF(K22=Results!K12,1+IF(OR($O22=10,$P22=10,$Q22=10),1,0),0))</f>
        <v/>
      </c>
      <c r="AC22" s="4" t="str">
        <f>IF(OR(L22="",Results!L12=""),"",IF(L22=Results!L12,1+IF(OR($O22=11,$P22=11,$Q22=11),1,0),0))</f>
        <v/>
      </c>
      <c r="AD22" s="4" t="str">
        <f>IF(OR(M22="",Results!M12=""),"",IF(M22=Results!M12,1+IF(OR($O22=12,$P22=12,$Q22=12),1,0),0))</f>
        <v/>
      </c>
      <c r="AE22" s="4" t="str">
        <f>IF(OR(N22="",Results!N12=""),"",IF(N22=Results!N12,1+IF(OR($O22=13,$P22=13,$Q22=13),1,0),0))</f>
        <v/>
      </c>
      <c r="AF22" s="11">
        <f t="shared" si="0"/>
        <v>0</v>
      </c>
      <c r="AG22" s="4" t="str">
        <f>IF(OR($R22="",Results!O12=""),"",ABS($R22-Results!O12))</f>
        <v/>
      </c>
      <c r="AH22" s="12">
        <v>10</v>
      </c>
      <c r="AI22" s="13" t="str">
        <f>IF(OR(B22="",Results!B12=""),"",IF(AND(B22=Results!B12,Results!B12&lt;&gt;Games!$C$96),1,0))</f>
        <v/>
      </c>
      <c r="AJ22" s="13" t="str">
        <f>IF(OR(C22="",Results!C12=""),"",IF(AND(C22=Results!C12,Results!C12&lt;&gt;Games!$C$97),1,0))</f>
        <v/>
      </c>
      <c r="AK22" s="13" t="str">
        <f>IF(OR(D22="",Results!D12=""),"",IF(AND(D22=Results!D12,Results!D12&lt;&gt;Games!$C$98),1,0))</f>
        <v/>
      </c>
      <c r="AL22" s="13" t="str">
        <f>IF(OR(E22="",Results!E12=""),"",IF(AND(E22=Results!E12,Results!E12&lt;&gt;Games!$C$99),1,0))</f>
        <v/>
      </c>
      <c r="AM22" s="13" t="str">
        <f>IF(OR(F22="",Results!F12=""),"",IF(AND(F22=Results!F12,Results!F12&lt;&gt;Games!$C$100),1,0))</f>
        <v/>
      </c>
      <c r="AN22" s="13" t="str">
        <f>IF(OR(G22="",Results!G12=""),"",IF(AND(G22=Results!G12,Results!G12&lt;&gt;Games!$C$101),1,0))</f>
        <v/>
      </c>
      <c r="AO22" s="13" t="str">
        <f>IF(OR(H22="",Results!H12=""),"",IF(AND(H22=Results!H12,Results!H12&lt;&gt;Games!$C$102),1,0))</f>
        <v/>
      </c>
      <c r="AP22" s="13" t="str">
        <f>IF(OR(I22="",Results!I12=""),"",IF(AND(I22=Results!I12,Results!I12&lt;&gt;Games!$C$103),1,0))</f>
        <v/>
      </c>
      <c r="AQ22" s="13" t="str">
        <f>IF(OR(J22="",Results!J12=""),"",IF(AND(J22=Results!J12,Results!J12&lt;&gt;Games!$C$104),1,0))</f>
        <v/>
      </c>
      <c r="AR22" s="13" t="str">
        <f>IF(OR(K22="",Results!K12=""),"",IF(AND(K22=Results!K12,Results!K12&lt;&gt;Games!$C$105),1,0))</f>
        <v/>
      </c>
      <c r="AS22" s="13" t="str">
        <f>IF(OR(L22="",Results!L12=""),"",IF(AND(L22=Results!L12,Results!L12&lt;&gt;Games!$C$106),1,0))</f>
        <v/>
      </c>
      <c r="AT22" s="13" t="str">
        <f>IF(OR(M22="",Results!M12=""),"",IF(AND(M22=Results!M12,Results!M12&lt;&gt;Games!$C$107),1,0))</f>
        <v/>
      </c>
      <c r="AU22" s="13" t="str">
        <f>IF(OR(N22="",Results!N12=""),"",IF(AND(N22=Results!N12,Results!N12&lt;&gt;Games!$C$108),1,0))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 t="str">
        <f>IF(OR(B23="",Results!B12=""),"",IF(B23=Results!B12,1+IF(OR($O23=1,$P23=1,$Q23=1),1,0),0))</f>
        <v/>
      </c>
      <c r="T23" s="4" t="str">
        <f>IF(OR(C23="",Results!C12=""),"",IF(C23=Results!C12,1+IF(OR($O23=2,$P23=2,$Q23=2),1,0),0))</f>
        <v/>
      </c>
      <c r="U23" s="4" t="str">
        <f>IF(OR(D23="",Results!D12=""),"",IF(D23=Results!D12,1+IF(OR($O23=3,$P23=3,$Q23=3),1,0),0))</f>
        <v/>
      </c>
      <c r="V23" s="4" t="str">
        <f>IF(OR(E23="",Results!E12=""),"",IF(E23=Results!E12,1+IF(OR($O23=4,$P23=4,$Q23=4),1,0),0))</f>
        <v/>
      </c>
      <c r="W23" s="4" t="str">
        <f>IF(OR(F23="",Results!F12=""),"",IF(F23=Results!F12,1+IF(OR($O23=5,$P23=5,$Q23=5),1,0),0))</f>
        <v/>
      </c>
      <c r="X23" s="4" t="str">
        <f>IF(OR(G23="",Results!G12=""),"",IF(G23=Results!G12,1+IF(OR($O23=6,$P23=6,$Q23=6),1,0),0))</f>
        <v/>
      </c>
      <c r="Y23" s="4" t="str">
        <f>IF(OR(H23="",Results!H12=""),"",IF(H23=Results!H12,1+IF(OR($O23=7,$P23=7,$Q23=7),1,0),0))</f>
        <v/>
      </c>
      <c r="Z23" s="4" t="str">
        <f>IF(OR(I23="",Results!I12=""),"",IF(I23=Results!I12,1+IF(OR($O23=8,$P23=8,$Q23=8),1,0),0))</f>
        <v/>
      </c>
      <c r="AA23" s="4" t="str">
        <f>IF(OR(J23="",Results!J12=""),"",IF(J23=Results!J12,1+IF(OR($O23=9,$P23=9,$Q23=9),1,0),0))</f>
        <v/>
      </c>
      <c r="AB23" s="4" t="str">
        <f>IF(OR(K23="",Results!K12=""),"",IF(K23=Results!K12,1+IF(OR($O23=10,$P23=10,$Q23=10),1,0),0))</f>
        <v/>
      </c>
      <c r="AC23" s="4" t="str">
        <f>IF(OR(L23="",Results!L12=""),"",IF(L23=Results!L12,1+IF(OR($O23=11,$P23=11,$Q23=11),1,0),0))</f>
        <v/>
      </c>
      <c r="AD23" s="4" t="str">
        <f>IF(OR(M23="",Results!M12=""),"",IF(M23=Results!M12,1+IF(OR($O23=12,$P23=12,$Q23=12),1,0),0))</f>
        <v/>
      </c>
      <c r="AE23" s="4" t="str">
        <f>IF(OR(N23="",Results!N12=""),"",IF(N23=Results!N12,1+IF(OR($O23=13,$P23=13,$Q23=13),1,0),0))</f>
        <v/>
      </c>
      <c r="AF23" s="11">
        <f t="shared" si="0"/>
        <v>0</v>
      </c>
      <c r="AG23" s="4" t="str">
        <f>IF(OR($R23="",Results!O12=""),"",ABS($R23-Results!O12))</f>
        <v/>
      </c>
      <c r="AH23" s="12">
        <v>55</v>
      </c>
      <c r="AI23" s="13" t="str">
        <f>IF(OR(B23="",Results!B12=""),"",IF(AND(B23=Results!B12,Results!B12&lt;&gt;Games!$C$96),1,0))</f>
        <v/>
      </c>
      <c r="AJ23" s="13" t="str">
        <f>IF(OR(C23="",Results!C12=""),"",IF(AND(C23=Results!C12,Results!C12&lt;&gt;Games!$C$97),1,0))</f>
        <v/>
      </c>
      <c r="AK23" s="13" t="str">
        <f>IF(OR(D23="",Results!D12=""),"",IF(AND(D23=Results!D12,Results!D12&lt;&gt;Games!$C$98),1,0))</f>
        <v/>
      </c>
      <c r="AL23" s="13" t="str">
        <f>IF(OR(E23="",Results!E12=""),"",IF(AND(E23=Results!E12,Results!E12&lt;&gt;Games!$C$99),1,0))</f>
        <v/>
      </c>
      <c r="AM23" s="13" t="str">
        <f>IF(OR(F23="",Results!F12=""),"",IF(AND(F23=Results!F12,Results!F12&lt;&gt;Games!$C$100),1,0))</f>
        <v/>
      </c>
      <c r="AN23" s="13" t="str">
        <f>IF(OR(G23="",Results!G12=""),"",IF(AND(G23=Results!G12,Results!G12&lt;&gt;Games!$C$101),1,0))</f>
        <v/>
      </c>
      <c r="AO23" s="13" t="str">
        <f>IF(OR(H23="",Results!H12=""),"",IF(AND(H23=Results!H12,Results!H12&lt;&gt;Games!$C$102),1,0))</f>
        <v/>
      </c>
      <c r="AP23" s="13" t="str">
        <f>IF(OR(I23="",Results!I12=""),"",IF(AND(I23=Results!I12,Results!I12&lt;&gt;Games!$C$103),1,0))</f>
        <v/>
      </c>
      <c r="AQ23" s="13" t="str">
        <f>IF(OR(J23="",Results!J12=""),"",IF(AND(J23=Results!J12,Results!J12&lt;&gt;Games!$C$104),1,0))</f>
        <v/>
      </c>
      <c r="AR23" s="13" t="str">
        <f>IF(OR(K23="",Results!K12=""),"",IF(AND(K23=Results!K12,Results!K12&lt;&gt;Games!$C$105),1,0))</f>
        <v/>
      </c>
      <c r="AS23" s="13" t="str">
        <f>IF(OR(L23="",Results!L12=""),"",IF(AND(L23=Results!L12,Results!L12&lt;&gt;Games!$C$106),1,0))</f>
        <v/>
      </c>
      <c r="AT23" s="13" t="str">
        <f>IF(OR(M23="",Results!M12=""),"",IF(AND(M23=Results!M12,Results!M12&lt;&gt;Games!$C$107),1,0))</f>
        <v/>
      </c>
      <c r="AU23" s="13" t="str">
        <f>IF(OR(N23="",Results!N12=""),"",IF(AND(N23=Results!N12,Results!N12&lt;&gt;Games!$C$108),1,0))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IF(OR(B24="",Results!B12=""),"",IF(B24=Results!B12,1+IF(OR($O24=1,$P24=1,$Q24=1),1,0),0))</f>
        <v/>
      </c>
      <c r="T24" s="4" t="str">
        <f>IF(OR(C24="",Results!C12=""),"",IF(C24=Results!C12,1+IF(OR($O24=2,$P24=2,$Q24=2),1,0),0))</f>
        <v/>
      </c>
      <c r="U24" s="4" t="str">
        <f>IF(OR(D24="",Results!D12=""),"",IF(D24=Results!D12,1+IF(OR($O24=3,$P24=3,$Q24=3),1,0),0))</f>
        <v/>
      </c>
      <c r="V24" s="4" t="str">
        <f>IF(OR(E24="",Results!E12=""),"",IF(E24=Results!E12,1+IF(OR($O24=4,$P24=4,$Q24=4),1,0),0))</f>
        <v/>
      </c>
      <c r="W24" s="4" t="str">
        <f>IF(OR(F24="",Results!F12=""),"",IF(F24=Results!F12,1+IF(OR($O24=5,$P24=5,$Q24=5),1,0),0))</f>
        <v/>
      </c>
      <c r="X24" s="4" t="str">
        <f>IF(OR(G24="",Results!G12=""),"",IF(G24=Results!G12,1+IF(OR($O24=6,$P24=6,$Q24=6),1,0),0))</f>
        <v/>
      </c>
      <c r="Y24" s="4" t="str">
        <f>IF(OR(H24="",Results!H12=""),"",IF(H24=Results!H12,1+IF(OR($O24=7,$P24=7,$Q24=7),1,0),0))</f>
        <v/>
      </c>
      <c r="Z24" s="4" t="str">
        <f>IF(OR(I24="",Results!I12=""),"",IF(I24=Results!I12,1+IF(OR($O24=8,$P24=8,$Q24=8),1,0),0))</f>
        <v/>
      </c>
      <c r="AA24" s="4" t="str">
        <f>IF(OR(J24="",Results!J12=""),"",IF(J24=Results!J12,1+IF(OR($O24=9,$P24=9,$Q24=9),1,0),0))</f>
        <v/>
      </c>
      <c r="AB24" s="4" t="str">
        <f>IF(OR(K24="",Results!K12=""),"",IF(K24=Results!K12,1+IF(OR($O24=10,$P24=10,$Q24=10),1,0),0))</f>
        <v/>
      </c>
      <c r="AC24" s="4" t="str">
        <f>IF(OR(L24="",Results!L12=""),"",IF(L24=Results!L12,1+IF(OR($O24=11,$P24=11,$Q24=11),1,0),0))</f>
        <v/>
      </c>
      <c r="AD24" s="4" t="str">
        <f>IF(OR(M24="",Results!M12=""),"",IF(M24=Results!M12,1+IF(OR($O24=12,$P24=12,$Q24=12),1,0),0))</f>
        <v/>
      </c>
      <c r="AE24" s="4" t="str">
        <f>IF(OR(N24="",Results!N12=""),"",IF(N24=Results!N12,1+IF(OR($O24=13,$P24=13,$Q24=13),1,0),0))</f>
        <v/>
      </c>
      <c r="AF24" s="11">
        <f t="shared" si="0"/>
        <v>0</v>
      </c>
      <c r="AG24" s="4" t="str">
        <f>IF(OR($R24="",Results!O12=""),"",ABS($R24-Results!O12))</f>
        <v/>
      </c>
      <c r="AH24" s="12">
        <v>47</v>
      </c>
      <c r="AI24" s="13" t="str">
        <f>IF(OR(B24="",Results!B12=""),"",IF(AND(B24=Results!B12,Results!B12&lt;&gt;Games!$C$96),1,0))</f>
        <v/>
      </c>
      <c r="AJ24" s="13" t="str">
        <f>IF(OR(C24="",Results!C12=""),"",IF(AND(C24=Results!C12,Results!C12&lt;&gt;Games!$C$97),1,0))</f>
        <v/>
      </c>
      <c r="AK24" s="13" t="str">
        <f>IF(OR(D24="",Results!D12=""),"",IF(AND(D24=Results!D12,Results!D12&lt;&gt;Games!$C$98),1,0))</f>
        <v/>
      </c>
      <c r="AL24" s="13" t="str">
        <f>IF(OR(E24="",Results!E12=""),"",IF(AND(E24=Results!E12,Results!E12&lt;&gt;Games!$C$99),1,0))</f>
        <v/>
      </c>
      <c r="AM24" s="13" t="str">
        <f>IF(OR(F24="",Results!F12=""),"",IF(AND(F24=Results!F12,Results!F12&lt;&gt;Games!$C$100),1,0))</f>
        <v/>
      </c>
      <c r="AN24" s="13" t="str">
        <f>IF(OR(G24="",Results!G12=""),"",IF(AND(G24=Results!G12,Results!G12&lt;&gt;Games!$C$101),1,0))</f>
        <v/>
      </c>
      <c r="AO24" s="13" t="str">
        <f>IF(OR(H24="",Results!H12=""),"",IF(AND(H24=Results!H12,Results!H12&lt;&gt;Games!$C$102),1,0))</f>
        <v/>
      </c>
      <c r="AP24" s="13" t="str">
        <f>IF(OR(I24="",Results!I12=""),"",IF(AND(I24=Results!I12,Results!I12&lt;&gt;Games!$C$103),1,0))</f>
        <v/>
      </c>
      <c r="AQ24" s="13" t="str">
        <f>IF(OR(J24="",Results!J12=""),"",IF(AND(J24=Results!J12,Results!J12&lt;&gt;Games!$C$104),1,0))</f>
        <v/>
      </c>
      <c r="AR24" s="13" t="str">
        <f>IF(OR(K24="",Results!K12=""),"",IF(AND(K24=Results!K12,Results!K12&lt;&gt;Games!$C$105),1,0))</f>
        <v/>
      </c>
      <c r="AS24" s="13" t="str">
        <f>IF(OR(L24="",Results!L12=""),"",IF(AND(L24=Results!L12,Results!L12&lt;&gt;Games!$C$106),1,0))</f>
        <v/>
      </c>
      <c r="AT24" s="13" t="str">
        <f>IF(OR(M24="",Results!M12=""),"",IF(AND(M24=Results!M12,Results!M12&lt;&gt;Games!$C$107),1,0))</f>
        <v/>
      </c>
      <c r="AU24" s="13" t="str">
        <f>IF(OR(N24="",Results!N12=""),"",IF(AND(N24=Results!N12,Results!N12&lt;&gt;Games!$C$108),1,0))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 t="str">
        <f>IF(OR(B25="",Results!B12=""),"",IF(B25=Results!B12,1+IF(OR($O25=1,$P25=1,$Q25=1),1,0),0))</f>
        <v/>
      </c>
      <c r="T25" s="4" t="str">
        <f>IF(OR(C25="",Results!C12=""),"",IF(C25=Results!C12,1+IF(OR($O25=2,$P25=2,$Q25=2),1,0),0))</f>
        <v/>
      </c>
      <c r="U25" s="4" t="str">
        <f>IF(OR(D25="",Results!D12=""),"",IF(D25=Results!D12,1+IF(OR($O25=3,$P25=3,$Q25=3),1,0),0))</f>
        <v/>
      </c>
      <c r="V25" s="4" t="str">
        <f>IF(OR(E25="",Results!E12=""),"",IF(E25=Results!E12,1+IF(OR($O25=4,$P25=4,$Q25=4),1,0),0))</f>
        <v/>
      </c>
      <c r="W25" s="4" t="str">
        <f>IF(OR(F25="",Results!F12=""),"",IF(F25=Results!F12,1+IF(OR($O25=5,$P25=5,$Q25=5),1,0),0))</f>
        <v/>
      </c>
      <c r="X25" s="4" t="str">
        <f>IF(OR(G25="",Results!G12=""),"",IF(G25=Results!G12,1+IF(OR($O25=6,$P25=6,$Q25=6),1,0),0))</f>
        <v/>
      </c>
      <c r="Y25" s="4" t="str">
        <f>IF(OR(H25="",Results!H12=""),"",IF(H25=Results!H12,1+IF(OR($O25=7,$P25=7,$Q25=7),1,0),0))</f>
        <v/>
      </c>
      <c r="Z25" s="4" t="str">
        <f>IF(OR(I25="",Results!I12=""),"",IF(I25=Results!I12,1+IF(OR($O25=8,$P25=8,$Q25=8),1,0),0))</f>
        <v/>
      </c>
      <c r="AA25" s="4" t="str">
        <f>IF(OR(J25="",Results!J12=""),"",IF(J25=Results!J12,1+IF(OR($O25=9,$P25=9,$Q25=9),1,0),0))</f>
        <v/>
      </c>
      <c r="AB25" s="4" t="str">
        <f>IF(OR(K25="",Results!K12=""),"",IF(K25=Results!K12,1+IF(OR($O25=10,$P25=10,$Q25=10),1,0),0))</f>
        <v/>
      </c>
      <c r="AC25" s="4" t="str">
        <f>IF(OR(L25="",Results!L12=""),"",IF(L25=Results!L12,1+IF(OR($O25=11,$P25=11,$Q25=11),1,0),0))</f>
        <v/>
      </c>
      <c r="AD25" s="4" t="str">
        <f>IF(OR(M25="",Results!M12=""),"",IF(M25=Results!M12,1+IF(OR($O25=12,$P25=12,$Q25=12),1,0),0))</f>
        <v/>
      </c>
      <c r="AE25" s="4" t="str">
        <f>IF(OR(N25="",Results!N12=""),"",IF(N25=Results!N12,1+IF(OR($O25=13,$P25=13,$Q25=13),1,0),0))</f>
        <v/>
      </c>
      <c r="AF25" s="11">
        <f t="shared" si="0"/>
        <v>0</v>
      </c>
      <c r="AG25" s="4" t="str">
        <f>IF(OR($R25="",Results!O12=""),"",ABS($R25-Results!O12))</f>
        <v/>
      </c>
      <c r="AH25" s="12">
        <v>54</v>
      </c>
      <c r="AI25" s="13" t="str">
        <f>IF(OR(B25="",Results!B12=""),"",IF(AND(B25=Results!B12,Results!B12&lt;&gt;Games!$C$96),1,0))</f>
        <v/>
      </c>
      <c r="AJ25" s="13" t="str">
        <f>IF(OR(C25="",Results!C12=""),"",IF(AND(C25=Results!C12,Results!C12&lt;&gt;Games!$C$97),1,0))</f>
        <v/>
      </c>
      <c r="AK25" s="13" t="str">
        <f>IF(OR(D25="",Results!D12=""),"",IF(AND(D25=Results!D12,Results!D12&lt;&gt;Games!$C$98),1,0))</f>
        <v/>
      </c>
      <c r="AL25" s="13" t="str">
        <f>IF(OR(E25="",Results!E12=""),"",IF(AND(E25=Results!E12,Results!E12&lt;&gt;Games!$C$99),1,0))</f>
        <v/>
      </c>
      <c r="AM25" s="13" t="str">
        <f>IF(OR(F25="",Results!F12=""),"",IF(AND(F25=Results!F12,Results!F12&lt;&gt;Games!$C$100),1,0))</f>
        <v/>
      </c>
      <c r="AN25" s="13" t="str">
        <f>IF(OR(G25="",Results!G12=""),"",IF(AND(G25=Results!G12,Results!G12&lt;&gt;Games!$C$101),1,0))</f>
        <v/>
      </c>
      <c r="AO25" s="13" t="str">
        <f>IF(OR(H25="",Results!H12=""),"",IF(AND(H25=Results!H12,Results!H12&lt;&gt;Games!$C$102),1,0))</f>
        <v/>
      </c>
      <c r="AP25" s="13" t="str">
        <f>IF(OR(I25="",Results!I12=""),"",IF(AND(I25=Results!I12,Results!I12&lt;&gt;Games!$C$103),1,0))</f>
        <v/>
      </c>
      <c r="AQ25" s="13" t="str">
        <f>IF(OR(J25="",Results!J12=""),"",IF(AND(J25=Results!J12,Results!J12&lt;&gt;Games!$C$104),1,0))</f>
        <v/>
      </c>
      <c r="AR25" s="13" t="str">
        <f>IF(OR(K25="",Results!K12=""),"",IF(AND(K25=Results!K12,Results!K12&lt;&gt;Games!$C$105),1,0))</f>
        <v/>
      </c>
      <c r="AS25" s="13" t="str">
        <f>IF(OR(L25="",Results!L12=""),"",IF(AND(L25=Results!L12,Results!L12&lt;&gt;Games!$C$106),1,0))</f>
        <v/>
      </c>
      <c r="AT25" s="13" t="str">
        <f>IF(OR(M25="",Results!M12=""),"",IF(AND(M25=Results!M12,Results!M12&lt;&gt;Games!$C$107),1,0))</f>
        <v/>
      </c>
      <c r="AU25" s="13" t="str">
        <f>IF(OR(N25="",Results!N12=""),"",IF(AND(N25=Results!N12,Results!N12&lt;&gt;Games!$C$108),1,0))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tr">
        <f>IF(OR(B26="",Results!B12=""),"",IF(B26=Results!B12,1+IF(OR($O26=1,$P26=1,$Q26=1),1,0),0))</f>
        <v/>
      </c>
      <c r="T26" s="4" t="str">
        <f>IF(OR(C26="",Results!C12=""),"",IF(C26=Results!C12,1+IF(OR($O26=2,$P26=2,$Q26=2),1,0),0))</f>
        <v/>
      </c>
      <c r="U26" s="4" t="str">
        <f>IF(OR(D26="",Results!D12=""),"",IF(D26=Results!D12,1+IF(OR($O26=3,$P26=3,$Q26=3),1,0),0))</f>
        <v/>
      </c>
      <c r="V26" s="4" t="str">
        <f>IF(OR(E26="",Results!E12=""),"",IF(E26=Results!E12,1+IF(OR($O26=4,$P26=4,$Q26=4),1,0),0))</f>
        <v/>
      </c>
      <c r="W26" s="4" t="str">
        <f>IF(OR(F26="",Results!F12=""),"",IF(F26=Results!F12,1+IF(OR($O26=5,$P26=5,$Q26=5),1,0),0))</f>
        <v/>
      </c>
      <c r="X26" s="4" t="str">
        <f>IF(OR(G26="",Results!G12=""),"",IF(G26=Results!G12,1+IF(OR($O26=6,$P26=6,$Q26=6),1,0),0))</f>
        <v/>
      </c>
      <c r="Y26" s="4" t="str">
        <f>IF(OR(H26="",Results!H12=""),"",IF(H26=Results!H12,1+IF(OR($O26=7,$P26=7,$Q26=7),1,0),0))</f>
        <v/>
      </c>
      <c r="Z26" s="4" t="str">
        <f>IF(OR(I26="",Results!I12=""),"",IF(I26=Results!I12,1+IF(OR($O26=8,$P26=8,$Q26=8),1,0),0))</f>
        <v/>
      </c>
      <c r="AA26" s="4" t="str">
        <f>IF(OR(J26="",Results!J12=""),"",IF(J26=Results!J12,1+IF(OR($O26=9,$P26=9,$Q26=9),1,0),0))</f>
        <v/>
      </c>
      <c r="AB26" s="4" t="str">
        <f>IF(OR(K26="",Results!K12=""),"",IF(K26=Results!K12,1+IF(OR($O26=10,$P26=10,$Q26=10),1,0),0))</f>
        <v/>
      </c>
      <c r="AC26" s="4" t="str">
        <f>IF(OR(L26="",Results!L12=""),"",IF(L26=Results!L12,1+IF(OR($O26=11,$P26=11,$Q26=11),1,0),0))</f>
        <v/>
      </c>
      <c r="AD26" s="4" t="str">
        <f>IF(OR(M26="",Results!M12=""),"",IF(M26=Results!M12,1+IF(OR($O26=12,$P26=12,$Q26=12),1,0),0))</f>
        <v/>
      </c>
      <c r="AE26" s="4" t="str">
        <f>IF(OR(N26="",Results!N12=""),"",IF(N26=Results!N12,1+IF(OR($O26=13,$P26=13,$Q26=13),1,0),0))</f>
        <v/>
      </c>
      <c r="AF26" s="11">
        <f t="shared" si="0"/>
        <v>0</v>
      </c>
      <c r="AG26" s="4" t="str">
        <f>IF(OR($R26="",Results!O12=""),"",ABS($R26-Results!O12))</f>
        <v/>
      </c>
      <c r="AH26" s="12">
        <v>48</v>
      </c>
      <c r="AI26" s="13" t="str">
        <f>IF(OR(B26="",Results!B12=""),"",IF(AND(B26=Results!B12,Results!B12&lt;&gt;Games!$C$96),1,0))</f>
        <v/>
      </c>
      <c r="AJ26" s="13" t="str">
        <f>IF(OR(C26="",Results!C12=""),"",IF(AND(C26=Results!C12,Results!C12&lt;&gt;Games!$C$97),1,0))</f>
        <v/>
      </c>
      <c r="AK26" s="13" t="str">
        <f>IF(OR(D26="",Results!D12=""),"",IF(AND(D26=Results!D12,Results!D12&lt;&gt;Games!$C$98),1,0))</f>
        <v/>
      </c>
      <c r="AL26" s="13" t="str">
        <f>IF(OR(E26="",Results!E12=""),"",IF(AND(E26=Results!E12,Results!E12&lt;&gt;Games!$C$99),1,0))</f>
        <v/>
      </c>
      <c r="AM26" s="13" t="str">
        <f>IF(OR(F26="",Results!F12=""),"",IF(AND(F26=Results!F12,Results!F12&lt;&gt;Games!$C$100),1,0))</f>
        <v/>
      </c>
      <c r="AN26" s="13" t="str">
        <f>IF(OR(G26="",Results!G12=""),"",IF(AND(G26=Results!G12,Results!G12&lt;&gt;Games!$C$101),1,0))</f>
        <v/>
      </c>
      <c r="AO26" s="13" t="str">
        <f>IF(OR(H26="",Results!H12=""),"",IF(AND(H26=Results!H12,Results!H12&lt;&gt;Games!$C$102),1,0))</f>
        <v/>
      </c>
      <c r="AP26" s="13" t="str">
        <f>IF(OR(I26="",Results!I12=""),"",IF(AND(I26=Results!I12,Results!I12&lt;&gt;Games!$C$103),1,0))</f>
        <v/>
      </c>
      <c r="AQ26" s="13" t="str">
        <f>IF(OR(J26="",Results!J12=""),"",IF(AND(J26=Results!J12,Results!J12&lt;&gt;Games!$C$104),1,0))</f>
        <v/>
      </c>
      <c r="AR26" s="13" t="str">
        <f>IF(OR(K26="",Results!K12=""),"",IF(AND(K26=Results!K12,Results!K12&lt;&gt;Games!$C$105),1,0))</f>
        <v/>
      </c>
      <c r="AS26" s="13" t="str">
        <f>IF(OR(L26="",Results!L12=""),"",IF(AND(L26=Results!L12,Results!L12&lt;&gt;Games!$C$106),1,0))</f>
        <v/>
      </c>
      <c r="AT26" s="13" t="str">
        <f>IF(OR(M26="",Results!M12=""),"",IF(AND(M26=Results!M12,Results!M12&lt;&gt;Games!$C$107),1,0))</f>
        <v/>
      </c>
      <c r="AU26" s="13" t="str">
        <f>IF(OR(N26="",Results!N12=""),"",IF(AND(N26=Results!N12,Results!N12&lt;&gt;Games!$C$108),1,0))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 t="str">
        <f>IF(OR(B27="",Results!B12=""),"",IF(B27=Results!B12,1+IF(OR($O27=1,$P27=1,$Q27=1),1,0),0))</f>
        <v/>
      </c>
      <c r="T27" s="4" t="str">
        <f>IF(OR(C27="",Results!C12=""),"",IF(C27=Results!C12,1+IF(OR($O27=2,$P27=2,$Q27=2),1,0),0))</f>
        <v/>
      </c>
      <c r="U27" s="4" t="str">
        <f>IF(OR(D27="",Results!D12=""),"",IF(D27=Results!D12,1+IF(OR($O27=3,$P27=3,$Q27=3),1,0),0))</f>
        <v/>
      </c>
      <c r="V27" s="4" t="str">
        <f>IF(OR(E27="",Results!E12=""),"",IF(E27=Results!E12,1+IF(OR($O27=4,$P27=4,$Q27=4),1,0),0))</f>
        <v/>
      </c>
      <c r="W27" s="4" t="str">
        <f>IF(OR(F27="",Results!F12=""),"",IF(F27=Results!F12,1+IF(OR($O27=5,$P27=5,$Q27=5),1,0),0))</f>
        <v/>
      </c>
      <c r="X27" s="4" t="str">
        <f>IF(OR(G27="",Results!G12=""),"",IF(G27=Results!G12,1+IF(OR($O27=6,$P27=6,$Q27=6),1,0),0))</f>
        <v/>
      </c>
      <c r="Y27" s="4" t="str">
        <f>IF(OR(H27="",Results!H12=""),"",IF(H27=Results!H12,1+IF(OR($O27=7,$P27=7,$Q27=7),1,0),0))</f>
        <v/>
      </c>
      <c r="Z27" s="4" t="str">
        <f>IF(OR(I27="",Results!I12=""),"",IF(I27=Results!I12,1+IF(OR($O27=8,$P27=8,$Q27=8),1,0),0))</f>
        <v/>
      </c>
      <c r="AA27" s="4" t="str">
        <f>IF(OR(J27="",Results!J12=""),"",IF(J27=Results!J12,1+IF(OR($O27=9,$P27=9,$Q27=9),1,0),0))</f>
        <v/>
      </c>
      <c r="AB27" s="4" t="str">
        <f>IF(OR(K27="",Results!K12=""),"",IF(K27=Results!K12,1+IF(OR($O27=10,$P27=10,$Q27=10),1,0),0))</f>
        <v/>
      </c>
      <c r="AC27" s="4" t="str">
        <f>IF(OR(L27="",Results!L12=""),"",IF(L27=Results!L12,1+IF(OR($O27=11,$P27=11,$Q27=11),1,0),0))</f>
        <v/>
      </c>
      <c r="AD27" s="4" t="str">
        <f>IF(OR(M27="",Results!M12=""),"",IF(M27=Results!M12,1+IF(OR($O27=12,$P27=12,$Q27=12),1,0),0))</f>
        <v/>
      </c>
      <c r="AE27" s="4" t="str">
        <f>IF(OR(N27="",Results!N12=""),"",IF(N27=Results!N12,1+IF(OR($O27=13,$P27=13,$Q27=13),1,0),0))</f>
        <v/>
      </c>
      <c r="AF27" s="11">
        <f t="shared" si="0"/>
        <v>0</v>
      </c>
      <c r="AG27" s="4" t="str">
        <f>IF(OR($R27="",Results!O12=""),"",ABS($R27-Results!O12))</f>
        <v/>
      </c>
      <c r="AH27" s="12">
        <v>38</v>
      </c>
      <c r="AI27" s="13" t="str">
        <f>IF(OR(B27="",Results!B12=""),"",IF(AND(B27=Results!B12,Results!B12&lt;&gt;Games!$C$96),1,0))</f>
        <v/>
      </c>
      <c r="AJ27" s="13" t="str">
        <f>IF(OR(C27="",Results!C12=""),"",IF(AND(C27=Results!C12,Results!C12&lt;&gt;Games!$C$97),1,0))</f>
        <v/>
      </c>
      <c r="AK27" s="13" t="str">
        <f>IF(OR(D27="",Results!D12=""),"",IF(AND(D27=Results!D12,Results!D12&lt;&gt;Games!$C$98),1,0))</f>
        <v/>
      </c>
      <c r="AL27" s="13" t="str">
        <f>IF(OR(E27="",Results!E12=""),"",IF(AND(E27=Results!E12,Results!E12&lt;&gt;Games!$C$99),1,0))</f>
        <v/>
      </c>
      <c r="AM27" s="13" t="str">
        <f>IF(OR(F27="",Results!F12=""),"",IF(AND(F27=Results!F12,Results!F12&lt;&gt;Games!$C$100),1,0))</f>
        <v/>
      </c>
      <c r="AN27" s="13" t="str">
        <f>IF(OR(G27="",Results!G12=""),"",IF(AND(G27=Results!G12,Results!G12&lt;&gt;Games!$C$101),1,0))</f>
        <v/>
      </c>
      <c r="AO27" s="13" t="str">
        <f>IF(OR(H27="",Results!H12=""),"",IF(AND(H27=Results!H12,Results!H12&lt;&gt;Games!$C$102),1,0))</f>
        <v/>
      </c>
      <c r="AP27" s="13" t="str">
        <f>IF(OR(I27="",Results!I12=""),"",IF(AND(I27=Results!I12,Results!I12&lt;&gt;Games!$C$103),1,0))</f>
        <v/>
      </c>
      <c r="AQ27" s="13" t="str">
        <f>IF(OR(J27="",Results!J12=""),"",IF(AND(J27=Results!J12,Results!J12&lt;&gt;Games!$C$104),1,0))</f>
        <v/>
      </c>
      <c r="AR27" s="13" t="str">
        <f>IF(OR(K27="",Results!K12=""),"",IF(AND(K27=Results!K12,Results!K12&lt;&gt;Games!$C$105),1,0))</f>
        <v/>
      </c>
      <c r="AS27" s="13" t="str">
        <f>IF(OR(L27="",Results!L12=""),"",IF(AND(L27=Results!L12,Results!L12&lt;&gt;Games!$C$106),1,0))</f>
        <v/>
      </c>
      <c r="AT27" s="13" t="str">
        <f>IF(OR(M27="",Results!M12=""),"",IF(AND(M27=Results!M12,Results!M12&lt;&gt;Games!$C$107),1,0))</f>
        <v/>
      </c>
      <c r="AU27" s="13" t="str">
        <f>IF(OR(N27="",Results!N12=""),"",IF(AND(N27=Results!N12,Results!N12&lt;&gt;Games!$C$108),1,0))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IF(OR(B28="",Results!B12=""),"",IF(B28=Results!B12,1+IF(OR($O28=1,$P28=1,$Q28=1),1,0),0))</f>
        <v/>
      </c>
      <c r="T28" s="4" t="str">
        <f>IF(OR(C28="",Results!C12=""),"",IF(C28=Results!C12,1+IF(OR($O28=2,$P28=2,$Q28=2),1,0),0))</f>
        <v/>
      </c>
      <c r="U28" s="4" t="str">
        <f>IF(OR(D28="",Results!D12=""),"",IF(D28=Results!D12,1+IF(OR($O28=3,$P28=3,$Q28=3),1,0),0))</f>
        <v/>
      </c>
      <c r="V28" s="4" t="str">
        <f>IF(OR(E28="",Results!E12=""),"",IF(E28=Results!E12,1+IF(OR($O28=4,$P28=4,$Q28=4),1,0),0))</f>
        <v/>
      </c>
      <c r="W28" s="4" t="str">
        <f>IF(OR(F28="",Results!F12=""),"",IF(F28=Results!F12,1+IF(OR($O28=5,$P28=5,$Q28=5),1,0),0))</f>
        <v/>
      </c>
      <c r="X28" s="4" t="str">
        <f>IF(OR(G28="",Results!G12=""),"",IF(G28=Results!G12,1+IF(OR($O28=6,$P28=6,$Q28=6),1,0),0))</f>
        <v/>
      </c>
      <c r="Y28" s="4" t="str">
        <f>IF(OR(H28="",Results!H12=""),"",IF(H28=Results!H12,1+IF(OR($O28=7,$P28=7,$Q28=7),1,0),0))</f>
        <v/>
      </c>
      <c r="Z28" s="4" t="str">
        <f>IF(OR(I28="",Results!I12=""),"",IF(I28=Results!I12,1+IF(OR($O28=8,$P28=8,$Q28=8),1,0),0))</f>
        <v/>
      </c>
      <c r="AA28" s="4" t="str">
        <f>IF(OR(J28="",Results!J12=""),"",IF(J28=Results!J12,1+IF(OR($O28=9,$P28=9,$Q28=9),1,0),0))</f>
        <v/>
      </c>
      <c r="AB28" s="4" t="str">
        <f>IF(OR(K28="",Results!K12=""),"",IF(K28=Results!K12,1+IF(OR($O28=10,$P28=10,$Q28=10),1,0),0))</f>
        <v/>
      </c>
      <c r="AC28" s="4" t="str">
        <f>IF(OR(L28="",Results!L12=""),"",IF(L28=Results!L12,1+IF(OR($O28=11,$P28=11,$Q28=11),1,0),0))</f>
        <v/>
      </c>
      <c r="AD28" s="4" t="str">
        <f>IF(OR(M28="",Results!M12=""),"",IF(M28=Results!M12,1+IF(OR($O28=12,$P28=12,$Q28=12),1,0),0))</f>
        <v/>
      </c>
      <c r="AE28" s="4" t="str">
        <f>IF(OR(N28="",Results!N12=""),"",IF(N28=Results!N12,1+IF(OR($O28=13,$P28=13,$Q28=13),1,0),0))</f>
        <v/>
      </c>
      <c r="AF28" s="11">
        <f t="shared" si="0"/>
        <v>0</v>
      </c>
      <c r="AG28" s="4" t="str">
        <f>IF(OR($R28="",Results!O12=""),"",ABS($R28-Results!O12))</f>
        <v/>
      </c>
      <c r="AH28" s="12">
        <v>60</v>
      </c>
      <c r="AI28" s="13" t="str">
        <f>IF(OR(B28="",Results!B12=""),"",IF(AND(B28=Results!B12,Results!B12&lt;&gt;Games!$C$96),1,0))</f>
        <v/>
      </c>
      <c r="AJ28" s="13" t="str">
        <f>IF(OR(C28="",Results!C12=""),"",IF(AND(C28=Results!C12,Results!C12&lt;&gt;Games!$C$97),1,0))</f>
        <v/>
      </c>
      <c r="AK28" s="13" t="str">
        <f>IF(OR(D28="",Results!D12=""),"",IF(AND(D28=Results!D12,Results!D12&lt;&gt;Games!$C$98),1,0))</f>
        <v/>
      </c>
      <c r="AL28" s="13" t="str">
        <f>IF(OR(E28="",Results!E12=""),"",IF(AND(E28=Results!E12,Results!E12&lt;&gt;Games!$C$99),1,0))</f>
        <v/>
      </c>
      <c r="AM28" s="13" t="str">
        <f>IF(OR(F28="",Results!F12=""),"",IF(AND(F28=Results!F12,Results!F12&lt;&gt;Games!$C$100),1,0))</f>
        <v/>
      </c>
      <c r="AN28" s="13" t="str">
        <f>IF(OR(G28="",Results!G12=""),"",IF(AND(G28=Results!G12,Results!G12&lt;&gt;Games!$C$101),1,0))</f>
        <v/>
      </c>
      <c r="AO28" s="13" t="str">
        <f>IF(OR(H28="",Results!H12=""),"",IF(AND(H28=Results!H12,Results!H12&lt;&gt;Games!$C$102),1,0))</f>
        <v/>
      </c>
      <c r="AP28" s="13" t="str">
        <f>IF(OR(I28="",Results!I12=""),"",IF(AND(I28=Results!I12,Results!I12&lt;&gt;Games!$C$103),1,0))</f>
        <v/>
      </c>
      <c r="AQ28" s="13" t="str">
        <f>IF(OR(J28="",Results!J12=""),"",IF(AND(J28=Results!J12,Results!J12&lt;&gt;Games!$C$104),1,0))</f>
        <v/>
      </c>
      <c r="AR28" s="13" t="str">
        <f>IF(OR(K28="",Results!K12=""),"",IF(AND(K28=Results!K12,Results!K12&lt;&gt;Games!$C$105),1,0))</f>
        <v/>
      </c>
      <c r="AS28" s="13" t="str">
        <f>IF(OR(L28="",Results!L12=""),"",IF(AND(L28=Results!L12,Results!L12&lt;&gt;Games!$C$106),1,0))</f>
        <v/>
      </c>
      <c r="AT28" s="13" t="str">
        <f>IF(OR(M28="",Results!M12=""),"",IF(AND(M28=Results!M12,Results!M12&lt;&gt;Games!$C$107),1,0))</f>
        <v/>
      </c>
      <c r="AU28" s="13" t="str">
        <f>IF(OR(N28="",Results!N12=""),"",IF(AND(N28=Results!N12,Results!N12&lt;&gt;Games!$C$108),1,0))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IF(OR(B29="",Results!B12=""),"",IF(B29=Results!B12,1+IF(OR($O29=1,$P29=1,$Q29=1),1,0),0))</f>
        <v/>
      </c>
      <c r="T29" s="4" t="str">
        <f>IF(OR(C29="",Results!C12=""),"",IF(C29=Results!C12,1+IF(OR($O29=2,$P29=2,$Q29=2),1,0),0))</f>
        <v/>
      </c>
      <c r="U29" s="4" t="str">
        <f>IF(OR(D29="",Results!D12=""),"",IF(D29=Results!D12,1+IF(OR($O29=3,$P29=3,$Q29=3),1,0),0))</f>
        <v/>
      </c>
      <c r="V29" s="4" t="str">
        <f>IF(OR(E29="",Results!E12=""),"",IF(E29=Results!E12,1+IF(OR($O29=4,$P29=4,$Q29=4),1,0),0))</f>
        <v/>
      </c>
      <c r="W29" s="4" t="str">
        <f>IF(OR(F29="",Results!F12=""),"",IF(F29=Results!F12,1+IF(OR($O29=5,$P29=5,$Q29=5),1,0),0))</f>
        <v/>
      </c>
      <c r="X29" s="4" t="str">
        <f>IF(OR(G29="",Results!G12=""),"",IF(G29=Results!G12,1+IF(OR($O29=6,$P29=6,$Q29=6),1,0),0))</f>
        <v/>
      </c>
      <c r="Y29" s="4" t="str">
        <f>IF(OR(H29="",Results!H12=""),"",IF(H29=Results!H12,1+IF(OR($O29=7,$P29=7,$Q29=7),1,0),0))</f>
        <v/>
      </c>
      <c r="Z29" s="4" t="str">
        <f>IF(OR(I29="",Results!I12=""),"",IF(I29=Results!I12,1+IF(OR($O29=8,$P29=8,$Q29=8),1,0),0))</f>
        <v/>
      </c>
      <c r="AA29" s="4" t="str">
        <f>IF(OR(J29="",Results!J12=""),"",IF(J29=Results!J12,1+IF(OR($O29=9,$P29=9,$Q29=9),1,0),0))</f>
        <v/>
      </c>
      <c r="AB29" s="4" t="str">
        <f>IF(OR(K29="",Results!K12=""),"",IF(K29=Results!K12,1+IF(OR($O29=10,$P29=10,$Q29=10),1,0),0))</f>
        <v/>
      </c>
      <c r="AC29" s="4" t="str">
        <f>IF(OR(L29="",Results!L12=""),"",IF(L29=Results!L12,1+IF(OR($O29=11,$P29=11,$Q29=11),1,0),0))</f>
        <v/>
      </c>
      <c r="AD29" s="4" t="str">
        <f>IF(OR(M29="",Results!M12=""),"",IF(M29=Results!M12,1+IF(OR($O29=12,$P29=12,$Q29=12),1,0),0))</f>
        <v/>
      </c>
      <c r="AE29" s="4" t="str">
        <f>IF(OR(N29="",Results!N12=""),"",IF(N29=Results!N12,1+IF(OR($O29=13,$P29=13,$Q29=13),1,0),0))</f>
        <v/>
      </c>
      <c r="AF29" s="11">
        <f t="shared" si="0"/>
        <v>0</v>
      </c>
      <c r="AG29" s="4" t="str">
        <f>IF(OR($R29="",Results!O12=""),"",ABS($R29-Results!O12))</f>
        <v/>
      </c>
      <c r="AH29" s="12">
        <v>11</v>
      </c>
      <c r="AI29" s="13" t="str">
        <f>IF(OR(B29="",Results!B12=""),"",IF(AND(B29=Results!B12,Results!B12&lt;&gt;Games!$C$96),1,0))</f>
        <v/>
      </c>
      <c r="AJ29" s="13" t="str">
        <f>IF(OR(C29="",Results!C12=""),"",IF(AND(C29=Results!C12,Results!C12&lt;&gt;Games!$C$97),1,0))</f>
        <v/>
      </c>
      <c r="AK29" s="13" t="str">
        <f>IF(OR(D29="",Results!D12=""),"",IF(AND(D29=Results!D12,Results!D12&lt;&gt;Games!$C$98),1,0))</f>
        <v/>
      </c>
      <c r="AL29" s="13" t="str">
        <f>IF(OR(E29="",Results!E12=""),"",IF(AND(E29=Results!E12,Results!E12&lt;&gt;Games!$C$99),1,0))</f>
        <v/>
      </c>
      <c r="AM29" s="13" t="str">
        <f>IF(OR(F29="",Results!F12=""),"",IF(AND(F29=Results!F12,Results!F12&lt;&gt;Games!$C$100),1,0))</f>
        <v/>
      </c>
      <c r="AN29" s="13" t="str">
        <f>IF(OR(G29="",Results!G12=""),"",IF(AND(G29=Results!G12,Results!G12&lt;&gt;Games!$C$101),1,0))</f>
        <v/>
      </c>
      <c r="AO29" s="13" t="str">
        <f>IF(OR(H29="",Results!H12=""),"",IF(AND(H29=Results!H12,Results!H12&lt;&gt;Games!$C$102),1,0))</f>
        <v/>
      </c>
      <c r="AP29" s="13" t="str">
        <f>IF(OR(I29="",Results!I12=""),"",IF(AND(I29=Results!I12,Results!I12&lt;&gt;Games!$C$103),1,0))</f>
        <v/>
      </c>
      <c r="AQ29" s="13" t="str">
        <f>IF(OR(J29="",Results!J12=""),"",IF(AND(J29=Results!J12,Results!J12&lt;&gt;Games!$C$104),1,0))</f>
        <v/>
      </c>
      <c r="AR29" s="13" t="str">
        <f>IF(OR(K29="",Results!K12=""),"",IF(AND(K29=Results!K12,Results!K12&lt;&gt;Games!$C$105),1,0))</f>
        <v/>
      </c>
      <c r="AS29" s="13" t="str">
        <f>IF(OR(L29="",Results!L12=""),"",IF(AND(L29=Results!L12,Results!L12&lt;&gt;Games!$C$106),1,0))</f>
        <v/>
      </c>
      <c r="AT29" s="13" t="str">
        <f>IF(OR(M29="",Results!M12=""),"",IF(AND(M29=Results!M12,Results!M12&lt;&gt;Games!$C$107),1,0))</f>
        <v/>
      </c>
      <c r="AU29" s="13" t="str">
        <f>IF(OR(N29="",Results!N12=""),"",IF(AND(N29=Results!N12,Results!N12&lt;&gt;Games!$C$108),1,0))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 t="str">
        <f>IF(OR(B30="",Results!B12=""),"",IF(B30=Results!B12,1+IF(OR($O30=1,$P30=1,$Q30=1),1,0),0))</f>
        <v/>
      </c>
      <c r="T30" s="4" t="str">
        <f>IF(OR(C30="",Results!C12=""),"",IF(C30=Results!C12,1+IF(OR($O30=2,$P30=2,$Q30=2),1,0),0))</f>
        <v/>
      </c>
      <c r="U30" s="4" t="str">
        <f>IF(OR(D30="",Results!D12=""),"",IF(D30=Results!D12,1+IF(OR($O30=3,$P30=3,$Q30=3),1,0),0))</f>
        <v/>
      </c>
      <c r="V30" s="4" t="str">
        <f>IF(OR(E30="",Results!E12=""),"",IF(E30=Results!E12,1+IF(OR($O30=4,$P30=4,$Q30=4),1,0),0))</f>
        <v/>
      </c>
      <c r="W30" s="4" t="str">
        <f>IF(OR(F30="",Results!F12=""),"",IF(F30=Results!F12,1+IF(OR($O30=5,$P30=5,$Q30=5),1,0),0))</f>
        <v/>
      </c>
      <c r="X30" s="4" t="str">
        <f>IF(OR(G30="",Results!G12=""),"",IF(G30=Results!G12,1+IF(OR($O30=6,$P30=6,$Q30=6),1,0),0))</f>
        <v/>
      </c>
      <c r="Y30" s="4" t="str">
        <f>IF(OR(H30="",Results!H12=""),"",IF(H30=Results!H12,1+IF(OR($O30=7,$P30=7,$Q30=7),1,0),0))</f>
        <v/>
      </c>
      <c r="Z30" s="4" t="str">
        <f>IF(OR(I30="",Results!I12=""),"",IF(I30=Results!I12,1+IF(OR($O30=8,$P30=8,$Q30=8),1,0),0))</f>
        <v/>
      </c>
      <c r="AA30" s="4" t="str">
        <f>IF(OR(J30="",Results!J12=""),"",IF(J30=Results!J12,1+IF(OR($O30=9,$P30=9,$Q30=9),1,0),0))</f>
        <v/>
      </c>
      <c r="AB30" s="4" t="str">
        <f>IF(OR(K30="",Results!K12=""),"",IF(K30=Results!K12,1+IF(OR($O30=10,$P30=10,$Q30=10),1,0),0))</f>
        <v/>
      </c>
      <c r="AC30" s="4" t="str">
        <f>IF(OR(L30="",Results!L12=""),"",IF(L30=Results!L12,1+IF(OR($O30=11,$P30=11,$Q30=11),1,0),0))</f>
        <v/>
      </c>
      <c r="AD30" s="4" t="str">
        <f>IF(OR(M30="",Results!M12=""),"",IF(M30=Results!M12,1+IF(OR($O30=12,$P30=12,$Q30=12),1,0),0))</f>
        <v/>
      </c>
      <c r="AE30" s="4" t="str">
        <f>IF(OR(N30="",Results!N12=""),"",IF(N30=Results!N12,1+IF(OR($O30=13,$P30=13,$Q30=13),1,0),0))</f>
        <v/>
      </c>
      <c r="AF30" s="11">
        <f t="shared" si="0"/>
        <v>0</v>
      </c>
      <c r="AG30" s="4" t="str">
        <f>IF(OR($R30="",Results!O12=""),"",ABS($R30-Results!O12))</f>
        <v/>
      </c>
      <c r="AH30" s="12">
        <v>12</v>
      </c>
      <c r="AI30" s="13" t="str">
        <f>IF(OR(B30="",Results!B12=""),"",IF(AND(B30=Results!B12,Results!B12&lt;&gt;Games!$C$96),1,0))</f>
        <v/>
      </c>
      <c r="AJ30" s="13" t="str">
        <f>IF(OR(C30="",Results!C12=""),"",IF(AND(C30=Results!C12,Results!C12&lt;&gt;Games!$C$97),1,0))</f>
        <v/>
      </c>
      <c r="AK30" s="13" t="str">
        <f>IF(OR(D30="",Results!D12=""),"",IF(AND(D30=Results!D12,Results!D12&lt;&gt;Games!$C$98),1,0))</f>
        <v/>
      </c>
      <c r="AL30" s="13" t="str">
        <f>IF(OR(E30="",Results!E12=""),"",IF(AND(E30=Results!E12,Results!E12&lt;&gt;Games!$C$99),1,0))</f>
        <v/>
      </c>
      <c r="AM30" s="13" t="str">
        <f>IF(OR(F30="",Results!F12=""),"",IF(AND(F30=Results!F12,Results!F12&lt;&gt;Games!$C$100),1,0))</f>
        <v/>
      </c>
      <c r="AN30" s="13" t="str">
        <f>IF(OR(G30="",Results!G12=""),"",IF(AND(G30=Results!G12,Results!G12&lt;&gt;Games!$C$101),1,0))</f>
        <v/>
      </c>
      <c r="AO30" s="13" t="str">
        <f>IF(OR(H30="",Results!H12=""),"",IF(AND(H30=Results!H12,Results!H12&lt;&gt;Games!$C$102),1,0))</f>
        <v/>
      </c>
      <c r="AP30" s="13" t="str">
        <f>IF(OR(I30="",Results!I12=""),"",IF(AND(I30=Results!I12,Results!I12&lt;&gt;Games!$C$103),1,0))</f>
        <v/>
      </c>
      <c r="AQ30" s="13" t="str">
        <f>IF(OR(J30="",Results!J12=""),"",IF(AND(J30=Results!J12,Results!J12&lt;&gt;Games!$C$104),1,0))</f>
        <v/>
      </c>
      <c r="AR30" s="13" t="str">
        <f>IF(OR(K30="",Results!K12=""),"",IF(AND(K30=Results!K12,Results!K12&lt;&gt;Games!$C$105),1,0))</f>
        <v/>
      </c>
      <c r="AS30" s="13" t="str">
        <f>IF(OR(L30="",Results!L12=""),"",IF(AND(L30=Results!L12,Results!L12&lt;&gt;Games!$C$106),1,0))</f>
        <v/>
      </c>
      <c r="AT30" s="13" t="str">
        <f>IF(OR(M30="",Results!M12=""),"",IF(AND(M30=Results!M12,Results!M12&lt;&gt;Games!$C$107),1,0))</f>
        <v/>
      </c>
      <c r="AU30" s="13" t="str">
        <f>IF(OR(N30="",Results!N12=""),"",IF(AND(N30=Results!N12,Results!N12&lt;&gt;Games!$C$108),1,0))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IF(OR(B31="",Results!B12=""),"",IF(B31=Results!B12,1+IF(OR($O31=1,$P31=1,$Q31=1),1,0),0))</f>
        <v/>
      </c>
      <c r="T31" s="4" t="str">
        <f>IF(OR(C31="",Results!C12=""),"",IF(C31=Results!C12,1+IF(OR($O31=2,$P31=2,$Q31=2),1,0),0))</f>
        <v/>
      </c>
      <c r="U31" s="4" t="str">
        <f>IF(OR(D31="",Results!D12=""),"",IF(D31=Results!D12,1+IF(OR($O31=3,$P31=3,$Q31=3),1,0),0))</f>
        <v/>
      </c>
      <c r="V31" s="4" t="str">
        <f>IF(OR(E31="",Results!E12=""),"",IF(E31=Results!E12,1+IF(OR($O31=4,$P31=4,$Q31=4),1,0),0))</f>
        <v/>
      </c>
      <c r="W31" s="4" t="str">
        <f>IF(OR(F31="",Results!F12=""),"",IF(F31=Results!F12,1+IF(OR($O31=5,$P31=5,$Q31=5),1,0),0))</f>
        <v/>
      </c>
      <c r="X31" s="4" t="str">
        <f>IF(OR(G31="",Results!G12=""),"",IF(G31=Results!G12,1+IF(OR($O31=6,$P31=6,$Q31=6),1,0),0))</f>
        <v/>
      </c>
      <c r="Y31" s="4" t="str">
        <f>IF(OR(H31="",Results!H12=""),"",IF(H31=Results!H12,1+IF(OR($O31=7,$P31=7,$Q31=7),1,0),0))</f>
        <v/>
      </c>
      <c r="Z31" s="4" t="str">
        <f>IF(OR(I31="",Results!I12=""),"",IF(I31=Results!I12,1+IF(OR($O31=8,$P31=8,$Q31=8),1,0),0))</f>
        <v/>
      </c>
      <c r="AA31" s="4" t="str">
        <f>IF(OR(J31="",Results!J12=""),"",IF(J31=Results!J12,1+IF(OR($O31=9,$P31=9,$Q31=9),1,0),0))</f>
        <v/>
      </c>
      <c r="AB31" s="4" t="str">
        <f>IF(OR(K31="",Results!K12=""),"",IF(K31=Results!K12,1+IF(OR($O31=10,$P31=10,$Q31=10),1,0),0))</f>
        <v/>
      </c>
      <c r="AC31" s="4" t="str">
        <f>IF(OR(L31="",Results!L12=""),"",IF(L31=Results!L12,1+IF(OR($O31=11,$P31=11,$Q31=11),1,0),0))</f>
        <v/>
      </c>
      <c r="AD31" s="4" t="str">
        <f>IF(OR(M31="",Results!M12=""),"",IF(M31=Results!M12,1+IF(OR($O31=12,$P31=12,$Q31=12),1,0),0))</f>
        <v/>
      </c>
      <c r="AE31" s="4" t="str">
        <f>IF(OR(N31="",Results!N12=""),"",IF(N31=Results!N12,1+IF(OR($O31=13,$P31=13,$Q31=13),1,0),0))</f>
        <v/>
      </c>
      <c r="AF31" s="11">
        <f t="shared" si="0"/>
        <v>0</v>
      </c>
      <c r="AG31" s="4" t="str">
        <f>IF(OR($R31="",Results!O12=""),"",ABS($R31-Results!O12))</f>
        <v/>
      </c>
      <c r="AH31" s="12">
        <v>13</v>
      </c>
      <c r="AI31" s="13" t="str">
        <f>IF(OR(B31="",Results!B12=""),"",IF(AND(B31=Results!B12,Results!B12&lt;&gt;Games!$C$96),1,0))</f>
        <v/>
      </c>
      <c r="AJ31" s="13" t="str">
        <f>IF(OR(C31="",Results!C12=""),"",IF(AND(C31=Results!C12,Results!C12&lt;&gt;Games!$C$97),1,0))</f>
        <v/>
      </c>
      <c r="AK31" s="13" t="str">
        <f>IF(OR(D31="",Results!D12=""),"",IF(AND(D31=Results!D12,Results!D12&lt;&gt;Games!$C$98),1,0))</f>
        <v/>
      </c>
      <c r="AL31" s="13" t="str">
        <f>IF(OR(E31="",Results!E12=""),"",IF(AND(E31=Results!E12,Results!E12&lt;&gt;Games!$C$99),1,0))</f>
        <v/>
      </c>
      <c r="AM31" s="13" t="str">
        <f>IF(OR(F31="",Results!F12=""),"",IF(AND(F31=Results!F12,Results!F12&lt;&gt;Games!$C$100),1,0))</f>
        <v/>
      </c>
      <c r="AN31" s="13" t="str">
        <f>IF(OR(G31="",Results!G12=""),"",IF(AND(G31=Results!G12,Results!G12&lt;&gt;Games!$C$101),1,0))</f>
        <v/>
      </c>
      <c r="AO31" s="13" t="str">
        <f>IF(OR(H31="",Results!H12=""),"",IF(AND(H31=Results!H12,Results!H12&lt;&gt;Games!$C$102),1,0))</f>
        <v/>
      </c>
      <c r="AP31" s="13" t="str">
        <f>IF(OR(I31="",Results!I12=""),"",IF(AND(I31=Results!I12,Results!I12&lt;&gt;Games!$C$103),1,0))</f>
        <v/>
      </c>
      <c r="AQ31" s="13" t="str">
        <f>IF(OR(J31="",Results!J12=""),"",IF(AND(J31=Results!J12,Results!J12&lt;&gt;Games!$C$104),1,0))</f>
        <v/>
      </c>
      <c r="AR31" s="13" t="str">
        <f>IF(OR(K31="",Results!K12=""),"",IF(AND(K31=Results!K12,Results!K12&lt;&gt;Games!$C$105),1,0))</f>
        <v/>
      </c>
      <c r="AS31" s="13" t="str">
        <f>IF(OR(L31="",Results!L12=""),"",IF(AND(L31=Results!L12,Results!L12&lt;&gt;Games!$C$106),1,0))</f>
        <v/>
      </c>
      <c r="AT31" s="13" t="str">
        <f>IF(OR(M31="",Results!M12=""),"",IF(AND(M31=Results!M12,Results!M12&lt;&gt;Games!$C$107),1,0))</f>
        <v/>
      </c>
      <c r="AU31" s="13" t="str">
        <f>IF(OR(N31="",Results!N12=""),"",IF(AND(N31=Results!N12,Results!N12&lt;&gt;Games!$C$108),1,0))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IF(OR(B32="",Results!B12=""),"",IF(B32=Results!B12,1+IF(OR($O32=1,$P32=1,$Q32=1),1,0),0))</f>
        <v/>
      </c>
      <c r="T32" s="4" t="str">
        <f>IF(OR(C32="",Results!C12=""),"",IF(C32=Results!C12,1+IF(OR($O32=2,$P32=2,$Q32=2),1,0),0))</f>
        <v/>
      </c>
      <c r="U32" s="4" t="str">
        <f>IF(OR(D32="",Results!D12=""),"",IF(D32=Results!D12,1+IF(OR($O32=3,$P32=3,$Q32=3),1,0),0))</f>
        <v/>
      </c>
      <c r="V32" s="4" t="str">
        <f>IF(OR(E32="",Results!E12=""),"",IF(E32=Results!E12,1+IF(OR($O32=4,$P32=4,$Q32=4),1,0),0))</f>
        <v/>
      </c>
      <c r="W32" s="4" t="str">
        <f>IF(OR(F32="",Results!F12=""),"",IF(F32=Results!F12,1+IF(OR($O32=5,$P32=5,$Q32=5),1,0),0))</f>
        <v/>
      </c>
      <c r="X32" s="4" t="str">
        <f>IF(OR(G32="",Results!G12=""),"",IF(G32=Results!G12,1+IF(OR($O32=6,$P32=6,$Q32=6),1,0),0))</f>
        <v/>
      </c>
      <c r="Y32" s="4" t="str">
        <f>IF(OR(H32="",Results!H12=""),"",IF(H32=Results!H12,1+IF(OR($O32=7,$P32=7,$Q32=7),1,0),0))</f>
        <v/>
      </c>
      <c r="Z32" s="4" t="str">
        <f>IF(OR(I32="",Results!I12=""),"",IF(I32=Results!I12,1+IF(OR($O32=8,$P32=8,$Q32=8),1,0),0))</f>
        <v/>
      </c>
      <c r="AA32" s="4" t="str">
        <f>IF(OR(J32="",Results!J12=""),"",IF(J32=Results!J12,1+IF(OR($O32=9,$P32=9,$Q32=9),1,0),0))</f>
        <v/>
      </c>
      <c r="AB32" s="4" t="str">
        <f>IF(OR(K32="",Results!K12=""),"",IF(K32=Results!K12,1+IF(OR($O32=10,$P32=10,$Q32=10),1,0),0))</f>
        <v/>
      </c>
      <c r="AC32" s="4" t="str">
        <f>IF(OR(L32="",Results!L12=""),"",IF(L32=Results!L12,1+IF(OR($O32=11,$P32=11,$Q32=11),1,0),0))</f>
        <v/>
      </c>
      <c r="AD32" s="4" t="str">
        <f>IF(OR(M32="",Results!M12=""),"",IF(M32=Results!M12,1+IF(OR($O32=12,$P32=12,$Q32=12),1,0),0))</f>
        <v/>
      </c>
      <c r="AE32" s="4" t="str">
        <f>IF(OR(N32="",Results!N12=""),"",IF(N32=Results!N12,1+IF(OR($O32=13,$P32=13,$Q32=13),1,0),0))</f>
        <v/>
      </c>
      <c r="AF32" s="11">
        <f t="shared" si="0"/>
        <v>0</v>
      </c>
      <c r="AG32" s="4" t="str">
        <f>IF(OR($R32="",Results!O12=""),"",ABS($R32-Results!O12))</f>
        <v/>
      </c>
      <c r="AH32" s="12">
        <v>14</v>
      </c>
      <c r="AI32" s="13" t="str">
        <f>IF(OR(B32="",Results!B12=""),"",IF(AND(B32=Results!B12,Results!B12&lt;&gt;Games!$C$96),1,0))</f>
        <v/>
      </c>
      <c r="AJ32" s="13" t="str">
        <f>IF(OR(C32="",Results!C12=""),"",IF(AND(C32=Results!C12,Results!C12&lt;&gt;Games!$C$97),1,0))</f>
        <v/>
      </c>
      <c r="AK32" s="13" t="str">
        <f>IF(OR(D32="",Results!D12=""),"",IF(AND(D32=Results!D12,Results!D12&lt;&gt;Games!$C$98),1,0))</f>
        <v/>
      </c>
      <c r="AL32" s="13" t="str">
        <f>IF(OR(E32="",Results!E12=""),"",IF(AND(E32=Results!E12,Results!E12&lt;&gt;Games!$C$99),1,0))</f>
        <v/>
      </c>
      <c r="AM32" s="13" t="str">
        <f>IF(OR(F32="",Results!F12=""),"",IF(AND(F32=Results!F12,Results!F12&lt;&gt;Games!$C$100),1,0))</f>
        <v/>
      </c>
      <c r="AN32" s="13" t="str">
        <f>IF(OR(G32="",Results!G12=""),"",IF(AND(G32=Results!G12,Results!G12&lt;&gt;Games!$C$101),1,0))</f>
        <v/>
      </c>
      <c r="AO32" s="13" t="str">
        <f>IF(OR(H32="",Results!H12=""),"",IF(AND(H32=Results!H12,Results!H12&lt;&gt;Games!$C$102),1,0))</f>
        <v/>
      </c>
      <c r="AP32" s="13" t="str">
        <f>IF(OR(I32="",Results!I12=""),"",IF(AND(I32=Results!I12,Results!I12&lt;&gt;Games!$C$103),1,0))</f>
        <v/>
      </c>
      <c r="AQ32" s="13" t="str">
        <f>IF(OR(J32="",Results!J12=""),"",IF(AND(J32=Results!J12,Results!J12&lt;&gt;Games!$C$104),1,0))</f>
        <v/>
      </c>
      <c r="AR32" s="13" t="str">
        <f>IF(OR(K32="",Results!K12=""),"",IF(AND(K32=Results!K12,Results!K12&lt;&gt;Games!$C$105),1,0))</f>
        <v/>
      </c>
      <c r="AS32" s="13" t="str">
        <f>IF(OR(L32="",Results!L12=""),"",IF(AND(L32=Results!L12,Results!L12&lt;&gt;Games!$C$106),1,0))</f>
        <v/>
      </c>
      <c r="AT32" s="13" t="str">
        <f>IF(OR(M32="",Results!M12=""),"",IF(AND(M32=Results!M12,Results!M12&lt;&gt;Games!$C$107),1,0))</f>
        <v/>
      </c>
      <c r="AU32" s="13" t="str">
        <f>IF(OR(N32="",Results!N12=""),"",IF(AND(N32=Results!N12,Results!N12&lt;&gt;Games!$C$108),1,0))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4" t="str">
        <f>IF(OR(B33="",Results!B12=""),"",IF(B33=Results!B12,1+IF(OR($O33=1,$P33=1,$Q33=1),1,0),0))</f>
        <v/>
      </c>
      <c r="T33" s="4" t="str">
        <f>IF(OR(C33="",Results!C12=""),"",IF(C33=Results!C12,1+IF(OR($O33=2,$P33=2,$Q33=2),1,0),0))</f>
        <v/>
      </c>
      <c r="U33" s="4" t="str">
        <f>IF(OR(D33="",Results!D12=""),"",IF(D33=Results!D12,1+IF(OR($O33=3,$P33=3,$Q33=3),1,0),0))</f>
        <v/>
      </c>
      <c r="V33" s="4" t="str">
        <f>IF(OR(E33="",Results!E12=""),"",IF(E33=Results!E12,1+IF(OR($O33=4,$P33=4,$Q33=4),1,0),0))</f>
        <v/>
      </c>
      <c r="W33" s="4" t="str">
        <f>IF(OR(F33="",Results!F12=""),"",IF(F33=Results!F12,1+IF(OR($O33=5,$P33=5,$Q33=5),1,0),0))</f>
        <v/>
      </c>
      <c r="X33" s="4" t="str">
        <f>IF(OR(G33="",Results!G12=""),"",IF(G33=Results!G12,1+IF(OR($O33=6,$P33=6,$Q33=6),1,0),0))</f>
        <v/>
      </c>
      <c r="Y33" s="4" t="str">
        <f>IF(OR(H33="",Results!H12=""),"",IF(H33=Results!H12,1+IF(OR($O33=7,$P33=7,$Q33=7),1,0),0))</f>
        <v/>
      </c>
      <c r="Z33" s="4" t="str">
        <f>IF(OR(I33="",Results!I12=""),"",IF(I33=Results!I12,1+IF(OR($O33=8,$P33=8,$Q33=8),1,0),0))</f>
        <v/>
      </c>
      <c r="AA33" s="4" t="str">
        <f>IF(OR(J33="",Results!J12=""),"",IF(J33=Results!J12,1+IF(OR($O33=9,$P33=9,$Q33=9),1,0),0))</f>
        <v/>
      </c>
      <c r="AB33" s="4" t="str">
        <f>IF(OR(K33="",Results!K12=""),"",IF(K33=Results!K12,1+IF(OR($O33=10,$P33=10,$Q33=10),1,0),0))</f>
        <v/>
      </c>
      <c r="AC33" s="4" t="str">
        <f>IF(OR(L33="",Results!L12=""),"",IF(L33=Results!L12,1+IF(OR($O33=11,$P33=11,$Q33=11),1,0),0))</f>
        <v/>
      </c>
      <c r="AD33" s="4" t="str">
        <f>IF(OR(M33="",Results!M12=""),"",IF(M33=Results!M12,1+IF(OR($O33=12,$P33=12,$Q33=12),1,0),0))</f>
        <v/>
      </c>
      <c r="AE33" s="4" t="str">
        <f>IF(OR(N33="",Results!N12=""),"",IF(N33=Results!N12,1+IF(OR($O33=13,$P33=13,$Q33=13),1,0),0))</f>
        <v/>
      </c>
      <c r="AF33" s="11">
        <f t="shared" si="0"/>
        <v>0</v>
      </c>
      <c r="AG33" s="4" t="str">
        <f>IF(OR($R33="",Results!O12=""),"",ABS($R33-Results!O12))</f>
        <v/>
      </c>
      <c r="AH33" s="12">
        <v>15</v>
      </c>
      <c r="AI33" s="13" t="str">
        <f>IF(OR(B33="",Results!B12=""),"",IF(AND(B33=Results!B12,Results!B12&lt;&gt;Games!$C$96),1,0))</f>
        <v/>
      </c>
      <c r="AJ33" s="13" t="str">
        <f>IF(OR(C33="",Results!C12=""),"",IF(AND(C33=Results!C12,Results!C12&lt;&gt;Games!$C$97),1,0))</f>
        <v/>
      </c>
      <c r="AK33" s="13" t="str">
        <f>IF(OR(D33="",Results!D12=""),"",IF(AND(D33=Results!D12,Results!D12&lt;&gt;Games!$C$98),1,0))</f>
        <v/>
      </c>
      <c r="AL33" s="13" t="str">
        <f>IF(OR(E33="",Results!E12=""),"",IF(AND(E33=Results!E12,Results!E12&lt;&gt;Games!$C$99),1,0))</f>
        <v/>
      </c>
      <c r="AM33" s="13" t="str">
        <f>IF(OR(F33="",Results!F12=""),"",IF(AND(F33=Results!F12,Results!F12&lt;&gt;Games!$C$100),1,0))</f>
        <v/>
      </c>
      <c r="AN33" s="13" t="str">
        <f>IF(OR(G33="",Results!G12=""),"",IF(AND(G33=Results!G12,Results!G12&lt;&gt;Games!$C$101),1,0))</f>
        <v/>
      </c>
      <c r="AO33" s="13" t="str">
        <f>IF(OR(H33="",Results!H12=""),"",IF(AND(H33=Results!H12,Results!H12&lt;&gt;Games!$C$102),1,0))</f>
        <v/>
      </c>
      <c r="AP33" s="13" t="str">
        <f>IF(OR(I33="",Results!I12=""),"",IF(AND(I33=Results!I12,Results!I12&lt;&gt;Games!$C$103),1,0))</f>
        <v/>
      </c>
      <c r="AQ33" s="13" t="str">
        <f>IF(OR(J33="",Results!J12=""),"",IF(AND(J33=Results!J12,Results!J12&lt;&gt;Games!$C$104),1,0))</f>
        <v/>
      </c>
      <c r="AR33" s="13" t="str">
        <f>IF(OR(K33="",Results!K12=""),"",IF(AND(K33=Results!K12,Results!K12&lt;&gt;Games!$C$105),1,0))</f>
        <v/>
      </c>
      <c r="AS33" s="13" t="str">
        <f>IF(OR(L33="",Results!L12=""),"",IF(AND(L33=Results!L12,Results!L12&lt;&gt;Games!$C$106),1,0))</f>
        <v/>
      </c>
      <c r="AT33" s="13" t="str">
        <f>IF(OR(M33="",Results!M12=""),"",IF(AND(M33=Results!M12,Results!M12&lt;&gt;Games!$C$107),1,0))</f>
        <v/>
      </c>
      <c r="AU33" s="13" t="str">
        <f>IF(OR(N33="",Results!N12=""),"",IF(AND(N33=Results!N12,Results!N12&lt;&gt;Games!$C$108),1,0))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IF(OR(B34="",Results!B12=""),"",IF(B34=Results!B12,1+IF(OR($O34=1,$P34=1,$Q34=1),1,0),0))</f>
        <v/>
      </c>
      <c r="T34" s="4" t="str">
        <f>IF(OR(C34="",Results!C12=""),"",IF(C34=Results!C12,1+IF(OR($O34=2,$P34=2,$Q34=2),1,0),0))</f>
        <v/>
      </c>
      <c r="U34" s="4" t="str">
        <f>IF(OR(D34="",Results!D12=""),"",IF(D34=Results!D12,1+IF(OR($O34=3,$P34=3,$Q34=3),1,0),0))</f>
        <v/>
      </c>
      <c r="V34" s="4" t="str">
        <f>IF(OR(E34="",Results!E12=""),"",IF(E34=Results!E12,1+IF(OR($O34=4,$P34=4,$Q34=4),1,0),0))</f>
        <v/>
      </c>
      <c r="W34" s="4" t="str">
        <f>IF(OR(F34="",Results!F12=""),"",IF(F34=Results!F12,1+IF(OR($O34=5,$P34=5,$Q34=5),1,0),0))</f>
        <v/>
      </c>
      <c r="X34" s="4" t="str">
        <f>IF(OR(G34="",Results!G12=""),"",IF(G34=Results!G12,1+IF(OR($O34=6,$P34=6,$Q34=6),1,0),0))</f>
        <v/>
      </c>
      <c r="Y34" s="4" t="str">
        <f>IF(OR(H34="",Results!H12=""),"",IF(H34=Results!H12,1+IF(OR($O34=7,$P34=7,$Q34=7),1,0),0))</f>
        <v/>
      </c>
      <c r="Z34" s="4" t="str">
        <f>IF(OR(I34="",Results!I12=""),"",IF(I34=Results!I12,1+IF(OR($O34=8,$P34=8,$Q34=8),1,0),0))</f>
        <v/>
      </c>
      <c r="AA34" s="4" t="str">
        <f>IF(OR(J34="",Results!J12=""),"",IF(J34=Results!J12,1+IF(OR($O34=9,$P34=9,$Q34=9),1,0),0))</f>
        <v/>
      </c>
      <c r="AB34" s="4" t="str">
        <f>IF(OR(K34="",Results!K12=""),"",IF(K34=Results!K12,1+IF(OR($O34=10,$P34=10,$Q34=10),1,0),0))</f>
        <v/>
      </c>
      <c r="AC34" s="4" t="str">
        <f>IF(OR(L34="",Results!L12=""),"",IF(L34=Results!L12,1+IF(OR($O34=11,$P34=11,$Q34=11),1,0),0))</f>
        <v/>
      </c>
      <c r="AD34" s="4" t="str">
        <f>IF(OR(M34="",Results!M12=""),"",IF(M34=Results!M12,1+IF(OR($O34=12,$P34=12,$Q34=12),1,0),0))</f>
        <v/>
      </c>
      <c r="AE34" s="4" t="str">
        <f>IF(OR(N34="",Results!N12=""),"",IF(N34=Results!N12,1+IF(OR($O34=13,$P34=13,$Q34=13),1,0),0))</f>
        <v/>
      </c>
      <c r="AF34" s="11">
        <f t="shared" si="0"/>
        <v>0</v>
      </c>
      <c r="AG34" s="4" t="str">
        <f>IF(OR($R34="",Results!O12=""),"",ABS($R34-Results!O12))</f>
        <v/>
      </c>
      <c r="AH34" s="12">
        <v>16</v>
      </c>
      <c r="AI34" s="13" t="str">
        <f>IF(OR(B34="",Results!B12=""),"",IF(AND(B34=Results!B12,Results!B12&lt;&gt;Games!$C$96),1,0))</f>
        <v/>
      </c>
      <c r="AJ34" s="13" t="str">
        <f>IF(OR(C34="",Results!C12=""),"",IF(AND(C34=Results!C12,Results!C12&lt;&gt;Games!$C$97),1,0))</f>
        <v/>
      </c>
      <c r="AK34" s="13" t="str">
        <f>IF(OR(D34="",Results!D12=""),"",IF(AND(D34=Results!D12,Results!D12&lt;&gt;Games!$C$98),1,0))</f>
        <v/>
      </c>
      <c r="AL34" s="13" t="str">
        <f>IF(OR(E34="",Results!E12=""),"",IF(AND(E34=Results!E12,Results!E12&lt;&gt;Games!$C$99),1,0))</f>
        <v/>
      </c>
      <c r="AM34" s="13" t="str">
        <f>IF(OR(F34="",Results!F12=""),"",IF(AND(F34=Results!F12,Results!F12&lt;&gt;Games!$C$100),1,0))</f>
        <v/>
      </c>
      <c r="AN34" s="13" t="str">
        <f>IF(OR(G34="",Results!G12=""),"",IF(AND(G34=Results!G12,Results!G12&lt;&gt;Games!$C$101),1,0))</f>
        <v/>
      </c>
      <c r="AO34" s="13" t="str">
        <f>IF(OR(H34="",Results!H12=""),"",IF(AND(H34=Results!H12,Results!H12&lt;&gt;Games!$C$102),1,0))</f>
        <v/>
      </c>
      <c r="AP34" s="13" t="str">
        <f>IF(OR(I34="",Results!I12=""),"",IF(AND(I34=Results!I12,Results!I12&lt;&gt;Games!$C$103),1,0))</f>
        <v/>
      </c>
      <c r="AQ34" s="13" t="str">
        <f>IF(OR(J34="",Results!J12=""),"",IF(AND(J34=Results!J12,Results!J12&lt;&gt;Games!$C$104),1,0))</f>
        <v/>
      </c>
      <c r="AR34" s="13" t="str">
        <f>IF(OR(K34="",Results!K12=""),"",IF(AND(K34=Results!K12,Results!K12&lt;&gt;Games!$C$105),1,0))</f>
        <v/>
      </c>
      <c r="AS34" s="13" t="str">
        <f>IF(OR(L34="",Results!L12=""),"",IF(AND(L34=Results!L12,Results!L12&lt;&gt;Games!$C$106),1,0))</f>
        <v/>
      </c>
      <c r="AT34" s="13" t="str">
        <f>IF(OR(M34="",Results!M12=""),"",IF(AND(M34=Results!M12,Results!M12&lt;&gt;Games!$C$107),1,0))</f>
        <v/>
      </c>
      <c r="AU34" s="13" t="str">
        <f>IF(OR(N34="",Results!N12=""),"",IF(AND(N34=Results!N12,Results!N12&lt;&gt;Games!$C$108),1,0))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IF(OR(B35="",Results!B12=""),"",IF(B35=Results!B12,1+IF(OR($O35=1,$P35=1,$Q35=1),1,0),0))</f>
        <v/>
      </c>
      <c r="T35" s="4" t="str">
        <f>IF(OR(C35="",Results!C12=""),"",IF(C35=Results!C12,1+IF(OR($O35=2,$P35=2,$Q35=2),1,0),0))</f>
        <v/>
      </c>
      <c r="U35" s="4" t="str">
        <f>IF(OR(D35="",Results!D12=""),"",IF(D35=Results!D12,1+IF(OR($O35=3,$P35=3,$Q35=3),1,0),0))</f>
        <v/>
      </c>
      <c r="V35" s="4" t="str">
        <f>IF(OR(E35="",Results!E12=""),"",IF(E35=Results!E12,1+IF(OR($O35=4,$P35=4,$Q35=4),1,0),0))</f>
        <v/>
      </c>
      <c r="W35" s="4" t="str">
        <f>IF(OR(F35="",Results!F12=""),"",IF(F35=Results!F12,1+IF(OR($O35=5,$P35=5,$Q35=5),1,0),0))</f>
        <v/>
      </c>
      <c r="X35" s="4" t="str">
        <f>IF(OR(G35="",Results!G12=""),"",IF(G35=Results!G12,1+IF(OR($O35=6,$P35=6,$Q35=6),1,0),0))</f>
        <v/>
      </c>
      <c r="Y35" s="4" t="str">
        <f>IF(OR(H35="",Results!H12=""),"",IF(H35=Results!H12,1+IF(OR($O35=7,$P35=7,$Q35=7),1,0),0))</f>
        <v/>
      </c>
      <c r="Z35" s="4" t="str">
        <f>IF(OR(I35="",Results!I12=""),"",IF(I35=Results!I12,1+IF(OR($O35=8,$P35=8,$Q35=8),1,0),0))</f>
        <v/>
      </c>
      <c r="AA35" s="4" t="str">
        <f>IF(OR(J35="",Results!J12=""),"",IF(J35=Results!J12,1+IF(OR($O35=9,$P35=9,$Q35=9),1,0),0))</f>
        <v/>
      </c>
      <c r="AB35" s="4" t="str">
        <f>IF(OR(K35="",Results!K12=""),"",IF(K35=Results!K12,1+IF(OR($O35=10,$P35=10,$Q35=10),1,0),0))</f>
        <v/>
      </c>
      <c r="AC35" s="4" t="str">
        <f>IF(OR(L35="",Results!L12=""),"",IF(L35=Results!L12,1+IF(OR($O35=11,$P35=11,$Q35=11),1,0),0))</f>
        <v/>
      </c>
      <c r="AD35" s="4" t="str">
        <f>IF(OR(M35="",Results!M12=""),"",IF(M35=Results!M12,1+IF(OR($O35=12,$P35=12,$Q35=12),1,0),0))</f>
        <v/>
      </c>
      <c r="AE35" s="4" t="str">
        <f>IF(OR(N35="",Results!N12=""),"",IF(N35=Results!N12,1+IF(OR($O35=13,$P35=13,$Q35=13),1,0),0))</f>
        <v/>
      </c>
      <c r="AF35" s="11">
        <f t="shared" si="0"/>
        <v>0</v>
      </c>
      <c r="AG35" s="4" t="str">
        <f>IF(OR($R35="",Results!O12=""),"",ABS($R35-Results!O12))</f>
        <v/>
      </c>
      <c r="AH35" s="12">
        <v>17</v>
      </c>
      <c r="AI35" s="13" t="str">
        <f>IF(OR(B35="",Results!B12=""),"",IF(AND(B35=Results!B12,Results!B12&lt;&gt;Games!$C$96),1,0))</f>
        <v/>
      </c>
      <c r="AJ35" s="13" t="str">
        <f>IF(OR(C35="",Results!C12=""),"",IF(AND(C35=Results!C12,Results!C12&lt;&gt;Games!$C$97),1,0))</f>
        <v/>
      </c>
      <c r="AK35" s="13" t="str">
        <f>IF(OR(D35="",Results!D12=""),"",IF(AND(D35=Results!D12,Results!D12&lt;&gt;Games!$C$98),1,0))</f>
        <v/>
      </c>
      <c r="AL35" s="13" t="str">
        <f>IF(OR(E35="",Results!E12=""),"",IF(AND(E35=Results!E12,Results!E12&lt;&gt;Games!$C$99),1,0))</f>
        <v/>
      </c>
      <c r="AM35" s="13" t="str">
        <f>IF(OR(F35="",Results!F12=""),"",IF(AND(F35=Results!F12,Results!F12&lt;&gt;Games!$C$100),1,0))</f>
        <v/>
      </c>
      <c r="AN35" s="13" t="str">
        <f>IF(OR(G35="",Results!G12=""),"",IF(AND(G35=Results!G12,Results!G12&lt;&gt;Games!$C$101),1,0))</f>
        <v/>
      </c>
      <c r="AO35" s="13" t="str">
        <f>IF(OR(H35="",Results!H12=""),"",IF(AND(H35=Results!H12,Results!H12&lt;&gt;Games!$C$102),1,0))</f>
        <v/>
      </c>
      <c r="AP35" s="13" t="str">
        <f>IF(OR(I35="",Results!I12=""),"",IF(AND(I35=Results!I12,Results!I12&lt;&gt;Games!$C$103),1,0))</f>
        <v/>
      </c>
      <c r="AQ35" s="13" t="str">
        <f>IF(OR(J35="",Results!J12=""),"",IF(AND(J35=Results!J12,Results!J12&lt;&gt;Games!$C$104),1,0))</f>
        <v/>
      </c>
      <c r="AR35" s="13" t="str">
        <f>IF(OR(K35="",Results!K12=""),"",IF(AND(K35=Results!K12,Results!K12&lt;&gt;Games!$C$105),1,0))</f>
        <v/>
      </c>
      <c r="AS35" s="13" t="str">
        <f>IF(OR(L35="",Results!L12=""),"",IF(AND(L35=Results!L12,Results!L12&lt;&gt;Games!$C$106),1,0))</f>
        <v/>
      </c>
      <c r="AT35" s="13" t="str">
        <f>IF(OR(M35="",Results!M12=""),"",IF(AND(M35=Results!M12,Results!M12&lt;&gt;Games!$C$107),1,0))</f>
        <v/>
      </c>
      <c r="AU35" s="13" t="str">
        <f>IF(OR(N35="",Results!N12=""),"",IF(AND(N35=Results!N12,Results!N12&lt;&gt;Games!$C$108),1,0))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IF(OR(B36="",Results!B12=""),"",IF(B36=Results!B12,1+IF(OR($O36=1,$P36=1,$Q36=1),1,0),0))</f>
        <v/>
      </c>
      <c r="T36" s="4" t="str">
        <f>IF(OR(C36="",Results!C12=""),"",IF(C36=Results!C12,1+IF(OR($O36=2,$P36=2,$Q36=2),1,0),0))</f>
        <v/>
      </c>
      <c r="U36" s="4" t="str">
        <f>IF(OR(D36="",Results!D12=""),"",IF(D36=Results!D12,1+IF(OR($O36=3,$P36=3,$Q36=3),1,0),0))</f>
        <v/>
      </c>
      <c r="V36" s="4" t="str">
        <f>IF(OR(E36="",Results!E12=""),"",IF(E36=Results!E12,1+IF(OR($O36=4,$P36=4,$Q36=4),1,0),0))</f>
        <v/>
      </c>
      <c r="W36" s="4" t="str">
        <f>IF(OR(F36="",Results!F12=""),"",IF(F36=Results!F12,1+IF(OR($O36=5,$P36=5,$Q36=5),1,0),0))</f>
        <v/>
      </c>
      <c r="X36" s="4" t="str">
        <f>IF(OR(G36="",Results!G12=""),"",IF(G36=Results!G12,1+IF(OR($O36=6,$P36=6,$Q36=6),1,0),0))</f>
        <v/>
      </c>
      <c r="Y36" s="4" t="str">
        <f>IF(OR(H36="",Results!H12=""),"",IF(H36=Results!H12,1+IF(OR($O36=7,$P36=7,$Q36=7),1,0),0))</f>
        <v/>
      </c>
      <c r="Z36" s="4" t="str">
        <f>IF(OR(I36="",Results!I12=""),"",IF(I36=Results!I12,1+IF(OR($O36=8,$P36=8,$Q36=8),1,0),0))</f>
        <v/>
      </c>
      <c r="AA36" s="4" t="str">
        <f>IF(OR(J36="",Results!J12=""),"",IF(J36=Results!J12,1+IF(OR($O36=9,$P36=9,$Q36=9),1,0),0))</f>
        <v/>
      </c>
      <c r="AB36" s="4" t="str">
        <f>IF(OR(K36="",Results!K12=""),"",IF(K36=Results!K12,1+IF(OR($O36=10,$P36=10,$Q36=10),1,0),0))</f>
        <v/>
      </c>
      <c r="AC36" s="4" t="str">
        <f>IF(OR(L36="",Results!L12=""),"",IF(L36=Results!L12,1+IF(OR($O36=11,$P36=11,$Q36=11),1,0),0))</f>
        <v/>
      </c>
      <c r="AD36" s="4" t="str">
        <f>IF(OR(M36="",Results!M12=""),"",IF(M36=Results!M12,1+IF(OR($O36=12,$P36=12,$Q36=12),1,0),0))</f>
        <v/>
      </c>
      <c r="AE36" s="4" t="str">
        <f>IF(OR(N36="",Results!N12=""),"",IF(N36=Results!N12,1+IF(OR($O36=13,$P36=13,$Q36=13),1,0),0))</f>
        <v/>
      </c>
      <c r="AF36" s="11">
        <f t="shared" si="0"/>
        <v>0</v>
      </c>
      <c r="AG36" s="4" t="str">
        <f>IF(OR($R36="",Results!O12=""),"",ABS($R36-Results!O12))</f>
        <v/>
      </c>
      <c r="AH36" s="12">
        <v>39</v>
      </c>
      <c r="AI36" s="13" t="str">
        <f>IF(OR(B36="",Results!B12=""),"",IF(AND(B36=Results!B12,Results!B12&lt;&gt;Games!$C$96),1,0))</f>
        <v/>
      </c>
      <c r="AJ36" s="13" t="str">
        <f>IF(OR(C36="",Results!C12=""),"",IF(AND(C36=Results!C12,Results!C12&lt;&gt;Games!$C$97),1,0))</f>
        <v/>
      </c>
      <c r="AK36" s="13" t="str">
        <f>IF(OR(D36="",Results!D12=""),"",IF(AND(D36=Results!D12,Results!D12&lt;&gt;Games!$C$98),1,0))</f>
        <v/>
      </c>
      <c r="AL36" s="13" t="str">
        <f>IF(OR(E36="",Results!E12=""),"",IF(AND(E36=Results!E12,Results!E12&lt;&gt;Games!$C$99),1,0))</f>
        <v/>
      </c>
      <c r="AM36" s="13" t="str">
        <f>IF(OR(F36="",Results!F12=""),"",IF(AND(F36=Results!F12,Results!F12&lt;&gt;Games!$C$100),1,0))</f>
        <v/>
      </c>
      <c r="AN36" s="13" t="str">
        <f>IF(OR(G36="",Results!G12=""),"",IF(AND(G36=Results!G12,Results!G12&lt;&gt;Games!$C$101),1,0))</f>
        <v/>
      </c>
      <c r="AO36" s="13" t="str">
        <f>IF(OR(H36="",Results!H12=""),"",IF(AND(H36=Results!H12,Results!H12&lt;&gt;Games!$C$102),1,0))</f>
        <v/>
      </c>
      <c r="AP36" s="13" t="str">
        <f>IF(OR(I36="",Results!I12=""),"",IF(AND(I36=Results!I12,Results!I12&lt;&gt;Games!$C$103),1,0))</f>
        <v/>
      </c>
      <c r="AQ36" s="13" t="str">
        <f>IF(OR(J36="",Results!J12=""),"",IF(AND(J36=Results!J12,Results!J12&lt;&gt;Games!$C$104),1,0))</f>
        <v/>
      </c>
      <c r="AR36" s="13" t="str">
        <f>IF(OR(K36="",Results!K12=""),"",IF(AND(K36=Results!K12,Results!K12&lt;&gt;Games!$C$105),1,0))</f>
        <v/>
      </c>
      <c r="AS36" s="13" t="str">
        <f>IF(OR(L36="",Results!L12=""),"",IF(AND(L36=Results!L12,Results!L12&lt;&gt;Games!$C$106),1,0))</f>
        <v/>
      </c>
      <c r="AT36" s="13" t="str">
        <f>IF(OR(M36="",Results!M12=""),"",IF(AND(M36=Results!M12,Results!M12&lt;&gt;Games!$C$107),1,0))</f>
        <v/>
      </c>
      <c r="AU36" s="13" t="str">
        <f>IF(OR(N36="",Results!N12=""),"",IF(AND(N36=Results!N12,Results!N12&lt;&gt;Games!$C$108),1,0))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IF(OR(B37="",Results!B12=""),"",IF(B37=Results!B12,1+IF(OR($O37=1,$P37=1,$Q37=1),1,0),0))</f>
        <v/>
      </c>
      <c r="T37" s="4" t="str">
        <f>IF(OR(C37="",Results!C12=""),"",IF(C37=Results!C12,1+IF(OR($O37=2,$P37=2,$Q37=2),1,0),0))</f>
        <v/>
      </c>
      <c r="U37" s="4" t="str">
        <f>IF(OR(D37="",Results!D12=""),"",IF(D37=Results!D12,1+IF(OR($O37=3,$P37=3,$Q37=3),1,0),0))</f>
        <v/>
      </c>
      <c r="V37" s="4" t="str">
        <f>IF(OR(E37="",Results!E12=""),"",IF(E37=Results!E12,1+IF(OR($O37=4,$P37=4,$Q37=4),1,0),0))</f>
        <v/>
      </c>
      <c r="W37" s="4" t="str">
        <f>IF(OR(F37="",Results!F12=""),"",IF(F37=Results!F12,1+IF(OR($O37=5,$P37=5,$Q37=5),1,0),0))</f>
        <v/>
      </c>
      <c r="X37" s="4" t="str">
        <f>IF(OR(G37="",Results!G12=""),"",IF(G37=Results!G12,1+IF(OR($O37=6,$P37=6,$Q37=6),1,0),0))</f>
        <v/>
      </c>
      <c r="Y37" s="4" t="str">
        <f>IF(OR(H37="",Results!H12=""),"",IF(H37=Results!H12,1+IF(OR($O37=7,$P37=7,$Q37=7),1,0),0))</f>
        <v/>
      </c>
      <c r="Z37" s="4" t="str">
        <f>IF(OR(I37="",Results!I12=""),"",IF(I37=Results!I12,1+IF(OR($O37=8,$P37=8,$Q37=8),1,0),0))</f>
        <v/>
      </c>
      <c r="AA37" s="4" t="str">
        <f>IF(OR(J37="",Results!J12=""),"",IF(J37=Results!J12,1+IF(OR($O37=9,$P37=9,$Q37=9),1,0),0))</f>
        <v/>
      </c>
      <c r="AB37" s="4" t="str">
        <f>IF(OR(K37="",Results!K12=""),"",IF(K37=Results!K12,1+IF(OR($O37=10,$P37=10,$Q37=10),1,0),0))</f>
        <v/>
      </c>
      <c r="AC37" s="4" t="str">
        <f>IF(OR(L37="",Results!L12=""),"",IF(L37=Results!L12,1+IF(OR($O37=11,$P37=11,$Q37=11),1,0),0))</f>
        <v/>
      </c>
      <c r="AD37" s="4" t="str">
        <f>IF(OR(M37="",Results!M12=""),"",IF(M37=Results!M12,1+IF(OR($O37=12,$P37=12,$Q37=12),1,0),0))</f>
        <v/>
      </c>
      <c r="AE37" s="4" t="str">
        <f>IF(OR(N37="",Results!N12=""),"",IF(N37=Results!N12,1+IF(OR($O37=13,$P37=13,$Q37=13),1,0),0))</f>
        <v/>
      </c>
      <c r="AF37" s="11">
        <f t="shared" si="0"/>
        <v>0</v>
      </c>
      <c r="AG37" s="4" t="str">
        <f>IF(OR($R37="",Results!O12=""),"",ABS($R37-Results!O12))</f>
        <v/>
      </c>
      <c r="AH37" s="12">
        <v>49</v>
      </c>
      <c r="AI37" s="13" t="str">
        <f>IF(OR(B37="",Results!B12=""),"",IF(AND(B37=Results!B12,Results!B12&lt;&gt;Games!$C$96),1,0))</f>
        <v/>
      </c>
      <c r="AJ37" s="13" t="str">
        <f>IF(OR(C37="",Results!C12=""),"",IF(AND(C37=Results!C12,Results!C12&lt;&gt;Games!$C$97),1,0))</f>
        <v/>
      </c>
      <c r="AK37" s="13" t="str">
        <f>IF(OR(D37="",Results!D12=""),"",IF(AND(D37=Results!D12,Results!D12&lt;&gt;Games!$C$98),1,0))</f>
        <v/>
      </c>
      <c r="AL37" s="13" t="str">
        <f>IF(OR(E37="",Results!E12=""),"",IF(AND(E37=Results!E12,Results!E12&lt;&gt;Games!$C$99),1,0))</f>
        <v/>
      </c>
      <c r="AM37" s="13" t="str">
        <f>IF(OR(F37="",Results!F12=""),"",IF(AND(F37=Results!F12,Results!F12&lt;&gt;Games!$C$100),1,0))</f>
        <v/>
      </c>
      <c r="AN37" s="13" t="str">
        <f>IF(OR(G37="",Results!G12=""),"",IF(AND(G37=Results!G12,Results!G12&lt;&gt;Games!$C$101),1,0))</f>
        <v/>
      </c>
      <c r="AO37" s="13" t="str">
        <f>IF(OR(H37="",Results!H12=""),"",IF(AND(H37=Results!H12,Results!H12&lt;&gt;Games!$C$102),1,0))</f>
        <v/>
      </c>
      <c r="AP37" s="13" t="str">
        <f>IF(OR(I37="",Results!I12=""),"",IF(AND(I37=Results!I12,Results!I12&lt;&gt;Games!$C$103),1,0))</f>
        <v/>
      </c>
      <c r="AQ37" s="13" t="str">
        <f>IF(OR(J37="",Results!J12=""),"",IF(AND(J37=Results!J12,Results!J12&lt;&gt;Games!$C$104),1,0))</f>
        <v/>
      </c>
      <c r="AR37" s="13" t="str">
        <f>IF(OR(K37="",Results!K12=""),"",IF(AND(K37=Results!K12,Results!K12&lt;&gt;Games!$C$105),1,0))</f>
        <v/>
      </c>
      <c r="AS37" s="13" t="str">
        <f>IF(OR(L37="",Results!L12=""),"",IF(AND(L37=Results!L12,Results!L12&lt;&gt;Games!$C$106),1,0))</f>
        <v/>
      </c>
      <c r="AT37" s="13" t="str">
        <f>IF(OR(M37="",Results!M12=""),"",IF(AND(M37=Results!M12,Results!M12&lt;&gt;Games!$C$107),1,0))</f>
        <v/>
      </c>
      <c r="AU37" s="13" t="str">
        <f>IF(OR(N37="",Results!N12=""),"",IF(AND(N37=Results!N12,Results!N12&lt;&gt;Games!$C$108),1,0))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tr">
        <f>IF(OR(B38="",Results!B12=""),"",IF(B38=Results!B12,1+IF(OR($O38=1,$P38=1,$Q38=1),1,0),0))</f>
        <v/>
      </c>
      <c r="T38" s="4" t="str">
        <f>IF(OR(C38="",Results!C12=""),"",IF(C38=Results!C12,1+IF(OR($O38=2,$P38=2,$Q38=2),1,0),0))</f>
        <v/>
      </c>
      <c r="U38" s="4" t="str">
        <f>IF(OR(D38="",Results!D12=""),"",IF(D38=Results!D12,1+IF(OR($O38=3,$P38=3,$Q38=3),1,0),0))</f>
        <v/>
      </c>
      <c r="V38" s="4" t="str">
        <f>IF(OR(E38="",Results!E12=""),"",IF(E38=Results!E12,1+IF(OR($O38=4,$P38=4,$Q38=4),1,0),0))</f>
        <v/>
      </c>
      <c r="W38" s="4" t="str">
        <f>IF(OR(F38="",Results!F12=""),"",IF(F38=Results!F12,1+IF(OR($O38=5,$P38=5,$Q38=5),1,0),0))</f>
        <v/>
      </c>
      <c r="X38" s="4" t="str">
        <f>IF(OR(G38="",Results!G12=""),"",IF(G38=Results!G12,1+IF(OR($O38=6,$P38=6,$Q38=6),1,0),0))</f>
        <v/>
      </c>
      <c r="Y38" s="4" t="str">
        <f>IF(OR(H38="",Results!H12=""),"",IF(H38=Results!H12,1+IF(OR($O38=7,$P38=7,$Q38=7),1,0),0))</f>
        <v/>
      </c>
      <c r="Z38" s="4" t="str">
        <f>IF(OR(I38="",Results!I12=""),"",IF(I38=Results!I12,1+IF(OR($O38=8,$P38=8,$Q38=8),1,0),0))</f>
        <v/>
      </c>
      <c r="AA38" s="4" t="str">
        <f>IF(OR(J38="",Results!J12=""),"",IF(J38=Results!J12,1+IF(OR($O38=9,$P38=9,$Q38=9),1,0),0))</f>
        <v/>
      </c>
      <c r="AB38" s="4" t="str">
        <f>IF(OR(K38="",Results!K12=""),"",IF(K38=Results!K12,1+IF(OR($O38=10,$P38=10,$Q38=10),1,0),0))</f>
        <v/>
      </c>
      <c r="AC38" s="4" t="str">
        <f>IF(OR(L38="",Results!L12=""),"",IF(L38=Results!L12,1+IF(OR($O38=11,$P38=11,$Q38=11),1,0),0))</f>
        <v/>
      </c>
      <c r="AD38" s="4" t="str">
        <f>IF(OR(M38="",Results!M12=""),"",IF(M38=Results!M12,1+IF(OR($O38=12,$P38=12,$Q38=12),1,0),0))</f>
        <v/>
      </c>
      <c r="AE38" s="4" t="str">
        <f>IF(OR(N38="",Results!N12=""),"",IF(N38=Results!N12,1+IF(OR($O38=13,$P38=13,$Q38=13),1,0),0))</f>
        <v/>
      </c>
      <c r="AF38" s="11">
        <f t="shared" ref="AF38:AF65" si="2">SUM(S38:AE38)</f>
        <v>0</v>
      </c>
      <c r="AG38" s="4" t="str">
        <f>IF(OR($R38="",Results!O12=""),"",ABS($R38-Results!O12))</f>
        <v/>
      </c>
      <c r="AH38" s="12">
        <v>18</v>
      </c>
      <c r="AI38" s="13" t="str">
        <f>IF(OR(B38="",Results!B12=""),"",IF(AND(B38=Results!B12,Results!B12&lt;&gt;Games!$C$96),1,0))</f>
        <v/>
      </c>
      <c r="AJ38" s="13" t="str">
        <f>IF(OR(C38="",Results!C12=""),"",IF(AND(C38=Results!C12,Results!C12&lt;&gt;Games!$C$97),1,0))</f>
        <v/>
      </c>
      <c r="AK38" s="13" t="str">
        <f>IF(OR(D38="",Results!D12=""),"",IF(AND(D38=Results!D12,Results!D12&lt;&gt;Games!$C$98),1,0))</f>
        <v/>
      </c>
      <c r="AL38" s="13" t="str">
        <f>IF(OR(E38="",Results!E12=""),"",IF(AND(E38=Results!E12,Results!E12&lt;&gt;Games!$C$99),1,0))</f>
        <v/>
      </c>
      <c r="AM38" s="13" t="str">
        <f>IF(OR(F38="",Results!F12=""),"",IF(AND(F38=Results!F12,Results!F12&lt;&gt;Games!$C$100),1,0))</f>
        <v/>
      </c>
      <c r="AN38" s="13" t="str">
        <f>IF(OR(G38="",Results!G12=""),"",IF(AND(G38=Results!G12,Results!G12&lt;&gt;Games!$C$101),1,0))</f>
        <v/>
      </c>
      <c r="AO38" s="13" t="str">
        <f>IF(OR(H38="",Results!H12=""),"",IF(AND(H38=Results!H12,Results!H12&lt;&gt;Games!$C$102),1,0))</f>
        <v/>
      </c>
      <c r="AP38" s="13" t="str">
        <f>IF(OR(I38="",Results!I12=""),"",IF(AND(I38=Results!I12,Results!I12&lt;&gt;Games!$C$103),1,0))</f>
        <v/>
      </c>
      <c r="AQ38" s="13" t="str">
        <f>IF(OR(J38="",Results!J12=""),"",IF(AND(J38=Results!J12,Results!J12&lt;&gt;Games!$C$104),1,0))</f>
        <v/>
      </c>
      <c r="AR38" s="13" t="str">
        <f>IF(OR(K38="",Results!K12=""),"",IF(AND(K38=Results!K12,Results!K12&lt;&gt;Games!$C$105),1,0))</f>
        <v/>
      </c>
      <c r="AS38" s="13" t="str">
        <f>IF(OR(L38="",Results!L12=""),"",IF(AND(L38=Results!L12,Results!L12&lt;&gt;Games!$C$106),1,0))</f>
        <v/>
      </c>
      <c r="AT38" s="13" t="str">
        <f>IF(OR(M38="",Results!M12=""),"",IF(AND(M38=Results!M12,Results!M12&lt;&gt;Games!$C$107),1,0))</f>
        <v/>
      </c>
      <c r="AU38" s="13" t="str">
        <f>IF(OR(N38="",Results!N12=""),"",IF(AND(N38=Results!N12,Results!N12&lt;&gt;Games!$C$108),1,0))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IF(OR(B39="",Results!B12=""),"",IF(B39=Results!B12,1+IF(OR($O39=1,$P39=1,$Q39=1),1,0),0))</f>
        <v/>
      </c>
      <c r="T39" s="4" t="str">
        <f>IF(OR(C39="",Results!C12=""),"",IF(C39=Results!C12,1+IF(OR($O39=2,$P39=2,$Q39=2),1,0),0))</f>
        <v/>
      </c>
      <c r="U39" s="4" t="str">
        <f>IF(OR(D39="",Results!D12=""),"",IF(D39=Results!D12,1+IF(OR($O39=3,$P39=3,$Q39=3),1,0),0))</f>
        <v/>
      </c>
      <c r="V39" s="4" t="str">
        <f>IF(OR(E39="",Results!E12=""),"",IF(E39=Results!E12,1+IF(OR($O39=4,$P39=4,$Q39=4),1,0),0))</f>
        <v/>
      </c>
      <c r="W39" s="4" t="str">
        <f>IF(OR(F39="",Results!F12=""),"",IF(F39=Results!F12,1+IF(OR($O39=5,$P39=5,$Q39=5),1,0),0))</f>
        <v/>
      </c>
      <c r="X39" s="4" t="str">
        <f>IF(OR(G39="",Results!G12=""),"",IF(G39=Results!G12,1+IF(OR($O39=6,$P39=6,$Q39=6),1,0),0))</f>
        <v/>
      </c>
      <c r="Y39" s="4" t="str">
        <f>IF(OR(H39="",Results!H12=""),"",IF(H39=Results!H12,1+IF(OR($O39=7,$P39=7,$Q39=7),1,0),0))</f>
        <v/>
      </c>
      <c r="Z39" s="4" t="str">
        <f>IF(OR(I39="",Results!I12=""),"",IF(I39=Results!I12,1+IF(OR($O39=8,$P39=8,$Q39=8),1,0),0))</f>
        <v/>
      </c>
      <c r="AA39" s="4" t="str">
        <f>IF(OR(J39="",Results!J12=""),"",IF(J39=Results!J12,1+IF(OR($O39=9,$P39=9,$Q39=9),1,0),0))</f>
        <v/>
      </c>
      <c r="AB39" s="4" t="str">
        <f>IF(OR(K39="",Results!K12=""),"",IF(K39=Results!K12,1+IF(OR($O39=10,$P39=10,$Q39=10),1,0),0))</f>
        <v/>
      </c>
      <c r="AC39" s="4" t="str">
        <f>IF(OR(L39="",Results!L12=""),"",IF(L39=Results!L12,1+IF(OR($O39=11,$P39=11,$Q39=11),1,0),0))</f>
        <v/>
      </c>
      <c r="AD39" s="4" t="str">
        <f>IF(OR(M39="",Results!M12=""),"",IF(M39=Results!M12,1+IF(OR($O39=12,$P39=12,$Q39=12),1,0),0))</f>
        <v/>
      </c>
      <c r="AE39" s="4" t="str">
        <f>IF(OR(N39="",Results!N12=""),"",IF(N39=Results!N12,1+IF(OR($O39=13,$P39=13,$Q39=13),1,0),0))</f>
        <v/>
      </c>
      <c r="AF39" s="11">
        <f t="shared" si="2"/>
        <v>0</v>
      </c>
      <c r="AG39" s="4" t="str">
        <f>IF(OR($R39="",Results!O12=""),"",ABS($R39-Results!O12))</f>
        <v/>
      </c>
      <c r="AH39" s="12">
        <v>50</v>
      </c>
      <c r="AI39" s="13" t="str">
        <f>IF(OR(B39="",Results!B12=""),"",IF(AND(B39=Results!B12,Results!B12&lt;&gt;Games!$C$96),1,0))</f>
        <v/>
      </c>
      <c r="AJ39" s="13" t="str">
        <f>IF(OR(C39="",Results!C12=""),"",IF(AND(C39=Results!C12,Results!C12&lt;&gt;Games!$C$97),1,0))</f>
        <v/>
      </c>
      <c r="AK39" s="13" t="str">
        <f>IF(OR(D39="",Results!D12=""),"",IF(AND(D39=Results!D12,Results!D12&lt;&gt;Games!$C$98),1,0))</f>
        <v/>
      </c>
      <c r="AL39" s="13" t="str">
        <f>IF(OR(E39="",Results!E12=""),"",IF(AND(E39=Results!E12,Results!E12&lt;&gt;Games!$C$99),1,0))</f>
        <v/>
      </c>
      <c r="AM39" s="13" t="str">
        <f>IF(OR(F39="",Results!F12=""),"",IF(AND(F39=Results!F12,Results!F12&lt;&gt;Games!$C$100),1,0))</f>
        <v/>
      </c>
      <c r="AN39" s="13" t="str">
        <f>IF(OR(G39="",Results!G12=""),"",IF(AND(G39=Results!G12,Results!G12&lt;&gt;Games!$C$101),1,0))</f>
        <v/>
      </c>
      <c r="AO39" s="13" t="str">
        <f>IF(OR(H39="",Results!H12=""),"",IF(AND(H39=Results!H12,Results!H12&lt;&gt;Games!$C$102),1,0))</f>
        <v/>
      </c>
      <c r="AP39" s="13" t="str">
        <f>IF(OR(I39="",Results!I12=""),"",IF(AND(I39=Results!I12,Results!I12&lt;&gt;Games!$C$103),1,0))</f>
        <v/>
      </c>
      <c r="AQ39" s="13" t="str">
        <f>IF(OR(J39="",Results!J12=""),"",IF(AND(J39=Results!J12,Results!J12&lt;&gt;Games!$C$104),1,0))</f>
        <v/>
      </c>
      <c r="AR39" s="13" t="str">
        <f>IF(OR(K39="",Results!K12=""),"",IF(AND(K39=Results!K12,Results!K12&lt;&gt;Games!$C$105),1,0))</f>
        <v/>
      </c>
      <c r="AS39" s="13" t="str">
        <f>IF(OR(L39="",Results!L12=""),"",IF(AND(L39=Results!L12,Results!L12&lt;&gt;Games!$C$106),1,0))</f>
        <v/>
      </c>
      <c r="AT39" s="13" t="str">
        <f>IF(OR(M39="",Results!M12=""),"",IF(AND(M39=Results!M12,Results!M12&lt;&gt;Games!$C$107),1,0))</f>
        <v/>
      </c>
      <c r="AU39" s="13" t="str">
        <f>IF(OR(N39="",Results!N12=""),"",IF(AND(N39=Results!N12,Results!N12&lt;&gt;Games!$C$108),1,0))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4" t="str">
        <f>IF(OR(B40="",Results!B12=""),"",IF(B40=Results!B12,1+IF(OR($O40=1,$P40=1,$Q40=1),1,0),0))</f>
        <v/>
      </c>
      <c r="T40" s="4" t="str">
        <f>IF(OR(C40="",Results!C12=""),"",IF(C40=Results!C12,1+IF(OR($O40=2,$P40=2,$Q40=2),1,0),0))</f>
        <v/>
      </c>
      <c r="U40" s="4" t="str">
        <f>IF(OR(D40="",Results!D12=""),"",IF(D40=Results!D12,1+IF(OR($O40=3,$P40=3,$Q40=3),1,0),0))</f>
        <v/>
      </c>
      <c r="V40" s="4" t="str">
        <f>IF(OR(E40="",Results!E12=""),"",IF(E40=Results!E12,1+IF(OR($O40=4,$P40=4,$Q40=4),1,0),0))</f>
        <v/>
      </c>
      <c r="W40" s="4" t="str">
        <f>IF(OR(F40="",Results!F12=""),"",IF(F40=Results!F12,1+IF(OR($O40=5,$P40=5,$Q40=5),1,0),0))</f>
        <v/>
      </c>
      <c r="X40" s="4" t="str">
        <f>IF(OR(G40="",Results!G12=""),"",IF(G40=Results!G12,1+IF(OR($O40=6,$P40=6,$Q40=6),1,0),0))</f>
        <v/>
      </c>
      <c r="Y40" s="4" t="str">
        <f>IF(OR(H40="",Results!H12=""),"",IF(H40=Results!H12,1+IF(OR($O40=7,$P40=7,$Q40=7),1,0),0))</f>
        <v/>
      </c>
      <c r="Z40" s="4" t="str">
        <f>IF(OR(I40="",Results!I12=""),"",IF(I40=Results!I12,1+IF(OR($O40=8,$P40=8,$Q40=8),1,0),0))</f>
        <v/>
      </c>
      <c r="AA40" s="4" t="str">
        <f>IF(OR(J40="",Results!J12=""),"",IF(J40=Results!J12,1+IF(OR($O40=9,$P40=9,$Q40=9),1,0),0))</f>
        <v/>
      </c>
      <c r="AB40" s="4" t="str">
        <f>IF(OR(K40="",Results!K12=""),"",IF(K40=Results!K12,1+IF(OR($O40=10,$P40=10,$Q40=10),1,0),0))</f>
        <v/>
      </c>
      <c r="AC40" s="4" t="str">
        <f>IF(OR(L40="",Results!L12=""),"",IF(L40=Results!L12,1+IF(OR($O40=11,$P40=11,$Q40=11),1,0),0))</f>
        <v/>
      </c>
      <c r="AD40" s="4" t="str">
        <f>IF(OR(M40="",Results!M12=""),"",IF(M40=Results!M12,1+IF(OR($O40=12,$P40=12,$Q40=12),1,0),0))</f>
        <v/>
      </c>
      <c r="AE40" s="4" t="str">
        <f>IF(OR(N40="",Results!N12=""),"",IF(N40=Results!N12,1+IF(OR($O40=13,$P40=13,$Q40=13),1,0),0))</f>
        <v/>
      </c>
      <c r="AF40" s="11">
        <f t="shared" si="2"/>
        <v>0</v>
      </c>
      <c r="AG40" s="4" t="str">
        <f>IF(OR($R40="",Results!O12=""),"",ABS($R40-Results!O12))</f>
        <v/>
      </c>
      <c r="AH40" s="12">
        <v>19</v>
      </c>
      <c r="AI40" s="13" t="str">
        <f>IF(OR(B40="",Results!B12=""),"",IF(AND(B40=Results!B12,Results!B12&lt;&gt;Games!$C$96),1,0))</f>
        <v/>
      </c>
      <c r="AJ40" s="13" t="str">
        <f>IF(OR(C40="",Results!C12=""),"",IF(AND(C40=Results!C12,Results!C12&lt;&gt;Games!$C$97),1,0))</f>
        <v/>
      </c>
      <c r="AK40" s="13" t="str">
        <f>IF(OR(D40="",Results!D12=""),"",IF(AND(D40=Results!D12,Results!D12&lt;&gt;Games!$C$98),1,0))</f>
        <v/>
      </c>
      <c r="AL40" s="13" t="str">
        <f>IF(OR(E40="",Results!E12=""),"",IF(AND(E40=Results!E12,Results!E12&lt;&gt;Games!$C$99),1,0))</f>
        <v/>
      </c>
      <c r="AM40" s="13" t="str">
        <f>IF(OR(F40="",Results!F12=""),"",IF(AND(F40=Results!F12,Results!F12&lt;&gt;Games!$C$100),1,0))</f>
        <v/>
      </c>
      <c r="AN40" s="13" t="str">
        <f>IF(OR(G40="",Results!G12=""),"",IF(AND(G40=Results!G12,Results!G12&lt;&gt;Games!$C$101),1,0))</f>
        <v/>
      </c>
      <c r="AO40" s="13" t="str">
        <f>IF(OR(H40="",Results!H12=""),"",IF(AND(H40=Results!H12,Results!H12&lt;&gt;Games!$C$102),1,0))</f>
        <v/>
      </c>
      <c r="AP40" s="13" t="str">
        <f>IF(OR(I40="",Results!I12=""),"",IF(AND(I40=Results!I12,Results!I12&lt;&gt;Games!$C$103),1,0))</f>
        <v/>
      </c>
      <c r="AQ40" s="13" t="str">
        <f>IF(OR(J40="",Results!J12=""),"",IF(AND(J40=Results!J12,Results!J12&lt;&gt;Games!$C$104),1,0))</f>
        <v/>
      </c>
      <c r="AR40" s="13" t="str">
        <f>IF(OR(K40="",Results!K12=""),"",IF(AND(K40=Results!K12,Results!K12&lt;&gt;Games!$C$105),1,0))</f>
        <v/>
      </c>
      <c r="AS40" s="13" t="str">
        <f>IF(OR(L40="",Results!L12=""),"",IF(AND(L40=Results!L12,Results!L12&lt;&gt;Games!$C$106),1,0))</f>
        <v/>
      </c>
      <c r="AT40" s="13" t="str">
        <f>IF(OR(M40="",Results!M12=""),"",IF(AND(M40=Results!M12,Results!M12&lt;&gt;Games!$C$107),1,0))</f>
        <v/>
      </c>
      <c r="AU40" s="13" t="str">
        <f>IF(OR(N40="",Results!N12=""),"",IF(AND(N40=Results!N12,Results!N12&lt;&gt;Games!$C$108),1,0))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IF(OR(B41="",Results!B12=""),"",IF(B41=Results!B12,1+IF(OR($O41=1,$P41=1,$Q41=1),1,0),0))</f>
        <v/>
      </c>
      <c r="T41" s="4" t="str">
        <f>IF(OR(C41="",Results!C12=""),"",IF(C41=Results!C12,1+IF(OR($O41=2,$P41=2,$Q41=2),1,0),0))</f>
        <v/>
      </c>
      <c r="U41" s="4" t="str">
        <f>IF(OR(D41="",Results!D12=""),"",IF(D41=Results!D12,1+IF(OR($O41=3,$P41=3,$Q41=3),1,0),0))</f>
        <v/>
      </c>
      <c r="V41" s="4" t="str">
        <f>IF(OR(E41="",Results!E12=""),"",IF(E41=Results!E12,1+IF(OR($O41=4,$P41=4,$Q41=4),1,0),0))</f>
        <v/>
      </c>
      <c r="W41" s="4" t="str">
        <f>IF(OR(F41="",Results!F12=""),"",IF(F41=Results!F12,1+IF(OR($O41=5,$P41=5,$Q41=5),1,0),0))</f>
        <v/>
      </c>
      <c r="X41" s="4" t="str">
        <f>IF(OR(G41="",Results!G12=""),"",IF(G41=Results!G12,1+IF(OR($O41=6,$P41=6,$Q41=6),1,0),0))</f>
        <v/>
      </c>
      <c r="Y41" s="4" t="str">
        <f>IF(OR(H41="",Results!H12=""),"",IF(H41=Results!H12,1+IF(OR($O41=7,$P41=7,$Q41=7),1,0),0))</f>
        <v/>
      </c>
      <c r="Z41" s="4" t="str">
        <f>IF(OR(I41="",Results!I12=""),"",IF(I41=Results!I12,1+IF(OR($O41=8,$P41=8,$Q41=8),1,0),0))</f>
        <v/>
      </c>
      <c r="AA41" s="4" t="str">
        <f>IF(OR(J41="",Results!J12=""),"",IF(J41=Results!J12,1+IF(OR($O41=9,$P41=9,$Q41=9),1,0),0))</f>
        <v/>
      </c>
      <c r="AB41" s="4" t="str">
        <f>IF(OR(K41="",Results!K12=""),"",IF(K41=Results!K12,1+IF(OR($O41=10,$P41=10,$Q41=10),1,0),0))</f>
        <v/>
      </c>
      <c r="AC41" s="4" t="str">
        <f>IF(OR(L41="",Results!L12=""),"",IF(L41=Results!L12,1+IF(OR($O41=11,$P41=11,$Q41=11),1,0),0))</f>
        <v/>
      </c>
      <c r="AD41" s="4" t="str">
        <f>IF(OR(M41="",Results!M12=""),"",IF(M41=Results!M12,1+IF(OR($O41=12,$P41=12,$Q41=12),1,0),0))</f>
        <v/>
      </c>
      <c r="AE41" s="4" t="str">
        <f>IF(OR(N41="",Results!N12=""),"",IF(N41=Results!N12,1+IF(OR($O41=13,$P41=13,$Q41=13),1,0),0))</f>
        <v/>
      </c>
      <c r="AF41" s="11">
        <f t="shared" si="2"/>
        <v>0</v>
      </c>
      <c r="AG41" s="4" t="str">
        <f>IF(OR($R41="",Results!O12=""),"",ABS($R41-Results!O12))</f>
        <v/>
      </c>
      <c r="AH41" s="12">
        <v>20</v>
      </c>
      <c r="AI41" s="13" t="str">
        <f>IF(OR(B41="",Results!B12=""),"",IF(AND(B41=Results!B12,Results!B12&lt;&gt;Games!$C$96),1,0))</f>
        <v/>
      </c>
      <c r="AJ41" s="13" t="str">
        <f>IF(OR(C41="",Results!C12=""),"",IF(AND(C41=Results!C12,Results!C12&lt;&gt;Games!$C$97),1,0))</f>
        <v/>
      </c>
      <c r="AK41" s="13" t="str">
        <f>IF(OR(D41="",Results!D12=""),"",IF(AND(D41=Results!D12,Results!D12&lt;&gt;Games!$C$98),1,0))</f>
        <v/>
      </c>
      <c r="AL41" s="13" t="str">
        <f>IF(OR(E41="",Results!E12=""),"",IF(AND(E41=Results!E12,Results!E12&lt;&gt;Games!$C$99),1,0))</f>
        <v/>
      </c>
      <c r="AM41" s="13" t="str">
        <f>IF(OR(F41="",Results!F12=""),"",IF(AND(F41=Results!F12,Results!F12&lt;&gt;Games!$C$100),1,0))</f>
        <v/>
      </c>
      <c r="AN41" s="13" t="str">
        <f>IF(OR(G41="",Results!G12=""),"",IF(AND(G41=Results!G12,Results!G12&lt;&gt;Games!$C$101),1,0))</f>
        <v/>
      </c>
      <c r="AO41" s="13" t="str">
        <f>IF(OR(H41="",Results!H12=""),"",IF(AND(H41=Results!H12,Results!H12&lt;&gt;Games!$C$102),1,0))</f>
        <v/>
      </c>
      <c r="AP41" s="13" t="str">
        <f>IF(OR(I41="",Results!I12=""),"",IF(AND(I41=Results!I12,Results!I12&lt;&gt;Games!$C$103),1,0))</f>
        <v/>
      </c>
      <c r="AQ41" s="13" t="str">
        <f>IF(OR(J41="",Results!J12=""),"",IF(AND(J41=Results!J12,Results!J12&lt;&gt;Games!$C$104),1,0))</f>
        <v/>
      </c>
      <c r="AR41" s="13" t="str">
        <f>IF(OR(K41="",Results!K12=""),"",IF(AND(K41=Results!K12,Results!K12&lt;&gt;Games!$C$105),1,0))</f>
        <v/>
      </c>
      <c r="AS41" s="13" t="str">
        <f>IF(OR(L41="",Results!L12=""),"",IF(AND(L41=Results!L12,Results!L12&lt;&gt;Games!$C$106),1,0))</f>
        <v/>
      </c>
      <c r="AT41" s="13" t="str">
        <f>IF(OR(M41="",Results!M12=""),"",IF(AND(M41=Results!M12,Results!M12&lt;&gt;Games!$C$107),1,0))</f>
        <v/>
      </c>
      <c r="AU41" s="13" t="str">
        <f>IF(OR(N41="",Results!N12=""),"",IF(AND(N41=Results!N12,Results!N12&lt;&gt;Games!$C$108),1,0))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4" t="str">
        <f>IF(OR(B42="",Results!B12=""),"",IF(B42=Results!B12,1+IF(OR($O42=1,$P42=1,$Q42=1),1,0),0))</f>
        <v/>
      </c>
      <c r="T42" s="4" t="str">
        <f>IF(OR(C42="",Results!C12=""),"",IF(C42=Results!C12,1+IF(OR($O42=2,$P42=2,$Q42=2),1,0),0))</f>
        <v/>
      </c>
      <c r="U42" s="4" t="str">
        <f>IF(OR(D42="",Results!D12=""),"",IF(D42=Results!D12,1+IF(OR($O42=3,$P42=3,$Q42=3),1,0),0))</f>
        <v/>
      </c>
      <c r="V42" s="4" t="str">
        <f>IF(OR(E42="",Results!E12=""),"",IF(E42=Results!E12,1+IF(OR($O42=4,$P42=4,$Q42=4),1,0),0))</f>
        <v/>
      </c>
      <c r="W42" s="4" t="str">
        <f>IF(OR(F42="",Results!F12=""),"",IF(F42=Results!F12,1+IF(OR($O42=5,$P42=5,$Q42=5),1,0),0))</f>
        <v/>
      </c>
      <c r="X42" s="4" t="str">
        <f>IF(OR(G42="",Results!G12=""),"",IF(G42=Results!G12,1+IF(OR($O42=6,$P42=6,$Q42=6),1,0),0))</f>
        <v/>
      </c>
      <c r="Y42" s="4" t="str">
        <f>IF(OR(H42="",Results!H12=""),"",IF(H42=Results!H12,1+IF(OR($O42=7,$P42=7,$Q42=7),1,0),0))</f>
        <v/>
      </c>
      <c r="Z42" s="4" t="str">
        <f>IF(OR(I42="",Results!I12=""),"",IF(I42=Results!I12,1+IF(OR($O42=8,$P42=8,$Q42=8),1,0),0))</f>
        <v/>
      </c>
      <c r="AA42" s="4" t="str">
        <f>IF(OR(J42="",Results!J12=""),"",IF(J42=Results!J12,1+IF(OR($O42=9,$P42=9,$Q42=9),1,0),0))</f>
        <v/>
      </c>
      <c r="AB42" s="4" t="str">
        <f>IF(OR(K42="",Results!K12=""),"",IF(K42=Results!K12,1+IF(OR($O42=10,$P42=10,$Q42=10),1,0),0))</f>
        <v/>
      </c>
      <c r="AC42" s="4" t="str">
        <f>IF(OR(L42="",Results!L12=""),"",IF(L42=Results!L12,1+IF(OR($O42=11,$P42=11,$Q42=11),1,0),0))</f>
        <v/>
      </c>
      <c r="AD42" s="4" t="str">
        <f>IF(OR(M42="",Results!M12=""),"",IF(M42=Results!M12,1+IF(OR($O42=12,$P42=12,$Q42=12),1,0),0))</f>
        <v/>
      </c>
      <c r="AE42" s="4" t="str">
        <f>IF(OR(N42="",Results!N12=""),"",IF(N42=Results!N12,1+IF(OR($O42=13,$P42=13,$Q42=13),1,0),0))</f>
        <v/>
      </c>
      <c r="AF42" s="11">
        <f t="shared" si="2"/>
        <v>0</v>
      </c>
      <c r="AG42" s="4" t="str">
        <f>IF(OR($R42="",Results!O12=""),"",ABS($R42-Results!O12))</f>
        <v/>
      </c>
      <c r="AH42" s="12">
        <v>21</v>
      </c>
      <c r="AI42" s="13" t="str">
        <f>IF(OR(B42="",Results!B12=""),"",IF(AND(B42=Results!B12,Results!B12&lt;&gt;Games!$C$96),1,0))</f>
        <v/>
      </c>
      <c r="AJ42" s="13" t="str">
        <f>IF(OR(C42="",Results!C12=""),"",IF(AND(C42=Results!C12,Results!C12&lt;&gt;Games!$C$97),1,0))</f>
        <v/>
      </c>
      <c r="AK42" s="13" t="str">
        <f>IF(OR(D42="",Results!D12=""),"",IF(AND(D42=Results!D12,Results!D12&lt;&gt;Games!$C$98),1,0))</f>
        <v/>
      </c>
      <c r="AL42" s="13" t="str">
        <f>IF(OR(E42="",Results!E12=""),"",IF(AND(E42=Results!E12,Results!E12&lt;&gt;Games!$C$99),1,0))</f>
        <v/>
      </c>
      <c r="AM42" s="13" t="str">
        <f>IF(OR(F42="",Results!F12=""),"",IF(AND(F42=Results!F12,Results!F12&lt;&gt;Games!$C$100),1,0))</f>
        <v/>
      </c>
      <c r="AN42" s="13" t="str">
        <f>IF(OR(G42="",Results!G12=""),"",IF(AND(G42=Results!G12,Results!G12&lt;&gt;Games!$C$101),1,0))</f>
        <v/>
      </c>
      <c r="AO42" s="13" t="str">
        <f>IF(OR(H42="",Results!H12=""),"",IF(AND(H42=Results!H12,Results!H12&lt;&gt;Games!$C$102),1,0))</f>
        <v/>
      </c>
      <c r="AP42" s="13" t="str">
        <f>IF(OR(I42="",Results!I12=""),"",IF(AND(I42=Results!I12,Results!I12&lt;&gt;Games!$C$103),1,0))</f>
        <v/>
      </c>
      <c r="AQ42" s="13" t="str">
        <f>IF(OR(J42="",Results!J12=""),"",IF(AND(J42=Results!J12,Results!J12&lt;&gt;Games!$C$104),1,0))</f>
        <v/>
      </c>
      <c r="AR42" s="13" t="str">
        <f>IF(OR(K42="",Results!K12=""),"",IF(AND(K42=Results!K12,Results!K12&lt;&gt;Games!$C$105),1,0))</f>
        <v/>
      </c>
      <c r="AS42" s="13" t="str">
        <f>IF(OR(L42="",Results!L12=""),"",IF(AND(L42=Results!L12,Results!L12&lt;&gt;Games!$C$106),1,0))</f>
        <v/>
      </c>
      <c r="AT42" s="13" t="str">
        <f>IF(OR(M42="",Results!M12=""),"",IF(AND(M42=Results!M12,Results!M12&lt;&gt;Games!$C$107),1,0))</f>
        <v/>
      </c>
      <c r="AU42" s="13" t="str">
        <f>IF(OR(N42="",Results!N12=""),"",IF(AND(N42=Results!N12,Results!N12&lt;&gt;Games!$C$108),1,0))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4" t="str">
        <f>IF(OR(B43="",Results!B12=""),"",IF(B43=Results!B12,1+IF(OR($O43=1,$P43=1,$Q43=1),1,0),0))</f>
        <v/>
      </c>
      <c r="T43" s="4" t="str">
        <f>IF(OR(C43="",Results!C12=""),"",IF(C43=Results!C12,1+IF(OR($O43=2,$P43=2,$Q43=2),1,0),0))</f>
        <v/>
      </c>
      <c r="U43" s="4" t="str">
        <f>IF(OR(D43="",Results!D12=""),"",IF(D43=Results!D12,1+IF(OR($O43=3,$P43=3,$Q43=3),1,0),0))</f>
        <v/>
      </c>
      <c r="V43" s="4" t="str">
        <f>IF(OR(E43="",Results!E12=""),"",IF(E43=Results!E12,1+IF(OR($O43=4,$P43=4,$Q43=4),1,0),0))</f>
        <v/>
      </c>
      <c r="W43" s="4" t="str">
        <f>IF(OR(F43="",Results!F12=""),"",IF(F43=Results!F12,1+IF(OR($O43=5,$P43=5,$Q43=5),1,0),0))</f>
        <v/>
      </c>
      <c r="X43" s="4" t="str">
        <f>IF(OR(G43="",Results!G12=""),"",IF(G43=Results!G12,1+IF(OR($O43=6,$P43=6,$Q43=6),1,0),0))</f>
        <v/>
      </c>
      <c r="Y43" s="4" t="str">
        <f>IF(OR(H43="",Results!H12=""),"",IF(H43=Results!H12,1+IF(OR($O43=7,$P43=7,$Q43=7),1,0),0))</f>
        <v/>
      </c>
      <c r="Z43" s="4" t="str">
        <f>IF(OR(I43="",Results!I12=""),"",IF(I43=Results!I12,1+IF(OR($O43=8,$P43=8,$Q43=8),1,0),0))</f>
        <v/>
      </c>
      <c r="AA43" s="4" t="str">
        <f>IF(OR(J43="",Results!J12=""),"",IF(J43=Results!J12,1+IF(OR($O43=9,$P43=9,$Q43=9),1,0),0))</f>
        <v/>
      </c>
      <c r="AB43" s="4" t="str">
        <f>IF(OR(K43="",Results!K12=""),"",IF(K43=Results!K12,1+IF(OR($O43=10,$P43=10,$Q43=10),1,0),0))</f>
        <v/>
      </c>
      <c r="AC43" s="4" t="str">
        <f>IF(OR(L43="",Results!L12=""),"",IF(L43=Results!L12,1+IF(OR($O43=11,$P43=11,$Q43=11),1,0),0))</f>
        <v/>
      </c>
      <c r="AD43" s="4" t="str">
        <f>IF(OR(M43="",Results!M12=""),"",IF(M43=Results!M12,1+IF(OR($O43=12,$P43=12,$Q43=12),1,0),0))</f>
        <v/>
      </c>
      <c r="AE43" s="4" t="str">
        <f>IF(OR(N43="",Results!N12=""),"",IF(N43=Results!N12,1+IF(OR($O43=13,$P43=13,$Q43=13),1,0),0))</f>
        <v/>
      </c>
      <c r="AF43" s="11">
        <f t="shared" si="2"/>
        <v>0</v>
      </c>
      <c r="AG43" s="4" t="str">
        <f>IF(OR($R43="",Results!O12=""),"",ABS($R43-Results!O12))</f>
        <v/>
      </c>
      <c r="AH43" s="12">
        <v>22</v>
      </c>
      <c r="AI43" s="13" t="str">
        <f>IF(OR(B43="",Results!B12=""),"",IF(AND(B43=Results!B12,Results!B12&lt;&gt;Games!$C$96),1,0))</f>
        <v/>
      </c>
      <c r="AJ43" s="13" t="str">
        <f>IF(OR(C43="",Results!C12=""),"",IF(AND(C43=Results!C12,Results!C12&lt;&gt;Games!$C$97),1,0))</f>
        <v/>
      </c>
      <c r="AK43" s="13" t="str">
        <f>IF(OR(D43="",Results!D12=""),"",IF(AND(D43=Results!D12,Results!D12&lt;&gt;Games!$C$98),1,0))</f>
        <v/>
      </c>
      <c r="AL43" s="13" t="str">
        <f>IF(OR(E43="",Results!E12=""),"",IF(AND(E43=Results!E12,Results!E12&lt;&gt;Games!$C$99),1,0))</f>
        <v/>
      </c>
      <c r="AM43" s="13" t="str">
        <f>IF(OR(F43="",Results!F12=""),"",IF(AND(F43=Results!F12,Results!F12&lt;&gt;Games!$C$100),1,0))</f>
        <v/>
      </c>
      <c r="AN43" s="13" t="str">
        <f>IF(OR(G43="",Results!G12=""),"",IF(AND(G43=Results!G12,Results!G12&lt;&gt;Games!$C$101),1,0))</f>
        <v/>
      </c>
      <c r="AO43" s="13" t="str">
        <f>IF(OR(H43="",Results!H12=""),"",IF(AND(H43=Results!H12,Results!H12&lt;&gt;Games!$C$102),1,0))</f>
        <v/>
      </c>
      <c r="AP43" s="13" t="str">
        <f>IF(OR(I43="",Results!I12=""),"",IF(AND(I43=Results!I12,Results!I12&lt;&gt;Games!$C$103),1,0))</f>
        <v/>
      </c>
      <c r="AQ43" s="13" t="str">
        <f>IF(OR(J43="",Results!J12=""),"",IF(AND(J43=Results!J12,Results!J12&lt;&gt;Games!$C$104),1,0))</f>
        <v/>
      </c>
      <c r="AR43" s="13" t="str">
        <f>IF(OR(K43="",Results!K12=""),"",IF(AND(K43=Results!K12,Results!K12&lt;&gt;Games!$C$105),1,0))</f>
        <v/>
      </c>
      <c r="AS43" s="13" t="str">
        <f>IF(OR(L43="",Results!L12=""),"",IF(AND(L43=Results!L12,Results!L12&lt;&gt;Games!$C$106),1,0))</f>
        <v/>
      </c>
      <c r="AT43" s="13" t="str">
        <f>IF(OR(M43="",Results!M12=""),"",IF(AND(M43=Results!M12,Results!M12&lt;&gt;Games!$C$107),1,0))</f>
        <v/>
      </c>
      <c r="AU43" s="13" t="str">
        <f>IF(OR(N43="",Results!N12=""),"",IF(AND(N43=Results!N12,Results!N12&lt;&gt;Games!$C$108),1,0))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tr">
        <f>IF(OR(B44="",Results!B12=""),"",IF(B44=Results!B12,1+IF(OR($O44=1,$P44=1,$Q44=1),1,0),0))</f>
        <v/>
      </c>
      <c r="T44" s="4" t="str">
        <f>IF(OR(C44="",Results!C12=""),"",IF(C44=Results!C12,1+IF(OR($O44=2,$P44=2,$Q44=2),1,0),0))</f>
        <v/>
      </c>
      <c r="U44" s="4" t="str">
        <f>IF(OR(D44="",Results!D12=""),"",IF(D44=Results!D12,1+IF(OR($O44=3,$P44=3,$Q44=3),1,0),0))</f>
        <v/>
      </c>
      <c r="V44" s="4" t="str">
        <f>IF(OR(E44="",Results!E12=""),"",IF(E44=Results!E12,1+IF(OR($O44=4,$P44=4,$Q44=4),1,0),0))</f>
        <v/>
      </c>
      <c r="W44" s="4" t="str">
        <f>IF(OR(F44="",Results!F12=""),"",IF(F44=Results!F12,1+IF(OR($O44=5,$P44=5,$Q44=5),1,0),0))</f>
        <v/>
      </c>
      <c r="X44" s="4" t="str">
        <f>IF(OR(G44="",Results!G12=""),"",IF(G44=Results!G12,1+IF(OR($O44=6,$P44=6,$Q44=6),1,0),0))</f>
        <v/>
      </c>
      <c r="Y44" s="4" t="str">
        <f>IF(OR(H44="",Results!H12=""),"",IF(H44=Results!H12,1+IF(OR($O44=7,$P44=7,$Q44=7),1,0),0))</f>
        <v/>
      </c>
      <c r="Z44" s="4" t="str">
        <f>IF(OR(I44="",Results!I12=""),"",IF(I44=Results!I12,1+IF(OR($O44=8,$P44=8,$Q44=8),1,0),0))</f>
        <v/>
      </c>
      <c r="AA44" s="4" t="str">
        <f>IF(OR(J44="",Results!J12=""),"",IF(J44=Results!J12,1+IF(OR($O44=9,$P44=9,$Q44=9),1,0),0))</f>
        <v/>
      </c>
      <c r="AB44" s="4" t="str">
        <f>IF(OR(K44="",Results!K12=""),"",IF(K44=Results!K12,1+IF(OR($O44=10,$P44=10,$Q44=10),1,0),0))</f>
        <v/>
      </c>
      <c r="AC44" s="4" t="str">
        <f>IF(OR(L44="",Results!L12=""),"",IF(L44=Results!L12,1+IF(OR($O44=11,$P44=11,$Q44=11),1,0),0))</f>
        <v/>
      </c>
      <c r="AD44" s="4" t="str">
        <f>IF(OR(M44="",Results!M12=""),"",IF(M44=Results!M12,1+IF(OR($O44=12,$P44=12,$Q44=12),1,0),0))</f>
        <v/>
      </c>
      <c r="AE44" s="4" t="str">
        <f>IF(OR(N44="",Results!N12=""),"",IF(N44=Results!N12,1+IF(OR($O44=13,$P44=13,$Q44=13),1,0),0))</f>
        <v/>
      </c>
      <c r="AF44" s="11">
        <f t="shared" si="2"/>
        <v>0</v>
      </c>
      <c r="AG44" s="4" t="str">
        <f>IF(OR($R44="",Results!O12=""),"",ABS($R44-Results!O12))</f>
        <v/>
      </c>
      <c r="AH44" s="12">
        <v>23</v>
      </c>
      <c r="AI44" s="13" t="str">
        <f>IF(OR(B44="",Results!B12=""),"",IF(AND(B44=Results!B12,Results!B12&lt;&gt;Games!$C$96),1,0))</f>
        <v/>
      </c>
      <c r="AJ44" s="13" t="str">
        <f>IF(OR(C44="",Results!C12=""),"",IF(AND(C44=Results!C12,Results!C12&lt;&gt;Games!$C$97),1,0))</f>
        <v/>
      </c>
      <c r="AK44" s="13" t="str">
        <f>IF(OR(D44="",Results!D12=""),"",IF(AND(D44=Results!D12,Results!D12&lt;&gt;Games!$C$98),1,0))</f>
        <v/>
      </c>
      <c r="AL44" s="13" t="str">
        <f>IF(OR(E44="",Results!E12=""),"",IF(AND(E44=Results!E12,Results!E12&lt;&gt;Games!$C$99),1,0))</f>
        <v/>
      </c>
      <c r="AM44" s="13" t="str">
        <f>IF(OR(F44="",Results!F12=""),"",IF(AND(F44=Results!F12,Results!F12&lt;&gt;Games!$C$100),1,0))</f>
        <v/>
      </c>
      <c r="AN44" s="13" t="str">
        <f>IF(OR(G44="",Results!G12=""),"",IF(AND(G44=Results!G12,Results!G12&lt;&gt;Games!$C$101),1,0))</f>
        <v/>
      </c>
      <c r="AO44" s="13" t="str">
        <f>IF(OR(H44="",Results!H12=""),"",IF(AND(H44=Results!H12,Results!H12&lt;&gt;Games!$C$102),1,0))</f>
        <v/>
      </c>
      <c r="AP44" s="13" t="str">
        <f>IF(OR(I44="",Results!I12=""),"",IF(AND(I44=Results!I12,Results!I12&lt;&gt;Games!$C$103),1,0))</f>
        <v/>
      </c>
      <c r="AQ44" s="13" t="str">
        <f>IF(OR(J44="",Results!J12=""),"",IF(AND(J44=Results!J12,Results!J12&lt;&gt;Games!$C$104),1,0))</f>
        <v/>
      </c>
      <c r="AR44" s="13" t="str">
        <f>IF(OR(K44="",Results!K12=""),"",IF(AND(K44=Results!K12,Results!K12&lt;&gt;Games!$C$105),1,0))</f>
        <v/>
      </c>
      <c r="AS44" s="13" t="str">
        <f>IF(OR(L44="",Results!L12=""),"",IF(AND(L44=Results!L12,Results!L12&lt;&gt;Games!$C$106),1,0))</f>
        <v/>
      </c>
      <c r="AT44" s="13" t="str">
        <f>IF(OR(M44="",Results!M12=""),"",IF(AND(M44=Results!M12,Results!M12&lt;&gt;Games!$C$107),1,0))</f>
        <v/>
      </c>
      <c r="AU44" s="13" t="str">
        <f>IF(OR(N44="",Results!N12=""),"",IF(AND(N44=Results!N12,Results!N12&lt;&gt;Games!$C$108),1,0))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IF(OR(B45="",Results!B12=""),"",IF(B45=Results!B12,1+IF(OR($O45=1,$P45=1,$Q45=1),1,0),0))</f>
        <v/>
      </c>
      <c r="T45" s="4" t="str">
        <f>IF(OR(C45="",Results!C12=""),"",IF(C45=Results!C12,1+IF(OR($O45=2,$P45=2,$Q45=2),1,0),0))</f>
        <v/>
      </c>
      <c r="U45" s="4" t="str">
        <f>IF(OR(D45="",Results!D12=""),"",IF(D45=Results!D12,1+IF(OR($O45=3,$P45=3,$Q45=3),1,0),0))</f>
        <v/>
      </c>
      <c r="V45" s="4" t="str">
        <f>IF(OR(E45="",Results!E12=""),"",IF(E45=Results!E12,1+IF(OR($O45=4,$P45=4,$Q45=4),1,0),0))</f>
        <v/>
      </c>
      <c r="W45" s="4" t="str">
        <f>IF(OR(F45="",Results!F12=""),"",IF(F45=Results!F12,1+IF(OR($O45=5,$P45=5,$Q45=5),1,0),0))</f>
        <v/>
      </c>
      <c r="X45" s="4" t="str">
        <f>IF(OR(G45="",Results!G12=""),"",IF(G45=Results!G12,1+IF(OR($O45=6,$P45=6,$Q45=6),1,0),0))</f>
        <v/>
      </c>
      <c r="Y45" s="4" t="str">
        <f>IF(OR(H45="",Results!H12=""),"",IF(H45=Results!H12,1+IF(OR($O45=7,$P45=7,$Q45=7),1,0),0))</f>
        <v/>
      </c>
      <c r="Z45" s="4" t="str">
        <f>IF(OR(I45="",Results!I12=""),"",IF(I45=Results!I12,1+IF(OR($O45=8,$P45=8,$Q45=8),1,0),0))</f>
        <v/>
      </c>
      <c r="AA45" s="4" t="str">
        <f>IF(OR(J45="",Results!J12=""),"",IF(J45=Results!J12,1+IF(OR($O45=9,$P45=9,$Q45=9),1,0),0))</f>
        <v/>
      </c>
      <c r="AB45" s="4" t="str">
        <f>IF(OR(K45="",Results!K12=""),"",IF(K45=Results!K12,1+IF(OR($O45=10,$P45=10,$Q45=10),1,0),0))</f>
        <v/>
      </c>
      <c r="AC45" s="4" t="str">
        <f>IF(OR(L45="",Results!L12=""),"",IF(L45=Results!L12,1+IF(OR($O45=11,$P45=11,$Q45=11),1,0),0))</f>
        <v/>
      </c>
      <c r="AD45" s="4" t="str">
        <f>IF(OR(M45="",Results!M12=""),"",IF(M45=Results!M12,1+IF(OR($O45=12,$P45=12,$Q45=12),1,0),0))</f>
        <v/>
      </c>
      <c r="AE45" s="4" t="str">
        <f>IF(OR(N45="",Results!N12=""),"",IF(N45=Results!N12,1+IF(OR($O45=13,$P45=13,$Q45=13),1,0),0))</f>
        <v/>
      </c>
      <c r="AF45" s="11">
        <f t="shared" si="2"/>
        <v>0</v>
      </c>
      <c r="AG45" s="4" t="str">
        <f>IF(OR($R45="",Results!O12=""),"",ABS($R45-Results!O12))</f>
        <v/>
      </c>
      <c r="AH45" s="12">
        <v>24</v>
      </c>
      <c r="AI45" s="13" t="str">
        <f>IF(OR(B45="",Results!B12=""),"",IF(AND(B45=Results!B12,Results!B12&lt;&gt;Games!$C$96),1,0))</f>
        <v/>
      </c>
      <c r="AJ45" s="13" t="str">
        <f>IF(OR(C45="",Results!C12=""),"",IF(AND(C45=Results!C12,Results!C12&lt;&gt;Games!$C$97),1,0))</f>
        <v/>
      </c>
      <c r="AK45" s="13" t="str">
        <f>IF(OR(D45="",Results!D12=""),"",IF(AND(D45=Results!D12,Results!D12&lt;&gt;Games!$C$98),1,0))</f>
        <v/>
      </c>
      <c r="AL45" s="13" t="str">
        <f>IF(OR(E45="",Results!E12=""),"",IF(AND(E45=Results!E12,Results!E12&lt;&gt;Games!$C$99),1,0))</f>
        <v/>
      </c>
      <c r="AM45" s="13" t="str">
        <f>IF(OR(F45="",Results!F12=""),"",IF(AND(F45=Results!F12,Results!F12&lt;&gt;Games!$C$100),1,0))</f>
        <v/>
      </c>
      <c r="AN45" s="13" t="str">
        <f>IF(OR(G45="",Results!G12=""),"",IF(AND(G45=Results!G12,Results!G12&lt;&gt;Games!$C$101),1,0))</f>
        <v/>
      </c>
      <c r="AO45" s="13" t="str">
        <f>IF(OR(H45="",Results!H12=""),"",IF(AND(H45=Results!H12,Results!H12&lt;&gt;Games!$C$102),1,0))</f>
        <v/>
      </c>
      <c r="AP45" s="13" t="str">
        <f>IF(OR(I45="",Results!I12=""),"",IF(AND(I45=Results!I12,Results!I12&lt;&gt;Games!$C$103),1,0))</f>
        <v/>
      </c>
      <c r="AQ45" s="13" t="str">
        <f>IF(OR(J45="",Results!J12=""),"",IF(AND(J45=Results!J12,Results!J12&lt;&gt;Games!$C$104),1,0))</f>
        <v/>
      </c>
      <c r="AR45" s="13" t="str">
        <f>IF(OR(K45="",Results!K12=""),"",IF(AND(K45=Results!K12,Results!K12&lt;&gt;Games!$C$105),1,0))</f>
        <v/>
      </c>
      <c r="AS45" s="13" t="str">
        <f>IF(OR(L45="",Results!L12=""),"",IF(AND(L45=Results!L12,Results!L12&lt;&gt;Games!$C$106),1,0))</f>
        <v/>
      </c>
      <c r="AT45" s="13" t="str">
        <f>IF(OR(M45="",Results!M12=""),"",IF(AND(M45=Results!M12,Results!M12&lt;&gt;Games!$C$107),1,0))</f>
        <v/>
      </c>
      <c r="AU45" s="13" t="str">
        <f>IF(OR(N45="",Results!N12=""),"",IF(AND(N45=Results!N12,Results!N12&lt;&gt;Games!$C$108),1,0))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IF(OR(B46="",Results!B12=""),"",IF(B46=Results!B12,1+IF(OR($O46=1,$P46=1,$Q46=1),1,0),0))</f>
        <v/>
      </c>
      <c r="T46" s="4" t="str">
        <f>IF(OR(C46="",Results!C12=""),"",IF(C46=Results!C12,1+IF(OR($O46=2,$P46=2,$Q46=2),1,0),0))</f>
        <v/>
      </c>
      <c r="U46" s="4" t="str">
        <f>IF(OR(D46="",Results!D12=""),"",IF(D46=Results!D12,1+IF(OR($O46=3,$P46=3,$Q46=3),1,0),0))</f>
        <v/>
      </c>
      <c r="V46" s="4" t="str">
        <f>IF(OR(E46="",Results!E12=""),"",IF(E46=Results!E12,1+IF(OR($O46=4,$P46=4,$Q46=4),1,0),0))</f>
        <v/>
      </c>
      <c r="W46" s="4" t="str">
        <f>IF(OR(F46="",Results!F12=""),"",IF(F46=Results!F12,1+IF(OR($O46=5,$P46=5,$Q46=5),1,0),0))</f>
        <v/>
      </c>
      <c r="X46" s="4" t="str">
        <f>IF(OR(G46="",Results!G12=""),"",IF(G46=Results!G12,1+IF(OR($O46=6,$P46=6,$Q46=6),1,0),0))</f>
        <v/>
      </c>
      <c r="Y46" s="4" t="str">
        <f>IF(OR(H46="",Results!H12=""),"",IF(H46=Results!H12,1+IF(OR($O46=7,$P46=7,$Q46=7),1,0),0))</f>
        <v/>
      </c>
      <c r="Z46" s="4" t="str">
        <f>IF(OR(I46="",Results!I12=""),"",IF(I46=Results!I12,1+IF(OR($O46=8,$P46=8,$Q46=8),1,0),0))</f>
        <v/>
      </c>
      <c r="AA46" s="4" t="str">
        <f>IF(OR(J46="",Results!J12=""),"",IF(J46=Results!J12,1+IF(OR($O46=9,$P46=9,$Q46=9),1,0),0))</f>
        <v/>
      </c>
      <c r="AB46" s="4" t="str">
        <f>IF(OR(K46="",Results!K12=""),"",IF(K46=Results!K12,1+IF(OR($O46=10,$P46=10,$Q46=10),1,0),0))</f>
        <v/>
      </c>
      <c r="AC46" s="4" t="str">
        <f>IF(OR(L46="",Results!L12=""),"",IF(L46=Results!L12,1+IF(OR($O46=11,$P46=11,$Q46=11),1,0),0))</f>
        <v/>
      </c>
      <c r="AD46" s="4" t="str">
        <f>IF(OR(M46="",Results!M12=""),"",IF(M46=Results!M12,1+IF(OR($O46=12,$P46=12,$Q46=12),1,0),0))</f>
        <v/>
      </c>
      <c r="AE46" s="4" t="str">
        <f>IF(OR(N46="",Results!N12=""),"",IF(N46=Results!N12,1+IF(OR($O46=13,$P46=13,$Q46=13),1,0),0))</f>
        <v/>
      </c>
      <c r="AF46" s="11">
        <f t="shared" si="2"/>
        <v>0</v>
      </c>
      <c r="AG46" s="4" t="str">
        <f>IF(OR($R46="",Results!O12=""),"",ABS($R46-Results!O12))</f>
        <v/>
      </c>
      <c r="AH46" s="12">
        <v>36</v>
      </c>
      <c r="AI46" s="13" t="str">
        <f>IF(OR(B46="",Results!B12=""),"",IF(AND(B46=Results!B12,Results!B12&lt;&gt;Games!$C$96),1,0))</f>
        <v/>
      </c>
      <c r="AJ46" s="13" t="str">
        <f>IF(OR(C46="",Results!C12=""),"",IF(AND(C46=Results!C12,Results!C12&lt;&gt;Games!$C$97),1,0))</f>
        <v/>
      </c>
      <c r="AK46" s="13" t="str">
        <f>IF(OR(D46="",Results!D12=""),"",IF(AND(D46=Results!D12,Results!D12&lt;&gt;Games!$C$98),1,0))</f>
        <v/>
      </c>
      <c r="AL46" s="13" t="str">
        <f>IF(OR(E46="",Results!E12=""),"",IF(AND(E46=Results!E12,Results!E12&lt;&gt;Games!$C$99),1,0))</f>
        <v/>
      </c>
      <c r="AM46" s="13" t="str">
        <f>IF(OR(F46="",Results!F12=""),"",IF(AND(F46=Results!F12,Results!F12&lt;&gt;Games!$C$100),1,0))</f>
        <v/>
      </c>
      <c r="AN46" s="13" t="str">
        <f>IF(OR(G46="",Results!G12=""),"",IF(AND(G46=Results!G12,Results!G12&lt;&gt;Games!$C$101),1,0))</f>
        <v/>
      </c>
      <c r="AO46" s="13" t="str">
        <f>IF(OR(H46="",Results!H12=""),"",IF(AND(H46=Results!H12,Results!H12&lt;&gt;Games!$C$102),1,0))</f>
        <v/>
      </c>
      <c r="AP46" s="13" t="str">
        <f>IF(OR(I46="",Results!I12=""),"",IF(AND(I46=Results!I12,Results!I12&lt;&gt;Games!$C$103),1,0))</f>
        <v/>
      </c>
      <c r="AQ46" s="13" t="str">
        <f>IF(OR(J46="",Results!J12=""),"",IF(AND(J46=Results!J12,Results!J12&lt;&gt;Games!$C$104),1,0))</f>
        <v/>
      </c>
      <c r="AR46" s="13" t="str">
        <f>IF(OR(K46="",Results!K12=""),"",IF(AND(K46=Results!K12,Results!K12&lt;&gt;Games!$C$105),1,0))</f>
        <v/>
      </c>
      <c r="AS46" s="13" t="str">
        <f>IF(OR(L46="",Results!L12=""),"",IF(AND(L46=Results!L12,Results!L12&lt;&gt;Games!$C$106),1,0))</f>
        <v/>
      </c>
      <c r="AT46" s="13" t="str">
        <f>IF(OR(M46="",Results!M12=""),"",IF(AND(M46=Results!M12,Results!M12&lt;&gt;Games!$C$107),1,0))</f>
        <v/>
      </c>
      <c r="AU46" s="13" t="str">
        <f>IF(OR(N46="",Results!N12=""),"",IF(AND(N46=Results!N12,Results!N12&lt;&gt;Games!$C$108),1,0))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 t="str">
        <f>IF(OR(B47="",Results!B12=""),"",IF(B47=Results!B12,1+IF(OR($O47=1,$P47=1,$Q47=1),1,0),0))</f>
        <v/>
      </c>
      <c r="T47" s="4" t="str">
        <f>IF(OR(C47="",Results!C12=""),"",IF(C47=Results!C12,1+IF(OR($O47=2,$P47=2,$Q47=2),1,0),0))</f>
        <v/>
      </c>
      <c r="U47" s="4" t="str">
        <f>IF(OR(D47="",Results!D12=""),"",IF(D47=Results!D12,1+IF(OR($O47=3,$P47=3,$Q47=3),1,0),0))</f>
        <v/>
      </c>
      <c r="V47" s="4" t="str">
        <f>IF(OR(E47="",Results!E12=""),"",IF(E47=Results!E12,1+IF(OR($O47=4,$P47=4,$Q47=4),1,0),0))</f>
        <v/>
      </c>
      <c r="W47" s="4" t="str">
        <f>IF(OR(F47="",Results!F12=""),"",IF(F47=Results!F12,1+IF(OR($O47=5,$P47=5,$Q47=5),1,0),0))</f>
        <v/>
      </c>
      <c r="X47" s="4" t="str">
        <f>IF(OR(G47="",Results!G12=""),"",IF(G47=Results!G12,1+IF(OR($O47=6,$P47=6,$Q47=6),1,0),0))</f>
        <v/>
      </c>
      <c r="Y47" s="4" t="str">
        <f>IF(OR(H47="",Results!H12=""),"",IF(H47=Results!H12,1+IF(OR($O47=7,$P47=7,$Q47=7),1,0),0))</f>
        <v/>
      </c>
      <c r="Z47" s="4" t="str">
        <f>IF(OR(I47="",Results!I12=""),"",IF(I47=Results!I12,1+IF(OR($O47=8,$P47=8,$Q47=8),1,0),0))</f>
        <v/>
      </c>
      <c r="AA47" s="4" t="str">
        <f>IF(OR(J47="",Results!J12=""),"",IF(J47=Results!J12,1+IF(OR($O47=9,$P47=9,$Q47=9),1,0),0))</f>
        <v/>
      </c>
      <c r="AB47" s="4" t="str">
        <f>IF(OR(K47="",Results!K12=""),"",IF(K47=Results!K12,1+IF(OR($O47=10,$P47=10,$Q47=10),1,0),0))</f>
        <v/>
      </c>
      <c r="AC47" s="4" t="str">
        <f>IF(OR(L47="",Results!L12=""),"",IF(L47=Results!L12,1+IF(OR($O47=11,$P47=11,$Q47=11),1,0),0))</f>
        <v/>
      </c>
      <c r="AD47" s="4" t="str">
        <f>IF(OR(M47="",Results!M12=""),"",IF(M47=Results!M12,1+IF(OR($O47=12,$P47=12,$Q47=12),1,0),0))</f>
        <v/>
      </c>
      <c r="AE47" s="4" t="str">
        <f>IF(OR(N47="",Results!N12=""),"",IF(N47=Results!N12,1+IF(OR($O47=13,$P47=13,$Q47=13),1,0),0))</f>
        <v/>
      </c>
      <c r="AF47" s="11">
        <f t="shared" si="2"/>
        <v>0</v>
      </c>
      <c r="AG47" s="4" t="str">
        <f>IF(OR($R47="",Results!O12=""),"",ABS($R47-Results!O12))</f>
        <v/>
      </c>
      <c r="AH47" s="12">
        <v>25</v>
      </c>
      <c r="AI47" s="13" t="str">
        <f>IF(OR(B47="",Results!B12=""),"",IF(AND(B47=Results!B12,Results!B12&lt;&gt;Games!$C$96),1,0))</f>
        <v/>
      </c>
      <c r="AJ47" s="13" t="str">
        <f>IF(OR(C47="",Results!C12=""),"",IF(AND(C47=Results!C12,Results!C12&lt;&gt;Games!$C$97),1,0))</f>
        <v/>
      </c>
      <c r="AK47" s="13" t="str">
        <f>IF(OR(D47="",Results!D12=""),"",IF(AND(D47=Results!D12,Results!D12&lt;&gt;Games!$C$98),1,0))</f>
        <v/>
      </c>
      <c r="AL47" s="13" t="str">
        <f>IF(OR(E47="",Results!E12=""),"",IF(AND(E47=Results!E12,Results!E12&lt;&gt;Games!$C$99),1,0))</f>
        <v/>
      </c>
      <c r="AM47" s="13" t="str">
        <f>IF(OR(F47="",Results!F12=""),"",IF(AND(F47=Results!F12,Results!F12&lt;&gt;Games!$C$100),1,0))</f>
        <v/>
      </c>
      <c r="AN47" s="13" t="str">
        <f>IF(OR(G47="",Results!G12=""),"",IF(AND(G47=Results!G12,Results!G12&lt;&gt;Games!$C$101),1,0))</f>
        <v/>
      </c>
      <c r="AO47" s="13" t="str">
        <f>IF(OR(H47="",Results!H12=""),"",IF(AND(H47=Results!H12,Results!H12&lt;&gt;Games!$C$102),1,0))</f>
        <v/>
      </c>
      <c r="AP47" s="13" t="str">
        <f>IF(OR(I47="",Results!I12=""),"",IF(AND(I47=Results!I12,Results!I12&lt;&gt;Games!$C$103),1,0))</f>
        <v/>
      </c>
      <c r="AQ47" s="13" t="str">
        <f>IF(OR(J47="",Results!J12=""),"",IF(AND(J47=Results!J12,Results!J12&lt;&gt;Games!$C$104),1,0))</f>
        <v/>
      </c>
      <c r="AR47" s="13" t="str">
        <f>IF(OR(K47="",Results!K12=""),"",IF(AND(K47=Results!K12,Results!K12&lt;&gt;Games!$C$105),1,0))</f>
        <v/>
      </c>
      <c r="AS47" s="13" t="str">
        <f>IF(OR(L47="",Results!L12=""),"",IF(AND(L47=Results!L12,Results!L12&lt;&gt;Games!$C$106),1,0))</f>
        <v/>
      </c>
      <c r="AT47" s="13" t="str">
        <f>IF(OR(M47="",Results!M12=""),"",IF(AND(M47=Results!M12,Results!M12&lt;&gt;Games!$C$107),1,0))</f>
        <v/>
      </c>
      <c r="AU47" s="13" t="str">
        <f>IF(OR(N47="",Results!N12=""),"",IF(AND(N47=Results!N12,Results!N12&lt;&gt;Games!$C$108),1,0))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IF(OR(B48="",Results!B12=""),"",IF(B48=Results!B12,1+IF(OR($O48=1,$P48=1,$Q48=1),1,0),0))</f>
        <v/>
      </c>
      <c r="T48" s="4" t="str">
        <f>IF(OR(C48="",Results!C12=""),"",IF(C48=Results!C12,1+IF(OR($O48=2,$P48=2,$Q48=2),1,0),0))</f>
        <v/>
      </c>
      <c r="U48" s="4" t="str">
        <f>IF(OR(D48="",Results!D12=""),"",IF(D48=Results!D12,1+IF(OR($O48=3,$P48=3,$Q48=3),1,0),0))</f>
        <v/>
      </c>
      <c r="V48" s="4" t="str">
        <f>IF(OR(E48="",Results!E12=""),"",IF(E48=Results!E12,1+IF(OR($O48=4,$P48=4,$Q48=4),1,0),0))</f>
        <v/>
      </c>
      <c r="W48" s="4" t="str">
        <f>IF(OR(F48="",Results!F12=""),"",IF(F48=Results!F12,1+IF(OR($O48=5,$P48=5,$Q48=5),1,0),0))</f>
        <v/>
      </c>
      <c r="X48" s="4" t="str">
        <f>IF(OR(G48="",Results!G12=""),"",IF(G48=Results!G12,1+IF(OR($O48=6,$P48=6,$Q48=6),1,0),0))</f>
        <v/>
      </c>
      <c r="Y48" s="4" t="str">
        <f>IF(OR(H48="",Results!H12=""),"",IF(H48=Results!H12,1+IF(OR($O48=7,$P48=7,$Q48=7),1,0),0))</f>
        <v/>
      </c>
      <c r="Z48" s="4" t="str">
        <f>IF(OR(I48="",Results!I12=""),"",IF(I48=Results!I12,1+IF(OR($O48=8,$P48=8,$Q48=8),1,0),0))</f>
        <v/>
      </c>
      <c r="AA48" s="4" t="str">
        <f>IF(OR(J48="",Results!J12=""),"",IF(J48=Results!J12,1+IF(OR($O48=9,$P48=9,$Q48=9),1,0),0))</f>
        <v/>
      </c>
      <c r="AB48" s="4" t="str">
        <f>IF(OR(K48="",Results!K12=""),"",IF(K48=Results!K12,1+IF(OR($O48=10,$P48=10,$Q48=10),1,0),0))</f>
        <v/>
      </c>
      <c r="AC48" s="4" t="str">
        <f>IF(OR(L48="",Results!L12=""),"",IF(L48=Results!L12,1+IF(OR($O48=11,$P48=11,$Q48=11),1,0),0))</f>
        <v/>
      </c>
      <c r="AD48" s="4" t="str">
        <f>IF(OR(M48="",Results!M12=""),"",IF(M48=Results!M12,1+IF(OR($O48=12,$P48=12,$Q48=12),1,0),0))</f>
        <v/>
      </c>
      <c r="AE48" s="4" t="str">
        <f>IF(OR(N48="",Results!N12=""),"",IF(N48=Results!N12,1+IF(OR($O48=13,$P48=13,$Q48=13),1,0),0))</f>
        <v/>
      </c>
      <c r="AF48" s="11">
        <f t="shared" si="2"/>
        <v>0</v>
      </c>
      <c r="AG48" s="4" t="str">
        <f>IF(OR($R48="",Results!O12=""),"",ABS($R48-Results!O12))</f>
        <v/>
      </c>
      <c r="AH48" s="12">
        <v>56</v>
      </c>
      <c r="AI48" s="13" t="str">
        <f>IF(OR(B48="",Results!B12=""),"",IF(AND(B48=Results!B12,Results!B12&lt;&gt;Games!$C$96),1,0))</f>
        <v/>
      </c>
      <c r="AJ48" s="13" t="str">
        <f>IF(OR(C48="",Results!C12=""),"",IF(AND(C48=Results!C12,Results!C12&lt;&gt;Games!$C$97),1,0))</f>
        <v/>
      </c>
      <c r="AK48" s="13" t="str">
        <f>IF(OR(D48="",Results!D12=""),"",IF(AND(D48=Results!D12,Results!D12&lt;&gt;Games!$C$98),1,0))</f>
        <v/>
      </c>
      <c r="AL48" s="13" t="str">
        <f>IF(OR(E48="",Results!E12=""),"",IF(AND(E48=Results!E12,Results!E12&lt;&gt;Games!$C$99),1,0))</f>
        <v/>
      </c>
      <c r="AM48" s="13" t="str">
        <f>IF(OR(F48="",Results!F12=""),"",IF(AND(F48=Results!F12,Results!F12&lt;&gt;Games!$C$100),1,0))</f>
        <v/>
      </c>
      <c r="AN48" s="13" t="str">
        <f>IF(OR(G48="",Results!G12=""),"",IF(AND(G48=Results!G12,Results!G12&lt;&gt;Games!$C$101),1,0))</f>
        <v/>
      </c>
      <c r="AO48" s="13" t="str">
        <f>IF(OR(H48="",Results!H12=""),"",IF(AND(H48=Results!H12,Results!H12&lt;&gt;Games!$C$102),1,0))</f>
        <v/>
      </c>
      <c r="AP48" s="13" t="str">
        <f>IF(OR(I48="",Results!I12=""),"",IF(AND(I48=Results!I12,Results!I12&lt;&gt;Games!$C$103),1,0))</f>
        <v/>
      </c>
      <c r="AQ48" s="13" t="str">
        <f>IF(OR(J48="",Results!J12=""),"",IF(AND(J48=Results!J12,Results!J12&lt;&gt;Games!$C$104),1,0))</f>
        <v/>
      </c>
      <c r="AR48" s="13" t="str">
        <f>IF(OR(K48="",Results!K12=""),"",IF(AND(K48=Results!K12,Results!K12&lt;&gt;Games!$C$105),1,0))</f>
        <v/>
      </c>
      <c r="AS48" s="13" t="str">
        <f>IF(OR(L48="",Results!L12=""),"",IF(AND(L48=Results!L12,Results!L12&lt;&gt;Games!$C$106),1,0))</f>
        <v/>
      </c>
      <c r="AT48" s="13" t="str">
        <f>IF(OR(M48="",Results!M12=""),"",IF(AND(M48=Results!M12,Results!M12&lt;&gt;Games!$C$107),1,0))</f>
        <v/>
      </c>
      <c r="AU48" s="13" t="str">
        <f>IF(OR(N48="",Results!N12=""),"",IF(AND(N48=Results!N12,Results!N12&lt;&gt;Games!$C$108),1,0))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 t="str">
        <f>IF(OR(B49="",Results!B12=""),"",IF(B49=Results!B12,1+IF(OR($O49=1,$P49=1,$Q49=1),1,0),0))</f>
        <v/>
      </c>
      <c r="T49" s="4" t="str">
        <f>IF(OR(C49="",Results!C12=""),"",IF(C49=Results!C12,1+IF(OR($O49=2,$P49=2,$Q49=2),1,0),0))</f>
        <v/>
      </c>
      <c r="U49" s="4" t="str">
        <f>IF(OR(D49="",Results!D12=""),"",IF(D49=Results!D12,1+IF(OR($O49=3,$P49=3,$Q49=3),1,0),0))</f>
        <v/>
      </c>
      <c r="V49" s="4" t="str">
        <f>IF(OR(E49="",Results!E12=""),"",IF(E49=Results!E12,1+IF(OR($O49=4,$P49=4,$Q49=4),1,0),0))</f>
        <v/>
      </c>
      <c r="W49" s="4" t="str">
        <f>IF(OR(F49="",Results!F12=""),"",IF(F49=Results!F12,1+IF(OR($O49=5,$P49=5,$Q49=5),1,0),0))</f>
        <v/>
      </c>
      <c r="X49" s="4" t="str">
        <f>IF(OR(G49="",Results!G12=""),"",IF(G49=Results!G12,1+IF(OR($O49=6,$P49=6,$Q49=6),1,0),0))</f>
        <v/>
      </c>
      <c r="Y49" s="4" t="str">
        <f>IF(OR(H49="",Results!H12=""),"",IF(H49=Results!H12,1+IF(OR($O49=7,$P49=7,$Q49=7),1,0),0))</f>
        <v/>
      </c>
      <c r="Z49" s="4" t="str">
        <f>IF(OR(I49="",Results!I12=""),"",IF(I49=Results!I12,1+IF(OR($O49=8,$P49=8,$Q49=8),1,0),0))</f>
        <v/>
      </c>
      <c r="AA49" s="4" t="str">
        <f>IF(OR(J49="",Results!J12=""),"",IF(J49=Results!J12,1+IF(OR($O49=9,$P49=9,$Q49=9),1,0),0))</f>
        <v/>
      </c>
      <c r="AB49" s="4" t="str">
        <f>IF(OR(K49="",Results!K12=""),"",IF(K49=Results!K12,1+IF(OR($O49=10,$P49=10,$Q49=10),1,0),0))</f>
        <v/>
      </c>
      <c r="AC49" s="4" t="str">
        <f>IF(OR(L49="",Results!L12=""),"",IF(L49=Results!L12,1+IF(OR($O49=11,$P49=11,$Q49=11),1,0),0))</f>
        <v/>
      </c>
      <c r="AD49" s="4" t="str">
        <f>IF(OR(M49="",Results!M12=""),"",IF(M49=Results!M12,1+IF(OR($O49=12,$P49=12,$Q49=12),1,0),0))</f>
        <v/>
      </c>
      <c r="AE49" s="4" t="str">
        <f>IF(OR(N49="",Results!N12=""),"",IF(N49=Results!N12,1+IF(OR($O49=13,$P49=13,$Q49=13),1,0),0))</f>
        <v/>
      </c>
      <c r="AF49" s="11">
        <f t="shared" si="2"/>
        <v>0</v>
      </c>
      <c r="AG49" s="4" t="str">
        <f>IF(OR($R49="",Results!O12=""),"",ABS($R49-Results!O12))</f>
        <v/>
      </c>
      <c r="AH49" s="12">
        <v>34</v>
      </c>
      <c r="AI49" s="13" t="str">
        <f>IF(OR(B49="",Results!B12=""),"",IF(AND(B49=Results!B12,Results!B12&lt;&gt;Games!$C$96),1,0))</f>
        <v/>
      </c>
      <c r="AJ49" s="13" t="str">
        <f>IF(OR(C49="",Results!C12=""),"",IF(AND(C49=Results!C12,Results!C12&lt;&gt;Games!$C$97),1,0))</f>
        <v/>
      </c>
      <c r="AK49" s="13" t="str">
        <f>IF(OR(D49="",Results!D12=""),"",IF(AND(D49=Results!D12,Results!D12&lt;&gt;Games!$C$98),1,0))</f>
        <v/>
      </c>
      <c r="AL49" s="13" t="str">
        <f>IF(OR(E49="",Results!E12=""),"",IF(AND(E49=Results!E12,Results!E12&lt;&gt;Games!$C$99),1,0))</f>
        <v/>
      </c>
      <c r="AM49" s="13" t="str">
        <f>IF(OR(F49="",Results!F12=""),"",IF(AND(F49=Results!F12,Results!F12&lt;&gt;Games!$C$100),1,0))</f>
        <v/>
      </c>
      <c r="AN49" s="13" t="str">
        <f>IF(OR(G49="",Results!G12=""),"",IF(AND(G49=Results!G12,Results!G12&lt;&gt;Games!$C$101),1,0))</f>
        <v/>
      </c>
      <c r="AO49" s="13" t="str">
        <f>IF(OR(H49="",Results!H12=""),"",IF(AND(H49=Results!H12,Results!H12&lt;&gt;Games!$C$102),1,0))</f>
        <v/>
      </c>
      <c r="AP49" s="13" t="str">
        <f>IF(OR(I49="",Results!I12=""),"",IF(AND(I49=Results!I12,Results!I12&lt;&gt;Games!$C$103),1,0))</f>
        <v/>
      </c>
      <c r="AQ49" s="13" t="str">
        <f>IF(OR(J49="",Results!J12=""),"",IF(AND(J49=Results!J12,Results!J12&lt;&gt;Games!$C$104),1,0))</f>
        <v/>
      </c>
      <c r="AR49" s="13" t="str">
        <f>IF(OR(K49="",Results!K12=""),"",IF(AND(K49=Results!K12,Results!K12&lt;&gt;Games!$C$105),1,0))</f>
        <v/>
      </c>
      <c r="AS49" s="13" t="str">
        <f>IF(OR(L49="",Results!L12=""),"",IF(AND(L49=Results!L12,Results!L12&lt;&gt;Games!$C$106),1,0))</f>
        <v/>
      </c>
      <c r="AT49" s="13" t="str">
        <f>IF(OR(M49="",Results!M12=""),"",IF(AND(M49=Results!M12,Results!M12&lt;&gt;Games!$C$107),1,0))</f>
        <v/>
      </c>
      <c r="AU49" s="13" t="str">
        <f>IF(OR(N49="",Results!N12=""),"",IF(AND(N49=Results!N12,Results!N12&lt;&gt;Games!$C$108),1,0))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IF(OR(B50="",Results!B12=""),"",IF(B50=Results!B12,1+IF(OR($O50=1,$P50=1,$Q50=1),1,0),0))</f>
        <v/>
      </c>
      <c r="T50" s="4" t="str">
        <f>IF(OR(C50="",Results!C12=""),"",IF(C50=Results!C12,1+IF(OR($O50=2,$P50=2,$Q50=2),1,0),0))</f>
        <v/>
      </c>
      <c r="U50" s="4" t="str">
        <f>IF(OR(D50="",Results!D12=""),"",IF(D50=Results!D12,1+IF(OR($O50=3,$P50=3,$Q50=3),1,0),0))</f>
        <v/>
      </c>
      <c r="V50" s="4" t="str">
        <f>IF(OR(E50="",Results!E12=""),"",IF(E50=Results!E12,1+IF(OR($O50=4,$P50=4,$Q50=4),1,0),0))</f>
        <v/>
      </c>
      <c r="W50" s="4" t="str">
        <f>IF(OR(F50="",Results!F12=""),"",IF(F50=Results!F12,1+IF(OR($O50=5,$P50=5,$Q50=5),1,0),0))</f>
        <v/>
      </c>
      <c r="X50" s="4" t="str">
        <f>IF(OR(G50="",Results!G12=""),"",IF(G50=Results!G12,1+IF(OR($O50=6,$P50=6,$Q50=6),1,0),0))</f>
        <v/>
      </c>
      <c r="Y50" s="4" t="str">
        <f>IF(OR(H50="",Results!H12=""),"",IF(H50=Results!H12,1+IF(OR($O50=7,$P50=7,$Q50=7),1,0),0))</f>
        <v/>
      </c>
      <c r="Z50" s="4" t="str">
        <f>IF(OR(I50="",Results!I12=""),"",IF(I50=Results!I12,1+IF(OR($O50=8,$P50=8,$Q50=8),1,0),0))</f>
        <v/>
      </c>
      <c r="AA50" s="4" t="str">
        <f>IF(OR(J50="",Results!J12=""),"",IF(J50=Results!J12,1+IF(OR($O50=9,$P50=9,$Q50=9),1,0),0))</f>
        <v/>
      </c>
      <c r="AB50" s="4" t="str">
        <f>IF(OR(K50="",Results!K12=""),"",IF(K50=Results!K12,1+IF(OR($O50=10,$P50=10,$Q50=10),1,0),0))</f>
        <v/>
      </c>
      <c r="AC50" s="4" t="str">
        <f>IF(OR(L50="",Results!L12=""),"",IF(L50=Results!L12,1+IF(OR($O50=11,$P50=11,$Q50=11),1,0),0))</f>
        <v/>
      </c>
      <c r="AD50" s="4" t="str">
        <f>IF(OR(M50="",Results!M12=""),"",IF(M50=Results!M12,1+IF(OR($O50=12,$P50=12,$Q50=12),1,0),0))</f>
        <v/>
      </c>
      <c r="AE50" s="4" t="str">
        <f>IF(OR(N50="",Results!N12=""),"",IF(N50=Results!N12,1+IF(OR($O50=13,$P50=13,$Q50=13),1,0),0))</f>
        <v/>
      </c>
      <c r="AF50" s="11">
        <f t="shared" si="2"/>
        <v>0</v>
      </c>
      <c r="AG50" s="4" t="str">
        <f>IF(OR($R50="",Results!O12=""),"",ABS($R50-Results!O12))</f>
        <v/>
      </c>
      <c r="AH50" s="12">
        <v>40</v>
      </c>
      <c r="AI50" s="13" t="str">
        <f>IF(OR(B50="",Results!B12=""),"",IF(AND(B50=Results!B12,Results!B12&lt;&gt;Games!$C$96),1,0))</f>
        <v/>
      </c>
      <c r="AJ50" s="13" t="str">
        <f>IF(OR(C50="",Results!C12=""),"",IF(AND(C50=Results!C12,Results!C12&lt;&gt;Games!$C$97),1,0))</f>
        <v/>
      </c>
      <c r="AK50" s="13" t="str">
        <f>IF(OR(D50="",Results!D12=""),"",IF(AND(D50=Results!D12,Results!D12&lt;&gt;Games!$C$98),1,0))</f>
        <v/>
      </c>
      <c r="AL50" s="13" t="str">
        <f>IF(OR(E50="",Results!E12=""),"",IF(AND(E50=Results!E12,Results!E12&lt;&gt;Games!$C$99),1,0))</f>
        <v/>
      </c>
      <c r="AM50" s="13" t="str">
        <f>IF(OR(F50="",Results!F12=""),"",IF(AND(F50=Results!F12,Results!F12&lt;&gt;Games!$C$100),1,0))</f>
        <v/>
      </c>
      <c r="AN50" s="13" t="str">
        <f>IF(OR(G50="",Results!G12=""),"",IF(AND(G50=Results!G12,Results!G12&lt;&gt;Games!$C$101),1,0))</f>
        <v/>
      </c>
      <c r="AO50" s="13" t="str">
        <f>IF(OR(H50="",Results!H12=""),"",IF(AND(H50=Results!H12,Results!H12&lt;&gt;Games!$C$102),1,0))</f>
        <v/>
      </c>
      <c r="AP50" s="13" t="str">
        <f>IF(OR(I50="",Results!I12=""),"",IF(AND(I50=Results!I12,Results!I12&lt;&gt;Games!$C$103),1,0))</f>
        <v/>
      </c>
      <c r="AQ50" s="13" t="str">
        <f>IF(OR(J50="",Results!J12=""),"",IF(AND(J50=Results!J12,Results!J12&lt;&gt;Games!$C$104),1,0))</f>
        <v/>
      </c>
      <c r="AR50" s="13" t="str">
        <f>IF(OR(K50="",Results!K12=""),"",IF(AND(K50=Results!K12,Results!K12&lt;&gt;Games!$C$105),1,0))</f>
        <v/>
      </c>
      <c r="AS50" s="13" t="str">
        <f>IF(OR(L50="",Results!L12=""),"",IF(AND(L50=Results!L12,Results!L12&lt;&gt;Games!$C$106),1,0))</f>
        <v/>
      </c>
      <c r="AT50" s="13" t="str">
        <f>IF(OR(M50="",Results!M12=""),"",IF(AND(M50=Results!M12,Results!M12&lt;&gt;Games!$C$107),1,0))</f>
        <v/>
      </c>
      <c r="AU50" s="13" t="str">
        <f>IF(OR(N50="",Results!N12=""),"",IF(AND(N50=Results!N12,Results!N12&lt;&gt;Games!$C$108),1,0))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IF(OR(B51="",Results!B12=""),"",IF(B51=Results!B12,1+IF(OR($O51=1,$P51=1,$Q51=1),1,0),0))</f>
        <v/>
      </c>
      <c r="T51" s="4" t="str">
        <f>IF(OR(C51="",Results!C12=""),"",IF(C51=Results!C12,1+IF(OR($O51=2,$P51=2,$Q51=2),1,0),0))</f>
        <v/>
      </c>
      <c r="U51" s="4" t="str">
        <f>IF(OR(D51="",Results!D12=""),"",IF(D51=Results!D12,1+IF(OR($O51=3,$P51=3,$Q51=3),1,0),0))</f>
        <v/>
      </c>
      <c r="V51" s="4" t="str">
        <f>IF(OR(E51="",Results!E12=""),"",IF(E51=Results!E12,1+IF(OR($O51=4,$P51=4,$Q51=4),1,0),0))</f>
        <v/>
      </c>
      <c r="W51" s="4" t="str">
        <f>IF(OR(F51="",Results!F12=""),"",IF(F51=Results!F12,1+IF(OR($O51=5,$P51=5,$Q51=5),1,0),0))</f>
        <v/>
      </c>
      <c r="X51" s="4" t="str">
        <f>IF(OR(G51="",Results!G12=""),"",IF(G51=Results!G12,1+IF(OR($O51=6,$P51=6,$Q51=6),1,0),0))</f>
        <v/>
      </c>
      <c r="Y51" s="4" t="str">
        <f>IF(OR(H51="",Results!H12=""),"",IF(H51=Results!H12,1+IF(OR($O51=7,$P51=7,$Q51=7),1,0),0))</f>
        <v/>
      </c>
      <c r="Z51" s="4" t="str">
        <f>IF(OR(I51="",Results!I12=""),"",IF(I51=Results!I12,1+IF(OR($O51=8,$P51=8,$Q51=8),1,0),0))</f>
        <v/>
      </c>
      <c r="AA51" s="4" t="str">
        <f>IF(OR(J51="",Results!J12=""),"",IF(J51=Results!J12,1+IF(OR($O51=9,$P51=9,$Q51=9),1,0),0))</f>
        <v/>
      </c>
      <c r="AB51" s="4" t="str">
        <f>IF(OR(K51="",Results!K12=""),"",IF(K51=Results!K12,1+IF(OR($O51=10,$P51=10,$Q51=10),1,0),0))</f>
        <v/>
      </c>
      <c r="AC51" s="4" t="str">
        <f>IF(OR(L51="",Results!L12=""),"",IF(L51=Results!L12,1+IF(OR($O51=11,$P51=11,$Q51=11),1,0),0))</f>
        <v/>
      </c>
      <c r="AD51" s="4" t="str">
        <f>IF(OR(M51="",Results!M12=""),"",IF(M51=Results!M12,1+IF(OR($O51=12,$P51=12,$Q51=12),1,0),0))</f>
        <v/>
      </c>
      <c r="AE51" s="4" t="str">
        <f>IF(OR(N51="",Results!N12=""),"",IF(N51=Results!N12,1+IF(OR($O51=13,$P51=13,$Q51=13),1,0),0))</f>
        <v/>
      </c>
      <c r="AF51" s="11">
        <f t="shared" si="2"/>
        <v>0</v>
      </c>
      <c r="AG51" s="4" t="str">
        <f>IF(OR($R51="",Results!O12=""),"",ABS($R51-Results!O12))</f>
        <v/>
      </c>
      <c r="AH51" s="12">
        <v>42</v>
      </c>
      <c r="AI51" s="13" t="str">
        <f>IF(OR(B51="",Results!B12=""),"",IF(AND(B51=Results!B12,Results!B12&lt;&gt;Games!$C$96),1,0))</f>
        <v/>
      </c>
      <c r="AJ51" s="13" t="str">
        <f>IF(OR(C51="",Results!C12=""),"",IF(AND(C51=Results!C12,Results!C12&lt;&gt;Games!$C$97),1,0))</f>
        <v/>
      </c>
      <c r="AK51" s="13" t="str">
        <f>IF(OR(D51="",Results!D12=""),"",IF(AND(D51=Results!D12,Results!D12&lt;&gt;Games!$C$98),1,0))</f>
        <v/>
      </c>
      <c r="AL51" s="13" t="str">
        <f>IF(OR(E51="",Results!E12=""),"",IF(AND(E51=Results!E12,Results!E12&lt;&gt;Games!$C$99),1,0))</f>
        <v/>
      </c>
      <c r="AM51" s="13" t="str">
        <f>IF(OR(F51="",Results!F12=""),"",IF(AND(F51=Results!F12,Results!F12&lt;&gt;Games!$C$100),1,0))</f>
        <v/>
      </c>
      <c r="AN51" s="13" t="str">
        <f>IF(OR(G51="",Results!G12=""),"",IF(AND(G51=Results!G12,Results!G12&lt;&gt;Games!$C$101),1,0))</f>
        <v/>
      </c>
      <c r="AO51" s="13" t="str">
        <f>IF(OR(H51="",Results!H12=""),"",IF(AND(H51=Results!H12,Results!H12&lt;&gt;Games!$C$102),1,0))</f>
        <v/>
      </c>
      <c r="AP51" s="13" t="str">
        <f>IF(OR(I51="",Results!I12=""),"",IF(AND(I51=Results!I12,Results!I12&lt;&gt;Games!$C$103),1,0))</f>
        <v/>
      </c>
      <c r="AQ51" s="13" t="str">
        <f>IF(OR(J51="",Results!J12=""),"",IF(AND(J51=Results!J12,Results!J12&lt;&gt;Games!$C$104),1,0))</f>
        <v/>
      </c>
      <c r="AR51" s="13" t="str">
        <f>IF(OR(K51="",Results!K12=""),"",IF(AND(K51=Results!K12,Results!K12&lt;&gt;Games!$C$105),1,0))</f>
        <v/>
      </c>
      <c r="AS51" s="13" t="str">
        <f>IF(OR(L51="",Results!L12=""),"",IF(AND(L51=Results!L12,Results!L12&lt;&gt;Games!$C$106),1,0))</f>
        <v/>
      </c>
      <c r="AT51" s="13" t="str">
        <f>IF(OR(M51="",Results!M12=""),"",IF(AND(M51=Results!M12,Results!M12&lt;&gt;Games!$C$107),1,0))</f>
        <v/>
      </c>
      <c r="AU51" s="13" t="str">
        <f>IF(OR(N51="",Results!N12=""),"",IF(AND(N51=Results!N12,Results!N12&lt;&gt;Games!$C$108),1,0))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 t="str">
        <f>IF(OR(B52="",Results!B12=""),"",IF(B52=Results!B12,1+IF(OR($O52=1,$P52=1,$Q52=1),1,0),0))</f>
        <v/>
      </c>
      <c r="T52" s="4" t="str">
        <f>IF(OR(C52="",Results!C12=""),"",IF(C52=Results!C12,1+IF(OR($O52=2,$P52=2,$Q52=2),1,0),0))</f>
        <v/>
      </c>
      <c r="U52" s="4" t="str">
        <f>IF(OR(D52="",Results!D12=""),"",IF(D52=Results!D12,1+IF(OR($O52=3,$P52=3,$Q52=3),1,0),0))</f>
        <v/>
      </c>
      <c r="V52" s="4" t="str">
        <f>IF(OR(E52="",Results!E12=""),"",IF(E52=Results!E12,1+IF(OR($O52=4,$P52=4,$Q52=4),1,0),0))</f>
        <v/>
      </c>
      <c r="W52" s="4" t="str">
        <f>IF(OR(F52="",Results!F12=""),"",IF(F52=Results!F12,1+IF(OR($O52=5,$P52=5,$Q52=5),1,0),0))</f>
        <v/>
      </c>
      <c r="X52" s="4" t="str">
        <f>IF(OR(G52="",Results!G12=""),"",IF(G52=Results!G12,1+IF(OR($O52=6,$P52=6,$Q52=6),1,0),0))</f>
        <v/>
      </c>
      <c r="Y52" s="4" t="str">
        <f>IF(OR(H52="",Results!H12=""),"",IF(H52=Results!H12,1+IF(OR($O52=7,$P52=7,$Q52=7),1,0),0))</f>
        <v/>
      </c>
      <c r="Z52" s="4" t="str">
        <f>IF(OR(I52="",Results!I12=""),"",IF(I52=Results!I12,1+IF(OR($O52=8,$P52=8,$Q52=8),1,0),0))</f>
        <v/>
      </c>
      <c r="AA52" s="4" t="str">
        <f>IF(OR(J52="",Results!J12=""),"",IF(J52=Results!J12,1+IF(OR($O52=9,$P52=9,$Q52=9),1,0),0))</f>
        <v/>
      </c>
      <c r="AB52" s="4" t="str">
        <f>IF(OR(K52="",Results!K12=""),"",IF(K52=Results!K12,1+IF(OR($O52=10,$P52=10,$Q52=10),1,0),0))</f>
        <v/>
      </c>
      <c r="AC52" s="4" t="str">
        <f>IF(OR(L52="",Results!L12=""),"",IF(L52=Results!L12,1+IF(OR($O52=11,$P52=11,$Q52=11),1,0),0))</f>
        <v/>
      </c>
      <c r="AD52" s="4" t="str">
        <f>IF(OR(M52="",Results!M12=""),"",IF(M52=Results!M12,1+IF(OR($O52=12,$P52=12,$Q52=12),1,0),0))</f>
        <v/>
      </c>
      <c r="AE52" s="4" t="str">
        <f>IF(OR(N52="",Results!N12=""),"",IF(N52=Results!N12,1+IF(OR($O52=13,$P52=13,$Q52=13),1,0),0))</f>
        <v/>
      </c>
      <c r="AF52" s="11">
        <f t="shared" si="2"/>
        <v>0</v>
      </c>
      <c r="AG52" s="4" t="str">
        <f>IF(OR($R52="",Results!O12=""),"",ABS($R52-Results!O12))</f>
        <v/>
      </c>
      <c r="AH52" s="12">
        <v>27</v>
      </c>
      <c r="AI52" s="13" t="str">
        <f>IF(OR(B52="",Results!B12=""),"",IF(AND(B52=Results!B12,Results!B12&lt;&gt;Games!$C$96),1,0))</f>
        <v/>
      </c>
      <c r="AJ52" s="13" t="str">
        <f>IF(OR(C52="",Results!C12=""),"",IF(AND(C52=Results!C12,Results!C12&lt;&gt;Games!$C$97),1,0))</f>
        <v/>
      </c>
      <c r="AK52" s="13" t="str">
        <f>IF(OR(D52="",Results!D12=""),"",IF(AND(D52=Results!D12,Results!D12&lt;&gt;Games!$C$98),1,0))</f>
        <v/>
      </c>
      <c r="AL52" s="13" t="str">
        <f>IF(OR(E52="",Results!E12=""),"",IF(AND(E52=Results!E12,Results!E12&lt;&gt;Games!$C$99),1,0))</f>
        <v/>
      </c>
      <c r="AM52" s="13" t="str">
        <f>IF(OR(F52="",Results!F12=""),"",IF(AND(F52=Results!F12,Results!F12&lt;&gt;Games!$C$100),1,0))</f>
        <v/>
      </c>
      <c r="AN52" s="13" t="str">
        <f>IF(OR(G52="",Results!G12=""),"",IF(AND(G52=Results!G12,Results!G12&lt;&gt;Games!$C$101),1,0))</f>
        <v/>
      </c>
      <c r="AO52" s="13" t="str">
        <f>IF(OR(H52="",Results!H12=""),"",IF(AND(H52=Results!H12,Results!H12&lt;&gt;Games!$C$102),1,0))</f>
        <v/>
      </c>
      <c r="AP52" s="13" t="str">
        <f>IF(OR(I52="",Results!I12=""),"",IF(AND(I52=Results!I12,Results!I12&lt;&gt;Games!$C$103),1,0))</f>
        <v/>
      </c>
      <c r="AQ52" s="13" t="str">
        <f>IF(OR(J52="",Results!J12=""),"",IF(AND(J52=Results!J12,Results!J12&lt;&gt;Games!$C$104),1,0))</f>
        <v/>
      </c>
      <c r="AR52" s="13" t="str">
        <f>IF(OR(K52="",Results!K12=""),"",IF(AND(K52=Results!K12,Results!K12&lt;&gt;Games!$C$105),1,0))</f>
        <v/>
      </c>
      <c r="AS52" s="13" t="str">
        <f>IF(OR(L52="",Results!L12=""),"",IF(AND(L52=Results!L12,Results!L12&lt;&gt;Games!$C$106),1,0))</f>
        <v/>
      </c>
      <c r="AT52" s="13" t="str">
        <f>IF(OR(M52="",Results!M12=""),"",IF(AND(M52=Results!M12,Results!M12&lt;&gt;Games!$C$107),1,0))</f>
        <v/>
      </c>
      <c r="AU52" s="13" t="str">
        <f>IF(OR(N52="",Results!N12=""),"",IF(AND(N52=Results!N12,Results!N12&lt;&gt;Games!$C$108),1,0))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IF(OR(B53="",Results!B12=""),"",IF(B53=Results!B12,1+IF(OR($O53=1,$P53=1,$Q53=1),1,0),0))</f>
        <v/>
      </c>
      <c r="T53" s="4" t="str">
        <f>IF(OR(C53="",Results!C12=""),"",IF(C53=Results!C12,1+IF(OR($O53=2,$P53=2,$Q53=2),1,0),0))</f>
        <v/>
      </c>
      <c r="U53" s="4" t="str">
        <f>IF(OR(D53="",Results!D12=""),"",IF(D53=Results!D12,1+IF(OR($O53=3,$P53=3,$Q53=3),1,0),0))</f>
        <v/>
      </c>
      <c r="V53" s="4" t="str">
        <f>IF(OR(E53="",Results!E12=""),"",IF(E53=Results!E12,1+IF(OR($O53=4,$P53=4,$Q53=4),1,0),0))</f>
        <v/>
      </c>
      <c r="W53" s="4" t="str">
        <f>IF(OR(F53="",Results!F12=""),"",IF(F53=Results!F12,1+IF(OR($O53=5,$P53=5,$Q53=5),1,0),0))</f>
        <v/>
      </c>
      <c r="X53" s="4" t="str">
        <f>IF(OR(G53="",Results!G12=""),"",IF(G53=Results!G12,1+IF(OR($O53=6,$P53=6,$Q53=6),1,0),0))</f>
        <v/>
      </c>
      <c r="Y53" s="4" t="str">
        <f>IF(OR(H53="",Results!H12=""),"",IF(H53=Results!H12,1+IF(OR($O53=7,$P53=7,$Q53=7),1,0),0))</f>
        <v/>
      </c>
      <c r="Z53" s="4" t="str">
        <f>IF(OR(I53="",Results!I12=""),"",IF(I53=Results!I12,1+IF(OR($O53=8,$P53=8,$Q53=8),1,0),0))</f>
        <v/>
      </c>
      <c r="AA53" s="4" t="str">
        <f>IF(OR(J53="",Results!J12=""),"",IF(J53=Results!J12,1+IF(OR($O53=9,$P53=9,$Q53=9),1,0),0))</f>
        <v/>
      </c>
      <c r="AB53" s="4" t="str">
        <f>IF(OR(K53="",Results!K12=""),"",IF(K53=Results!K12,1+IF(OR($O53=10,$P53=10,$Q53=10),1,0),0))</f>
        <v/>
      </c>
      <c r="AC53" s="4" t="str">
        <f>IF(OR(L53="",Results!L12=""),"",IF(L53=Results!L12,1+IF(OR($O53=11,$P53=11,$Q53=11),1,0),0))</f>
        <v/>
      </c>
      <c r="AD53" s="4" t="str">
        <f>IF(OR(M53="",Results!M12=""),"",IF(M53=Results!M12,1+IF(OR($O53=12,$P53=12,$Q53=12),1,0),0))</f>
        <v/>
      </c>
      <c r="AE53" s="4" t="str">
        <f>IF(OR(N53="",Results!N12=""),"",IF(N53=Results!N12,1+IF(OR($O53=13,$P53=13,$Q53=13),1,0),0))</f>
        <v/>
      </c>
      <c r="AF53" s="11">
        <f t="shared" si="2"/>
        <v>0</v>
      </c>
      <c r="AG53" s="4" t="str">
        <f>IF(OR($R53="",Results!O12=""),"",ABS($R53-Results!O12))</f>
        <v/>
      </c>
      <c r="AH53" s="12">
        <v>35</v>
      </c>
      <c r="AI53" s="13" t="str">
        <f>IF(OR(B53="",Results!B12=""),"",IF(AND(B53=Results!B12,Results!B12&lt;&gt;Games!$C$96),1,0))</f>
        <v/>
      </c>
      <c r="AJ53" s="13" t="str">
        <f>IF(OR(C53="",Results!C12=""),"",IF(AND(C53=Results!C12,Results!C12&lt;&gt;Games!$C$97),1,0))</f>
        <v/>
      </c>
      <c r="AK53" s="13" t="str">
        <f>IF(OR(D53="",Results!D12=""),"",IF(AND(D53=Results!D12,Results!D12&lt;&gt;Games!$C$98),1,0))</f>
        <v/>
      </c>
      <c r="AL53" s="13" t="str">
        <f>IF(OR(E53="",Results!E12=""),"",IF(AND(E53=Results!E12,Results!E12&lt;&gt;Games!$C$99),1,0))</f>
        <v/>
      </c>
      <c r="AM53" s="13" t="str">
        <f>IF(OR(F53="",Results!F12=""),"",IF(AND(F53=Results!F12,Results!F12&lt;&gt;Games!$C$100),1,0))</f>
        <v/>
      </c>
      <c r="AN53" s="13" t="str">
        <f>IF(OR(G53="",Results!G12=""),"",IF(AND(G53=Results!G12,Results!G12&lt;&gt;Games!$C$101),1,0))</f>
        <v/>
      </c>
      <c r="AO53" s="13" t="str">
        <f>IF(OR(H53="",Results!H12=""),"",IF(AND(H53=Results!H12,Results!H12&lt;&gt;Games!$C$102),1,0))</f>
        <v/>
      </c>
      <c r="AP53" s="13" t="str">
        <f>IF(OR(I53="",Results!I12=""),"",IF(AND(I53=Results!I12,Results!I12&lt;&gt;Games!$C$103),1,0))</f>
        <v/>
      </c>
      <c r="AQ53" s="13" t="str">
        <f>IF(OR(J53="",Results!J12=""),"",IF(AND(J53=Results!J12,Results!J12&lt;&gt;Games!$C$104),1,0))</f>
        <v/>
      </c>
      <c r="AR53" s="13" t="str">
        <f>IF(OR(K53="",Results!K12=""),"",IF(AND(K53=Results!K12,Results!K12&lt;&gt;Games!$C$105),1,0))</f>
        <v/>
      </c>
      <c r="AS53" s="13" t="str">
        <f>IF(OR(L53="",Results!L12=""),"",IF(AND(L53=Results!L12,Results!L12&lt;&gt;Games!$C$106),1,0))</f>
        <v/>
      </c>
      <c r="AT53" s="13" t="str">
        <f>IF(OR(M53="",Results!M12=""),"",IF(AND(M53=Results!M12,Results!M12&lt;&gt;Games!$C$107),1,0))</f>
        <v/>
      </c>
      <c r="AU53" s="13" t="str">
        <f>IF(OR(N53="",Results!N12=""),"",IF(AND(N53=Results!N12,Results!N12&lt;&gt;Games!$C$108),1,0))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 t="str">
        <f>IF(OR(B54="",Results!B12=""),"",IF(B54=Results!B12,1+IF(OR($O54=1,$P54=1,$Q54=1),1,0),0))</f>
        <v/>
      </c>
      <c r="T54" s="4" t="str">
        <f>IF(OR(C54="",Results!C12=""),"",IF(C54=Results!C12,1+IF(OR($O54=2,$P54=2,$Q54=2),1,0),0))</f>
        <v/>
      </c>
      <c r="U54" s="4" t="str">
        <f>IF(OR(D54="",Results!D12=""),"",IF(D54=Results!D12,1+IF(OR($O54=3,$P54=3,$Q54=3),1,0),0))</f>
        <v/>
      </c>
      <c r="V54" s="4" t="str">
        <f>IF(OR(E54="",Results!E12=""),"",IF(E54=Results!E12,1+IF(OR($O54=4,$P54=4,$Q54=4),1,0),0))</f>
        <v/>
      </c>
      <c r="W54" s="4" t="str">
        <f>IF(OR(F54="",Results!F12=""),"",IF(F54=Results!F12,1+IF(OR($O54=5,$P54=5,$Q54=5),1,0),0))</f>
        <v/>
      </c>
      <c r="X54" s="4" t="str">
        <f>IF(OR(G54="",Results!G12=""),"",IF(G54=Results!G12,1+IF(OR($O54=6,$P54=6,$Q54=6),1,0),0))</f>
        <v/>
      </c>
      <c r="Y54" s="4" t="str">
        <f>IF(OR(H54="",Results!H12=""),"",IF(H54=Results!H12,1+IF(OR($O54=7,$P54=7,$Q54=7),1,0),0))</f>
        <v/>
      </c>
      <c r="Z54" s="4" t="str">
        <f>IF(OR(I54="",Results!I12=""),"",IF(I54=Results!I12,1+IF(OR($O54=8,$P54=8,$Q54=8),1,0),0))</f>
        <v/>
      </c>
      <c r="AA54" s="4" t="str">
        <f>IF(OR(J54="",Results!J12=""),"",IF(J54=Results!J12,1+IF(OR($O54=9,$P54=9,$Q54=9),1,0),0))</f>
        <v/>
      </c>
      <c r="AB54" s="4" t="str">
        <f>IF(OR(K54="",Results!K12=""),"",IF(K54=Results!K12,1+IF(OR($O54=10,$P54=10,$Q54=10),1,0),0))</f>
        <v/>
      </c>
      <c r="AC54" s="4" t="str">
        <f>IF(OR(L54="",Results!L12=""),"",IF(L54=Results!L12,1+IF(OR($O54=11,$P54=11,$Q54=11),1,0),0))</f>
        <v/>
      </c>
      <c r="AD54" s="4" t="str">
        <f>IF(OR(M54="",Results!M12=""),"",IF(M54=Results!M12,1+IF(OR($O54=12,$P54=12,$Q54=12),1,0),0))</f>
        <v/>
      </c>
      <c r="AE54" s="4" t="str">
        <f>IF(OR(N54="",Results!N12=""),"",IF(N54=Results!N12,1+IF(OR($O54=13,$P54=13,$Q54=13),1,0),0))</f>
        <v/>
      </c>
      <c r="AF54" s="11">
        <f t="shared" si="2"/>
        <v>0</v>
      </c>
      <c r="AG54" s="4" t="str">
        <f>IF(OR($R54="",Results!O12=""),"",ABS($R54-Results!O12))</f>
        <v/>
      </c>
      <c r="AH54" s="12">
        <v>43</v>
      </c>
      <c r="AI54" s="13" t="str">
        <f>IF(OR(B54="",Results!B12=""),"",IF(AND(B54=Results!B12,Results!B12&lt;&gt;Games!$C$96),1,0))</f>
        <v/>
      </c>
      <c r="AJ54" s="13" t="str">
        <f>IF(OR(C54="",Results!C12=""),"",IF(AND(C54=Results!C12,Results!C12&lt;&gt;Games!$C$97),1,0))</f>
        <v/>
      </c>
      <c r="AK54" s="13" t="str">
        <f>IF(OR(D54="",Results!D12=""),"",IF(AND(D54=Results!D12,Results!D12&lt;&gt;Games!$C$98),1,0))</f>
        <v/>
      </c>
      <c r="AL54" s="13" t="str">
        <f>IF(OR(E54="",Results!E12=""),"",IF(AND(E54=Results!E12,Results!E12&lt;&gt;Games!$C$99),1,0))</f>
        <v/>
      </c>
      <c r="AM54" s="13" t="str">
        <f>IF(OR(F54="",Results!F12=""),"",IF(AND(F54=Results!F12,Results!F12&lt;&gt;Games!$C$100),1,0))</f>
        <v/>
      </c>
      <c r="AN54" s="13" t="str">
        <f>IF(OR(G54="",Results!G12=""),"",IF(AND(G54=Results!G12,Results!G12&lt;&gt;Games!$C$101),1,0))</f>
        <v/>
      </c>
      <c r="AO54" s="13" t="str">
        <f>IF(OR(H54="",Results!H12=""),"",IF(AND(H54=Results!H12,Results!H12&lt;&gt;Games!$C$102),1,0))</f>
        <v/>
      </c>
      <c r="AP54" s="13" t="str">
        <f>IF(OR(I54="",Results!I12=""),"",IF(AND(I54=Results!I12,Results!I12&lt;&gt;Games!$C$103),1,0))</f>
        <v/>
      </c>
      <c r="AQ54" s="13" t="str">
        <f>IF(OR(J54="",Results!J12=""),"",IF(AND(J54=Results!J12,Results!J12&lt;&gt;Games!$C$104),1,0))</f>
        <v/>
      </c>
      <c r="AR54" s="13" t="str">
        <f>IF(OR(K54="",Results!K12=""),"",IF(AND(K54=Results!K12,Results!K12&lt;&gt;Games!$C$105),1,0))</f>
        <v/>
      </c>
      <c r="AS54" s="13" t="str">
        <f>IF(OR(L54="",Results!L12=""),"",IF(AND(L54=Results!L12,Results!L12&lt;&gt;Games!$C$106),1,0))</f>
        <v/>
      </c>
      <c r="AT54" s="13" t="str">
        <f>IF(OR(M54="",Results!M12=""),"",IF(AND(M54=Results!M12,Results!M12&lt;&gt;Games!$C$107),1,0))</f>
        <v/>
      </c>
      <c r="AU54" s="13" t="str">
        <f>IF(OR(N54="",Results!N12=""),"",IF(AND(N54=Results!N12,Results!N12&lt;&gt;Games!$C$108),1,0))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IF(OR(B55="",Results!B12=""),"",IF(B55=Results!B12,1+IF(OR($O55=1,$P55=1,$Q55=1),1,0),0))</f>
        <v/>
      </c>
      <c r="T55" s="4" t="str">
        <f>IF(OR(C55="",Results!C12=""),"",IF(C55=Results!C12,1+IF(OR($O55=2,$P55=2,$Q55=2),1,0),0))</f>
        <v/>
      </c>
      <c r="U55" s="4" t="str">
        <f>IF(OR(D55="",Results!D12=""),"",IF(D55=Results!D12,1+IF(OR($O55=3,$P55=3,$Q55=3),1,0),0))</f>
        <v/>
      </c>
      <c r="V55" s="4" t="str">
        <f>IF(OR(E55="",Results!E12=""),"",IF(E55=Results!E12,1+IF(OR($O55=4,$P55=4,$Q55=4),1,0),0))</f>
        <v/>
      </c>
      <c r="W55" s="4" t="str">
        <f>IF(OR(F55="",Results!F12=""),"",IF(F55=Results!F12,1+IF(OR($O55=5,$P55=5,$Q55=5),1,0),0))</f>
        <v/>
      </c>
      <c r="X55" s="4" t="str">
        <f>IF(OR(G55="",Results!G12=""),"",IF(G55=Results!G12,1+IF(OR($O55=6,$P55=6,$Q55=6),1,0),0))</f>
        <v/>
      </c>
      <c r="Y55" s="4" t="str">
        <f>IF(OR(H55="",Results!H12=""),"",IF(H55=Results!H12,1+IF(OR($O55=7,$P55=7,$Q55=7),1,0),0))</f>
        <v/>
      </c>
      <c r="Z55" s="4" t="str">
        <f>IF(OR(I55="",Results!I12=""),"",IF(I55=Results!I12,1+IF(OR($O55=8,$P55=8,$Q55=8),1,0),0))</f>
        <v/>
      </c>
      <c r="AA55" s="4" t="str">
        <f>IF(OR(J55="",Results!J12=""),"",IF(J55=Results!J12,1+IF(OR($O55=9,$P55=9,$Q55=9),1,0),0))</f>
        <v/>
      </c>
      <c r="AB55" s="4" t="str">
        <f>IF(OR(K55="",Results!K12=""),"",IF(K55=Results!K12,1+IF(OR($O55=10,$P55=10,$Q55=10),1,0),0))</f>
        <v/>
      </c>
      <c r="AC55" s="4" t="str">
        <f>IF(OR(L55="",Results!L12=""),"",IF(L55=Results!L12,1+IF(OR($O55=11,$P55=11,$Q55=11),1,0),0))</f>
        <v/>
      </c>
      <c r="AD55" s="4" t="str">
        <f>IF(OR(M55="",Results!M12=""),"",IF(M55=Results!M12,1+IF(OR($O55=12,$P55=12,$Q55=12),1,0),0))</f>
        <v/>
      </c>
      <c r="AE55" s="4" t="str">
        <f>IF(OR(N55="",Results!N12=""),"",IF(N55=Results!N12,1+IF(OR($O55=13,$P55=13,$Q55=13),1,0),0))</f>
        <v/>
      </c>
      <c r="AF55" s="11">
        <f t="shared" si="2"/>
        <v>0</v>
      </c>
      <c r="AG55" s="4" t="str">
        <f>IF(OR($R55="",Results!O12=""),"",ABS($R55-Results!O12))</f>
        <v/>
      </c>
      <c r="AH55" s="12">
        <v>44</v>
      </c>
      <c r="AI55" s="13" t="str">
        <f>IF(OR(B55="",Results!B12=""),"",IF(AND(B55=Results!B12,Results!B12&lt;&gt;Games!$C$96),1,0))</f>
        <v/>
      </c>
      <c r="AJ55" s="13" t="str">
        <f>IF(OR(C55="",Results!C12=""),"",IF(AND(C55=Results!C12,Results!C12&lt;&gt;Games!$C$97),1,0))</f>
        <v/>
      </c>
      <c r="AK55" s="13" t="str">
        <f>IF(OR(D55="",Results!D12=""),"",IF(AND(D55=Results!D12,Results!D12&lt;&gt;Games!$C$98),1,0))</f>
        <v/>
      </c>
      <c r="AL55" s="13" t="str">
        <f>IF(OR(E55="",Results!E12=""),"",IF(AND(E55=Results!E12,Results!E12&lt;&gt;Games!$C$99),1,0))</f>
        <v/>
      </c>
      <c r="AM55" s="13" t="str">
        <f>IF(OR(F55="",Results!F12=""),"",IF(AND(F55=Results!F12,Results!F12&lt;&gt;Games!$C$100),1,0))</f>
        <v/>
      </c>
      <c r="AN55" s="13" t="str">
        <f>IF(OR(G55="",Results!G12=""),"",IF(AND(G55=Results!G12,Results!G12&lt;&gt;Games!$C$101),1,0))</f>
        <v/>
      </c>
      <c r="AO55" s="13" t="str">
        <f>IF(OR(H55="",Results!H12=""),"",IF(AND(H55=Results!H12,Results!H12&lt;&gt;Games!$C$102),1,0))</f>
        <v/>
      </c>
      <c r="AP55" s="13" t="str">
        <f>IF(OR(I55="",Results!I12=""),"",IF(AND(I55=Results!I12,Results!I12&lt;&gt;Games!$C$103),1,0))</f>
        <v/>
      </c>
      <c r="AQ55" s="13" t="str">
        <f>IF(OR(J55="",Results!J12=""),"",IF(AND(J55=Results!J12,Results!J12&lt;&gt;Games!$C$104),1,0))</f>
        <v/>
      </c>
      <c r="AR55" s="13" t="str">
        <f>IF(OR(K55="",Results!K12=""),"",IF(AND(K55=Results!K12,Results!K12&lt;&gt;Games!$C$105),1,0))</f>
        <v/>
      </c>
      <c r="AS55" s="13" t="str">
        <f>IF(OR(L55="",Results!L12=""),"",IF(AND(L55=Results!L12,Results!L12&lt;&gt;Games!$C$106),1,0))</f>
        <v/>
      </c>
      <c r="AT55" s="13" t="str">
        <f>IF(OR(M55="",Results!M12=""),"",IF(AND(M55=Results!M12,Results!M12&lt;&gt;Games!$C$107),1,0))</f>
        <v/>
      </c>
      <c r="AU55" s="13" t="str">
        <f>IF(OR(N55="",Results!N12=""),"",IF(AND(N55=Results!N12,Results!N12&lt;&gt;Games!$C$108),1,0))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IF(OR(B56="",Results!B12=""),"",IF(B56=Results!B12,1+IF(OR($O56=1,$P56=1,$Q56=1),1,0),0))</f>
        <v/>
      </c>
      <c r="T56" s="4" t="str">
        <f>IF(OR(C56="",Results!C12=""),"",IF(C56=Results!C12,1+IF(OR($O56=2,$P56=2,$Q56=2),1,0),0))</f>
        <v/>
      </c>
      <c r="U56" s="4" t="str">
        <f>IF(OR(D56="",Results!D12=""),"",IF(D56=Results!D12,1+IF(OR($O56=3,$P56=3,$Q56=3),1,0),0))</f>
        <v/>
      </c>
      <c r="V56" s="4" t="str">
        <f>IF(OR(E56="",Results!E12=""),"",IF(E56=Results!E12,1+IF(OR($O56=4,$P56=4,$Q56=4),1,0),0))</f>
        <v/>
      </c>
      <c r="W56" s="4" t="str">
        <f>IF(OR(F56="",Results!F12=""),"",IF(F56=Results!F12,1+IF(OR($O56=5,$P56=5,$Q56=5),1,0),0))</f>
        <v/>
      </c>
      <c r="X56" s="4" t="str">
        <f>IF(OR(G56="",Results!G12=""),"",IF(G56=Results!G12,1+IF(OR($O56=6,$P56=6,$Q56=6),1,0),0))</f>
        <v/>
      </c>
      <c r="Y56" s="4" t="str">
        <f>IF(OR(H56="",Results!H12=""),"",IF(H56=Results!H12,1+IF(OR($O56=7,$P56=7,$Q56=7),1,0),0))</f>
        <v/>
      </c>
      <c r="Z56" s="4" t="str">
        <f>IF(OR(I56="",Results!I12=""),"",IF(I56=Results!I12,1+IF(OR($O56=8,$P56=8,$Q56=8),1,0),0))</f>
        <v/>
      </c>
      <c r="AA56" s="4" t="str">
        <f>IF(OR(J56="",Results!J12=""),"",IF(J56=Results!J12,1+IF(OR($O56=9,$P56=9,$Q56=9),1,0),0))</f>
        <v/>
      </c>
      <c r="AB56" s="4" t="str">
        <f>IF(OR(K56="",Results!K12=""),"",IF(K56=Results!K12,1+IF(OR($O56=10,$P56=10,$Q56=10),1,0),0))</f>
        <v/>
      </c>
      <c r="AC56" s="4" t="str">
        <f>IF(OR(L56="",Results!L12=""),"",IF(L56=Results!L12,1+IF(OR($O56=11,$P56=11,$Q56=11),1,0),0))</f>
        <v/>
      </c>
      <c r="AD56" s="4" t="str">
        <f>IF(OR(M56="",Results!M12=""),"",IF(M56=Results!M12,1+IF(OR($O56=12,$P56=12,$Q56=12),1,0),0))</f>
        <v/>
      </c>
      <c r="AE56" s="4" t="str">
        <f>IF(OR(N56="",Results!N12=""),"",IF(N56=Results!N12,1+IF(OR($O56=13,$P56=13,$Q56=13),1,0),0))</f>
        <v/>
      </c>
      <c r="AF56" s="11">
        <f t="shared" si="2"/>
        <v>0</v>
      </c>
      <c r="AG56" s="4" t="str">
        <f>IF(OR($R56="",Results!O12=""),"",ABS($R56-Results!O12))</f>
        <v/>
      </c>
      <c r="AH56" s="12">
        <v>59</v>
      </c>
      <c r="AI56" s="13" t="str">
        <f>IF(OR(B56="",Results!B12=""),"",IF(AND(B56=Results!B12,Results!B12&lt;&gt;Games!$C$96),1,0))</f>
        <v/>
      </c>
      <c r="AJ56" s="13" t="str">
        <f>IF(OR(C56="",Results!C12=""),"",IF(AND(C56=Results!C12,Results!C12&lt;&gt;Games!$C$97),1,0))</f>
        <v/>
      </c>
      <c r="AK56" s="13" t="str">
        <f>IF(OR(D56="",Results!D12=""),"",IF(AND(D56=Results!D12,Results!D12&lt;&gt;Games!$C$98),1,0))</f>
        <v/>
      </c>
      <c r="AL56" s="13" t="str">
        <f>IF(OR(E56="",Results!E12=""),"",IF(AND(E56=Results!E12,Results!E12&lt;&gt;Games!$C$99),1,0))</f>
        <v/>
      </c>
      <c r="AM56" s="13" t="str">
        <f>IF(OR(F56="",Results!F12=""),"",IF(AND(F56=Results!F12,Results!F12&lt;&gt;Games!$C$100),1,0))</f>
        <v/>
      </c>
      <c r="AN56" s="13" t="str">
        <f>IF(OR(G56="",Results!G12=""),"",IF(AND(G56=Results!G12,Results!G12&lt;&gt;Games!$C$101),1,0))</f>
        <v/>
      </c>
      <c r="AO56" s="13" t="str">
        <f>IF(OR(H56="",Results!H12=""),"",IF(AND(H56=Results!H12,Results!H12&lt;&gt;Games!$C$102),1,0))</f>
        <v/>
      </c>
      <c r="AP56" s="13" t="str">
        <f>IF(OR(I56="",Results!I12=""),"",IF(AND(I56=Results!I12,Results!I12&lt;&gt;Games!$C$103),1,0))</f>
        <v/>
      </c>
      <c r="AQ56" s="13" t="str">
        <f>IF(OR(J56="",Results!J12=""),"",IF(AND(J56=Results!J12,Results!J12&lt;&gt;Games!$C$104),1,0))</f>
        <v/>
      </c>
      <c r="AR56" s="13" t="str">
        <f>IF(OR(K56="",Results!K12=""),"",IF(AND(K56=Results!K12,Results!K12&lt;&gt;Games!$C$105),1,0))</f>
        <v/>
      </c>
      <c r="AS56" s="13" t="str">
        <f>IF(OR(L56="",Results!L12=""),"",IF(AND(L56=Results!L12,Results!L12&lt;&gt;Games!$C$106),1,0))</f>
        <v/>
      </c>
      <c r="AT56" s="13" t="str">
        <f>IF(OR(M56="",Results!M12=""),"",IF(AND(M56=Results!M12,Results!M12&lt;&gt;Games!$C$107),1,0))</f>
        <v/>
      </c>
      <c r="AU56" s="13" t="str">
        <f>IF(OR(N56="",Results!N12=""),"",IF(AND(N56=Results!N12,Results!N12&lt;&gt;Games!$C$108),1,0))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tr">
        <f>IF(OR(B57="",Results!B12=""),"",IF(B57=Results!B12,1+IF(OR($O57=1,$P57=1,$Q57=1),1,0),0))</f>
        <v/>
      </c>
      <c r="T57" s="4" t="str">
        <f>IF(OR(C57="",Results!C12=""),"",IF(C57=Results!C12,1+IF(OR($O57=2,$P57=2,$Q57=2),1,0),0))</f>
        <v/>
      </c>
      <c r="U57" s="4" t="str">
        <f>IF(OR(D57="",Results!D12=""),"",IF(D57=Results!D12,1+IF(OR($O57=3,$P57=3,$Q57=3),1,0),0))</f>
        <v/>
      </c>
      <c r="V57" s="4" t="str">
        <f>IF(OR(E57="",Results!E12=""),"",IF(E57=Results!E12,1+IF(OR($O57=4,$P57=4,$Q57=4),1,0),0))</f>
        <v/>
      </c>
      <c r="W57" s="4" t="str">
        <f>IF(OR(F57="",Results!F12=""),"",IF(F57=Results!F12,1+IF(OR($O57=5,$P57=5,$Q57=5),1,0),0))</f>
        <v/>
      </c>
      <c r="X57" s="4" t="str">
        <f>IF(OR(G57="",Results!G12=""),"",IF(G57=Results!G12,1+IF(OR($O57=6,$P57=6,$Q57=6),1,0),0))</f>
        <v/>
      </c>
      <c r="Y57" s="4" t="str">
        <f>IF(OR(H57="",Results!H12=""),"",IF(H57=Results!H12,1+IF(OR($O57=7,$P57=7,$Q57=7),1,0),0))</f>
        <v/>
      </c>
      <c r="Z57" s="4" t="str">
        <f>IF(OR(I57="",Results!I12=""),"",IF(I57=Results!I12,1+IF(OR($O57=8,$P57=8,$Q57=8),1,0),0))</f>
        <v/>
      </c>
      <c r="AA57" s="4" t="str">
        <f>IF(OR(J57="",Results!J12=""),"",IF(J57=Results!J12,1+IF(OR($O57=9,$P57=9,$Q57=9),1,0),0))</f>
        <v/>
      </c>
      <c r="AB57" s="4" t="str">
        <f>IF(OR(K57="",Results!K12=""),"",IF(K57=Results!K12,1+IF(OR($O57=10,$P57=10,$Q57=10),1,0),0))</f>
        <v/>
      </c>
      <c r="AC57" s="4" t="str">
        <f>IF(OR(L57="",Results!L12=""),"",IF(L57=Results!L12,1+IF(OR($O57=11,$P57=11,$Q57=11),1,0),0))</f>
        <v/>
      </c>
      <c r="AD57" s="4" t="str">
        <f>IF(OR(M57="",Results!M12=""),"",IF(M57=Results!M12,1+IF(OR($O57=12,$P57=12,$Q57=12),1,0),0))</f>
        <v/>
      </c>
      <c r="AE57" s="4" t="str">
        <f>IF(OR(N57="",Results!N12=""),"",IF(N57=Results!N12,1+IF(OR($O57=13,$P57=13,$Q57=13),1,0),0))</f>
        <v/>
      </c>
      <c r="AF57" s="11">
        <f t="shared" si="2"/>
        <v>0</v>
      </c>
      <c r="AG57" s="4" t="str">
        <f>IF(OR($R57="",Results!O12=""),"",ABS($R57-Results!O12))</f>
        <v/>
      </c>
      <c r="AH57" s="12">
        <v>28</v>
      </c>
      <c r="AI57" s="13" t="str">
        <f>IF(OR(B57="",Results!B12=""),"",IF(AND(B57=Results!B12,Results!B12&lt;&gt;Games!$C$96),1,0))</f>
        <v/>
      </c>
      <c r="AJ57" s="13" t="str">
        <f>IF(OR(C57="",Results!C12=""),"",IF(AND(C57=Results!C12,Results!C12&lt;&gt;Games!$C$97),1,0))</f>
        <v/>
      </c>
      <c r="AK57" s="13" t="str">
        <f>IF(OR(D57="",Results!D12=""),"",IF(AND(D57=Results!D12,Results!D12&lt;&gt;Games!$C$98),1,0))</f>
        <v/>
      </c>
      <c r="AL57" s="13" t="str">
        <f>IF(OR(E57="",Results!E12=""),"",IF(AND(E57=Results!E12,Results!E12&lt;&gt;Games!$C$99),1,0))</f>
        <v/>
      </c>
      <c r="AM57" s="13" t="str">
        <f>IF(OR(F57="",Results!F12=""),"",IF(AND(F57=Results!F12,Results!F12&lt;&gt;Games!$C$100),1,0))</f>
        <v/>
      </c>
      <c r="AN57" s="13" t="str">
        <f>IF(OR(G57="",Results!G12=""),"",IF(AND(G57=Results!G12,Results!G12&lt;&gt;Games!$C$101),1,0))</f>
        <v/>
      </c>
      <c r="AO57" s="13" t="str">
        <f>IF(OR(H57="",Results!H12=""),"",IF(AND(H57=Results!H12,Results!H12&lt;&gt;Games!$C$102),1,0))</f>
        <v/>
      </c>
      <c r="AP57" s="13" t="str">
        <f>IF(OR(I57="",Results!I12=""),"",IF(AND(I57=Results!I12,Results!I12&lt;&gt;Games!$C$103),1,0))</f>
        <v/>
      </c>
      <c r="AQ57" s="13" t="str">
        <f>IF(OR(J57="",Results!J12=""),"",IF(AND(J57=Results!J12,Results!J12&lt;&gt;Games!$C$104),1,0))</f>
        <v/>
      </c>
      <c r="AR57" s="13" t="str">
        <f>IF(OR(K57="",Results!K12=""),"",IF(AND(K57=Results!K12,Results!K12&lt;&gt;Games!$C$105),1,0))</f>
        <v/>
      </c>
      <c r="AS57" s="13" t="str">
        <f>IF(OR(L57="",Results!L12=""),"",IF(AND(L57=Results!L12,Results!L12&lt;&gt;Games!$C$106),1,0))</f>
        <v/>
      </c>
      <c r="AT57" s="13" t="str">
        <f>IF(OR(M57="",Results!M12=""),"",IF(AND(M57=Results!M12,Results!M12&lt;&gt;Games!$C$107),1,0))</f>
        <v/>
      </c>
      <c r="AU57" s="13" t="str">
        <f>IF(OR(N57="",Results!N12=""),"",IF(AND(N57=Results!N12,Results!N12&lt;&gt;Games!$C$108),1,0))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 t="str">
        <f>IF(OR(B58="",Results!B12=""),"",IF(B58=Results!B12,1+IF(OR($O58=1,$P58=1,$Q58=1),1,0),0))</f>
        <v/>
      </c>
      <c r="T58" s="4" t="str">
        <f>IF(OR(C58="",Results!C12=""),"",IF(C58=Results!C12,1+IF(OR($O58=2,$P58=2,$Q58=2),1,0),0))</f>
        <v/>
      </c>
      <c r="U58" s="4" t="str">
        <f>IF(OR(D58="",Results!D12=""),"",IF(D58=Results!D12,1+IF(OR($O58=3,$P58=3,$Q58=3),1,0),0))</f>
        <v/>
      </c>
      <c r="V58" s="4" t="str">
        <f>IF(OR(E58="",Results!E12=""),"",IF(E58=Results!E12,1+IF(OR($O58=4,$P58=4,$Q58=4),1,0),0))</f>
        <v/>
      </c>
      <c r="W58" s="4" t="str">
        <f>IF(OR(F58="",Results!F12=""),"",IF(F58=Results!F12,1+IF(OR($O58=5,$P58=5,$Q58=5),1,0),0))</f>
        <v/>
      </c>
      <c r="X58" s="4" t="str">
        <f>IF(OR(G58="",Results!G12=""),"",IF(G58=Results!G12,1+IF(OR($O58=6,$P58=6,$Q58=6),1,0),0))</f>
        <v/>
      </c>
      <c r="Y58" s="4" t="str">
        <f>IF(OR(H58="",Results!H12=""),"",IF(H58=Results!H12,1+IF(OR($O58=7,$P58=7,$Q58=7),1,0),0))</f>
        <v/>
      </c>
      <c r="Z58" s="4" t="str">
        <f>IF(OR(I58="",Results!I12=""),"",IF(I58=Results!I12,1+IF(OR($O58=8,$P58=8,$Q58=8),1,0),0))</f>
        <v/>
      </c>
      <c r="AA58" s="4" t="str">
        <f>IF(OR(J58="",Results!J12=""),"",IF(J58=Results!J12,1+IF(OR($O58=9,$P58=9,$Q58=9),1,0),0))</f>
        <v/>
      </c>
      <c r="AB58" s="4" t="str">
        <f>IF(OR(K58="",Results!K12=""),"",IF(K58=Results!K12,1+IF(OR($O58=10,$P58=10,$Q58=10),1,0),0))</f>
        <v/>
      </c>
      <c r="AC58" s="4" t="str">
        <f>IF(OR(L58="",Results!L12=""),"",IF(L58=Results!L12,1+IF(OR($O58=11,$P58=11,$Q58=11),1,0),0))</f>
        <v/>
      </c>
      <c r="AD58" s="4" t="str">
        <f>IF(OR(M58="",Results!M12=""),"",IF(M58=Results!M12,1+IF(OR($O58=12,$P58=12,$Q58=12),1,0),0))</f>
        <v/>
      </c>
      <c r="AE58" s="4" t="str">
        <f>IF(OR(N58="",Results!N12=""),"",IF(N58=Results!N12,1+IF(OR($O58=13,$P58=13,$Q58=13),1,0),0))</f>
        <v/>
      </c>
      <c r="AF58" s="11">
        <f t="shared" si="2"/>
        <v>0</v>
      </c>
      <c r="AG58" s="4" t="str">
        <f>IF(OR($R58="",Results!O12=""),"",ABS($R58-Results!O12))</f>
        <v/>
      </c>
      <c r="AH58" s="12">
        <v>29</v>
      </c>
      <c r="AI58" s="13" t="str">
        <f>IF(OR(B58="",Results!B12=""),"",IF(AND(B58=Results!B12,Results!B12&lt;&gt;Games!$C$96),1,0))</f>
        <v/>
      </c>
      <c r="AJ58" s="13" t="str">
        <f>IF(OR(C58="",Results!C12=""),"",IF(AND(C58=Results!C12,Results!C12&lt;&gt;Games!$C$97),1,0))</f>
        <v/>
      </c>
      <c r="AK58" s="13" t="str">
        <f>IF(OR(D58="",Results!D12=""),"",IF(AND(D58=Results!D12,Results!D12&lt;&gt;Games!$C$98),1,0))</f>
        <v/>
      </c>
      <c r="AL58" s="13" t="str">
        <f>IF(OR(E58="",Results!E12=""),"",IF(AND(E58=Results!E12,Results!E12&lt;&gt;Games!$C$99),1,0))</f>
        <v/>
      </c>
      <c r="AM58" s="13" t="str">
        <f>IF(OR(F58="",Results!F12=""),"",IF(AND(F58=Results!F12,Results!F12&lt;&gt;Games!$C$100),1,0))</f>
        <v/>
      </c>
      <c r="AN58" s="13" t="str">
        <f>IF(OR(G58="",Results!G12=""),"",IF(AND(G58=Results!G12,Results!G12&lt;&gt;Games!$C$101),1,0))</f>
        <v/>
      </c>
      <c r="AO58" s="13" t="str">
        <f>IF(OR(H58="",Results!H12=""),"",IF(AND(H58=Results!H12,Results!H12&lt;&gt;Games!$C$102),1,0))</f>
        <v/>
      </c>
      <c r="AP58" s="13" t="str">
        <f>IF(OR(I58="",Results!I12=""),"",IF(AND(I58=Results!I12,Results!I12&lt;&gt;Games!$C$103),1,0))</f>
        <v/>
      </c>
      <c r="AQ58" s="13" t="str">
        <f>IF(OR(J58="",Results!J12=""),"",IF(AND(J58=Results!J12,Results!J12&lt;&gt;Games!$C$104),1,0))</f>
        <v/>
      </c>
      <c r="AR58" s="13" t="str">
        <f>IF(OR(K58="",Results!K12=""),"",IF(AND(K58=Results!K12,Results!K12&lt;&gt;Games!$C$105),1,0))</f>
        <v/>
      </c>
      <c r="AS58" s="13" t="str">
        <f>IF(OR(L58="",Results!L12=""),"",IF(AND(L58=Results!L12,Results!L12&lt;&gt;Games!$C$106),1,0))</f>
        <v/>
      </c>
      <c r="AT58" s="13" t="str">
        <f>IF(OR(M58="",Results!M12=""),"",IF(AND(M58=Results!M12,Results!M12&lt;&gt;Games!$C$107),1,0))</f>
        <v/>
      </c>
      <c r="AU58" s="13" t="str">
        <f>IF(OR(N58="",Results!N12=""),"",IF(AND(N58=Results!N12,Results!N12&lt;&gt;Games!$C$108),1,0))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IF(OR(B59="",Results!B12=""),"",IF(B59=Results!B12,1+IF(OR($O59=1,$P59=1,$Q59=1),1,0),0))</f>
        <v/>
      </c>
      <c r="T59" s="4" t="str">
        <f>IF(OR(C59="",Results!C12=""),"",IF(C59=Results!C12,1+IF(OR($O59=2,$P59=2,$Q59=2),1,0),0))</f>
        <v/>
      </c>
      <c r="U59" s="4" t="str">
        <f>IF(OR(D59="",Results!D12=""),"",IF(D59=Results!D12,1+IF(OR($O59=3,$P59=3,$Q59=3),1,0),0))</f>
        <v/>
      </c>
      <c r="V59" s="4" t="str">
        <f>IF(OR(E59="",Results!E12=""),"",IF(E59=Results!E12,1+IF(OR($O59=4,$P59=4,$Q59=4),1,0),0))</f>
        <v/>
      </c>
      <c r="W59" s="4" t="str">
        <f>IF(OR(F59="",Results!F12=""),"",IF(F59=Results!F12,1+IF(OR($O59=5,$P59=5,$Q59=5),1,0),0))</f>
        <v/>
      </c>
      <c r="X59" s="4" t="str">
        <f>IF(OR(G59="",Results!G12=""),"",IF(G59=Results!G12,1+IF(OR($O59=6,$P59=6,$Q59=6),1,0),0))</f>
        <v/>
      </c>
      <c r="Y59" s="4" t="str">
        <f>IF(OR(H59="",Results!H12=""),"",IF(H59=Results!H12,1+IF(OR($O59=7,$P59=7,$Q59=7),1,0),0))</f>
        <v/>
      </c>
      <c r="Z59" s="4" t="str">
        <f>IF(OR(I59="",Results!I12=""),"",IF(I59=Results!I12,1+IF(OR($O59=8,$P59=8,$Q59=8),1,0),0))</f>
        <v/>
      </c>
      <c r="AA59" s="4" t="str">
        <f>IF(OR(J59="",Results!J12=""),"",IF(J59=Results!J12,1+IF(OR($O59=9,$P59=9,$Q59=9),1,0),0))</f>
        <v/>
      </c>
      <c r="AB59" s="4" t="str">
        <f>IF(OR(K59="",Results!K12=""),"",IF(K59=Results!K12,1+IF(OR($O59=10,$P59=10,$Q59=10),1,0),0))</f>
        <v/>
      </c>
      <c r="AC59" s="4" t="str">
        <f>IF(OR(L59="",Results!L12=""),"",IF(L59=Results!L12,1+IF(OR($O59=11,$P59=11,$Q59=11),1,0),0))</f>
        <v/>
      </c>
      <c r="AD59" s="4" t="str">
        <f>IF(OR(M59="",Results!M12=""),"",IF(M59=Results!M12,1+IF(OR($O59=12,$P59=12,$Q59=12),1,0),0))</f>
        <v/>
      </c>
      <c r="AE59" s="4" t="str">
        <f>IF(OR(N59="",Results!N12=""),"",IF(N59=Results!N12,1+IF(OR($O59=13,$P59=13,$Q59=13),1,0),0))</f>
        <v/>
      </c>
      <c r="AF59" s="11">
        <f t="shared" si="2"/>
        <v>0</v>
      </c>
      <c r="AG59" s="4" t="str">
        <f>IF(OR($R59="",Results!O12=""),"",ABS($R59-Results!O12))</f>
        <v/>
      </c>
      <c r="AH59" s="12">
        <v>51</v>
      </c>
      <c r="AI59" s="13" t="str">
        <f>IF(OR(B59="",Results!B12=""),"",IF(AND(B59=Results!B12,Results!B12&lt;&gt;Games!$C$96),1,0))</f>
        <v/>
      </c>
      <c r="AJ59" s="13" t="str">
        <f>IF(OR(C59="",Results!C12=""),"",IF(AND(C59=Results!C12,Results!C12&lt;&gt;Games!$C$97),1,0))</f>
        <v/>
      </c>
      <c r="AK59" s="13" t="str">
        <f>IF(OR(D59="",Results!D12=""),"",IF(AND(D59=Results!D12,Results!D12&lt;&gt;Games!$C$98),1,0))</f>
        <v/>
      </c>
      <c r="AL59" s="13" t="str">
        <f>IF(OR(E59="",Results!E12=""),"",IF(AND(E59=Results!E12,Results!E12&lt;&gt;Games!$C$99),1,0))</f>
        <v/>
      </c>
      <c r="AM59" s="13" t="str">
        <f>IF(OR(F59="",Results!F12=""),"",IF(AND(F59=Results!F12,Results!F12&lt;&gt;Games!$C$100),1,0))</f>
        <v/>
      </c>
      <c r="AN59" s="13" t="str">
        <f>IF(OR(G59="",Results!G12=""),"",IF(AND(G59=Results!G12,Results!G12&lt;&gt;Games!$C$101),1,0))</f>
        <v/>
      </c>
      <c r="AO59" s="13" t="str">
        <f>IF(OR(H59="",Results!H12=""),"",IF(AND(H59=Results!H12,Results!H12&lt;&gt;Games!$C$102),1,0))</f>
        <v/>
      </c>
      <c r="AP59" s="13" t="str">
        <f>IF(OR(I59="",Results!I12=""),"",IF(AND(I59=Results!I12,Results!I12&lt;&gt;Games!$C$103),1,0))</f>
        <v/>
      </c>
      <c r="AQ59" s="13" t="str">
        <f>IF(OR(J59="",Results!J12=""),"",IF(AND(J59=Results!J12,Results!J12&lt;&gt;Games!$C$104),1,0))</f>
        <v/>
      </c>
      <c r="AR59" s="13" t="str">
        <f>IF(OR(K59="",Results!K12=""),"",IF(AND(K59=Results!K12,Results!K12&lt;&gt;Games!$C$105),1,0))</f>
        <v/>
      </c>
      <c r="AS59" s="13" t="str">
        <f>IF(OR(L59="",Results!L12=""),"",IF(AND(L59=Results!L12,Results!L12&lt;&gt;Games!$C$106),1,0))</f>
        <v/>
      </c>
      <c r="AT59" s="13" t="str">
        <f>IF(OR(M59="",Results!M12=""),"",IF(AND(M59=Results!M12,Results!M12&lt;&gt;Games!$C$107),1,0))</f>
        <v/>
      </c>
      <c r="AU59" s="13" t="str">
        <f>IF(OR(N59="",Results!N12=""),"",IF(AND(N59=Results!N12,Results!N12&lt;&gt;Games!$C$108),1,0))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IF(OR(B60="",Results!B12=""),"",IF(B60=Results!B12,1+IF(OR($O60=1,$P60=1,$Q60=1),1,0),0))</f>
        <v/>
      </c>
      <c r="T60" s="4" t="str">
        <f>IF(OR(C60="",Results!C12=""),"",IF(C60=Results!C12,1+IF(OR($O60=2,$P60=2,$Q60=2),1,0),0))</f>
        <v/>
      </c>
      <c r="U60" s="4" t="str">
        <f>IF(OR(D60="",Results!D12=""),"",IF(D60=Results!D12,1+IF(OR($O60=3,$P60=3,$Q60=3),1,0),0))</f>
        <v/>
      </c>
      <c r="V60" s="4" t="str">
        <f>IF(OR(E60="",Results!E12=""),"",IF(E60=Results!E12,1+IF(OR($O60=4,$P60=4,$Q60=4),1,0),0))</f>
        <v/>
      </c>
      <c r="W60" s="4" t="str">
        <f>IF(OR(F60="",Results!F12=""),"",IF(F60=Results!F12,1+IF(OR($O60=5,$P60=5,$Q60=5),1,0),0))</f>
        <v/>
      </c>
      <c r="X60" s="4" t="str">
        <f>IF(OR(G60="",Results!G12=""),"",IF(G60=Results!G12,1+IF(OR($O60=6,$P60=6,$Q60=6),1,0),0))</f>
        <v/>
      </c>
      <c r="Y60" s="4" t="str">
        <f>IF(OR(H60="",Results!H12=""),"",IF(H60=Results!H12,1+IF(OR($O60=7,$P60=7,$Q60=7),1,0),0))</f>
        <v/>
      </c>
      <c r="Z60" s="4" t="str">
        <f>IF(OR(I60="",Results!I12=""),"",IF(I60=Results!I12,1+IF(OR($O60=8,$P60=8,$Q60=8),1,0),0))</f>
        <v/>
      </c>
      <c r="AA60" s="4" t="str">
        <f>IF(OR(J60="",Results!J12=""),"",IF(J60=Results!J12,1+IF(OR($O60=9,$P60=9,$Q60=9),1,0),0))</f>
        <v/>
      </c>
      <c r="AB60" s="4" t="str">
        <f>IF(OR(K60="",Results!K12=""),"",IF(K60=Results!K12,1+IF(OR($O60=10,$P60=10,$Q60=10),1,0),0))</f>
        <v/>
      </c>
      <c r="AC60" s="4" t="str">
        <f>IF(OR(L60="",Results!L12=""),"",IF(L60=Results!L12,1+IF(OR($O60=11,$P60=11,$Q60=11),1,0),0))</f>
        <v/>
      </c>
      <c r="AD60" s="4" t="str">
        <f>IF(OR(M60="",Results!M12=""),"",IF(M60=Results!M12,1+IF(OR($O60=12,$P60=12,$Q60=12),1,0),0))</f>
        <v/>
      </c>
      <c r="AE60" s="4" t="str">
        <f>IF(OR(N60="",Results!N12=""),"",IF(N60=Results!N12,1+IF(OR($O60=13,$P60=13,$Q60=13),1,0),0))</f>
        <v/>
      </c>
      <c r="AF60" s="11">
        <f t="shared" si="2"/>
        <v>0</v>
      </c>
      <c r="AG60" s="4" t="str">
        <f>IF(OR($R60="",Results!O12=""),"",ABS($R60-Results!O12))</f>
        <v/>
      </c>
      <c r="AH60" s="12">
        <v>45</v>
      </c>
      <c r="AI60" s="13" t="str">
        <f>IF(OR(B60="",Results!B12=""),"",IF(AND(B60=Results!B12,Results!B12&lt;&gt;Games!$C$96),1,0))</f>
        <v/>
      </c>
      <c r="AJ60" s="13" t="str">
        <f>IF(OR(C60="",Results!C12=""),"",IF(AND(C60=Results!C12,Results!C12&lt;&gt;Games!$C$97),1,0))</f>
        <v/>
      </c>
      <c r="AK60" s="13" t="str">
        <f>IF(OR(D60="",Results!D12=""),"",IF(AND(D60=Results!D12,Results!D12&lt;&gt;Games!$C$98),1,0))</f>
        <v/>
      </c>
      <c r="AL60" s="13" t="str">
        <f>IF(OR(E60="",Results!E12=""),"",IF(AND(E60=Results!E12,Results!E12&lt;&gt;Games!$C$99),1,0))</f>
        <v/>
      </c>
      <c r="AM60" s="13" t="str">
        <f>IF(OR(F60="",Results!F12=""),"",IF(AND(F60=Results!F12,Results!F12&lt;&gt;Games!$C$100),1,0))</f>
        <v/>
      </c>
      <c r="AN60" s="13" t="str">
        <f>IF(OR(G60="",Results!G12=""),"",IF(AND(G60=Results!G12,Results!G12&lt;&gt;Games!$C$101),1,0))</f>
        <v/>
      </c>
      <c r="AO60" s="13" t="str">
        <f>IF(OR(H60="",Results!H12=""),"",IF(AND(H60=Results!H12,Results!H12&lt;&gt;Games!$C$102),1,0))</f>
        <v/>
      </c>
      <c r="AP60" s="13" t="str">
        <f>IF(OR(I60="",Results!I12=""),"",IF(AND(I60=Results!I12,Results!I12&lt;&gt;Games!$C$103),1,0))</f>
        <v/>
      </c>
      <c r="AQ60" s="13" t="str">
        <f>IF(OR(J60="",Results!J12=""),"",IF(AND(J60=Results!J12,Results!J12&lt;&gt;Games!$C$104),1,0))</f>
        <v/>
      </c>
      <c r="AR60" s="13" t="str">
        <f>IF(OR(K60="",Results!K12=""),"",IF(AND(K60=Results!K12,Results!K12&lt;&gt;Games!$C$105),1,0))</f>
        <v/>
      </c>
      <c r="AS60" s="13" t="str">
        <f>IF(OR(L60="",Results!L12=""),"",IF(AND(L60=Results!L12,Results!L12&lt;&gt;Games!$C$106),1,0))</f>
        <v/>
      </c>
      <c r="AT60" s="13" t="str">
        <f>IF(OR(M60="",Results!M12=""),"",IF(AND(M60=Results!M12,Results!M12&lt;&gt;Games!$C$107),1,0))</f>
        <v/>
      </c>
      <c r="AU60" s="13" t="str">
        <f>IF(OR(N60="",Results!N12=""),"",IF(AND(N60=Results!N12,Results!N12&lt;&gt;Games!$C$108),1,0))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 t="str">
        <f>IF(OR(B61="",Results!B12=""),"",IF(B61=Results!B12,1+IF(OR($O61=1,$P61=1,$Q61=1),1,0),0))</f>
        <v/>
      </c>
      <c r="T61" s="4" t="str">
        <f>IF(OR(C61="",Results!C12=""),"",IF(C61=Results!C12,1+IF(OR($O61=2,$P61=2,$Q61=2),1,0),0))</f>
        <v/>
      </c>
      <c r="U61" s="4" t="str">
        <f>IF(OR(D61="",Results!D12=""),"",IF(D61=Results!D12,1+IF(OR($O61=3,$P61=3,$Q61=3),1,0),0))</f>
        <v/>
      </c>
      <c r="V61" s="4" t="str">
        <f>IF(OR(E61="",Results!E12=""),"",IF(E61=Results!E12,1+IF(OR($O61=4,$P61=4,$Q61=4),1,0),0))</f>
        <v/>
      </c>
      <c r="W61" s="4" t="str">
        <f>IF(OR(F61="",Results!F12=""),"",IF(F61=Results!F12,1+IF(OR($O61=5,$P61=5,$Q61=5),1,0),0))</f>
        <v/>
      </c>
      <c r="X61" s="4" t="str">
        <f>IF(OR(G61="",Results!G12=""),"",IF(G61=Results!G12,1+IF(OR($O61=6,$P61=6,$Q61=6),1,0),0))</f>
        <v/>
      </c>
      <c r="Y61" s="4" t="str">
        <f>IF(OR(H61="",Results!H12=""),"",IF(H61=Results!H12,1+IF(OR($O61=7,$P61=7,$Q61=7),1,0),0))</f>
        <v/>
      </c>
      <c r="Z61" s="4" t="str">
        <f>IF(OR(I61="",Results!I12=""),"",IF(I61=Results!I12,1+IF(OR($O61=8,$P61=8,$Q61=8),1,0),0))</f>
        <v/>
      </c>
      <c r="AA61" s="4" t="str">
        <f>IF(OR(J61="",Results!J12=""),"",IF(J61=Results!J12,1+IF(OR($O61=9,$P61=9,$Q61=9),1,0),0))</f>
        <v/>
      </c>
      <c r="AB61" s="4" t="str">
        <f>IF(OR(K61="",Results!K12=""),"",IF(K61=Results!K12,1+IF(OR($O61=10,$P61=10,$Q61=10),1,0),0))</f>
        <v/>
      </c>
      <c r="AC61" s="4" t="str">
        <f>IF(OR(L61="",Results!L12=""),"",IF(L61=Results!L12,1+IF(OR($O61=11,$P61=11,$Q61=11),1,0),0))</f>
        <v/>
      </c>
      <c r="AD61" s="4" t="str">
        <f>IF(OR(M61="",Results!M12=""),"",IF(M61=Results!M12,1+IF(OR($O61=12,$P61=12,$Q61=12),1,0),0))</f>
        <v/>
      </c>
      <c r="AE61" s="4" t="str">
        <f>IF(OR(N61="",Results!N12=""),"",IF(N61=Results!N12,1+IF(OR($O61=13,$P61=13,$Q61=13),1,0),0))</f>
        <v/>
      </c>
      <c r="AF61" s="11">
        <f t="shared" si="2"/>
        <v>0</v>
      </c>
      <c r="AG61" s="4" t="str">
        <f>IF(OR($R61="",Results!O12=""),"",ABS($R61-Results!O12))</f>
        <v/>
      </c>
      <c r="AH61" s="12">
        <v>30</v>
      </c>
      <c r="AI61" s="13" t="str">
        <f>IF(OR(B61="",Results!B12=""),"",IF(AND(B61=Results!B12,Results!B12&lt;&gt;Games!$C$96),1,0))</f>
        <v/>
      </c>
      <c r="AJ61" s="13" t="str">
        <f>IF(OR(C61="",Results!C12=""),"",IF(AND(C61=Results!C12,Results!C12&lt;&gt;Games!$C$97),1,0))</f>
        <v/>
      </c>
      <c r="AK61" s="13" t="str">
        <f>IF(OR(D61="",Results!D12=""),"",IF(AND(D61=Results!D12,Results!D12&lt;&gt;Games!$C$98),1,0))</f>
        <v/>
      </c>
      <c r="AL61" s="13" t="str">
        <f>IF(OR(E61="",Results!E12=""),"",IF(AND(E61=Results!E12,Results!E12&lt;&gt;Games!$C$99),1,0))</f>
        <v/>
      </c>
      <c r="AM61" s="13" t="str">
        <f>IF(OR(F61="",Results!F12=""),"",IF(AND(F61=Results!F12,Results!F12&lt;&gt;Games!$C$100),1,0))</f>
        <v/>
      </c>
      <c r="AN61" s="13" t="str">
        <f>IF(OR(G61="",Results!G12=""),"",IF(AND(G61=Results!G12,Results!G12&lt;&gt;Games!$C$101),1,0))</f>
        <v/>
      </c>
      <c r="AO61" s="13" t="str">
        <f>IF(OR(H61="",Results!H12=""),"",IF(AND(H61=Results!H12,Results!H12&lt;&gt;Games!$C$102),1,0))</f>
        <v/>
      </c>
      <c r="AP61" s="13" t="str">
        <f>IF(OR(I61="",Results!I12=""),"",IF(AND(I61=Results!I12,Results!I12&lt;&gt;Games!$C$103),1,0))</f>
        <v/>
      </c>
      <c r="AQ61" s="13" t="str">
        <f>IF(OR(J61="",Results!J12=""),"",IF(AND(J61=Results!J12,Results!J12&lt;&gt;Games!$C$104),1,0))</f>
        <v/>
      </c>
      <c r="AR61" s="13" t="str">
        <f>IF(OR(K61="",Results!K12=""),"",IF(AND(K61=Results!K12,Results!K12&lt;&gt;Games!$C$105),1,0))</f>
        <v/>
      </c>
      <c r="AS61" s="13" t="str">
        <f>IF(OR(L61="",Results!L12=""),"",IF(AND(L61=Results!L12,Results!L12&lt;&gt;Games!$C$106),1,0))</f>
        <v/>
      </c>
      <c r="AT61" s="13" t="str">
        <f>IF(OR(M61="",Results!M12=""),"",IF(AND(M61=Results!M12,Results!M12&lt;&gt;Games!$C$107),1,0))</f>
        <v/>
      </c>
      <c r="AU61" s="13" t="str">
        <f>IF(OR(N61="",Results!N12=""),"",IF(AND(N61=Results!N12,Results!N12&lt;&gt;Games!$C$108),1,0))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IF(OR(B62="",Results!B12=""),"",IF(B62=Results!B12,1+IF(OR($O62=1,$P62=1,$Q62=1),1,0),0))</f>
        <v/>
      </c>
      <c r="T62" s="4" t="str">
        <f>IF(OR(C62="",Results!C12=""),"",IF(C62=Results!C12,1+IF(OR($O62=2,$P62=2,$Q62=2),1,0),0))</f>
        <v/>
      </c>
      <c r="U62" s="4" t="str">
        <f>IF(OR(D62="",Results!D12=""),"",IF(D62=Results!D12,1+IF(OR($O62=3,$P62=3,$Q62=3),1,0),0))</f>
        <v/>
      </c>
      <c r="V62" s="4" t="str">
        <f>IF(OR(E62="",Results!E12=""),"",IF(E62=Results!E12,1+IF(OR($O62=4,$P62=4,$Q62=4),1,0),0))</f>
        <v/>
      </c>
      <c r="W62" s="4" t="str">
        <f>IF(OR(F62="",Results!F12=""),"",IF(F62=Results!F12,1+IF(OR($O62=5,$P62=5,$Q62=5),1,0),0))</f>
        <v/>
      </c>
      <c r="X62" s="4" t="str">
        <f>IF(OR(G62="",Results!G12=""),"",IF(G62=Results!G12,1+IF(OR($O62=6,$P62=6,$Q62=6),1,0),0))</f>
        <v/>
      </c>
      <c r="Y62" s="4" t="str">
        <f>IF(OR(H62="",Results!H12=""),"",IF(H62=Results!H12,1+IF(OR($O62=7,$P62=7,$Q62=7),1,0),0))</f>
        <v/>
      </c>
      <c r="Z62" s="4" t="str">
        <f>IF(OR(I62="",Results!I12=""),"",IF(I62=Results!I12,1+IF(OR($O62=8,$P62=8,$Q62=8),1,0),0))</f>
        <v/>
      </c>
      <c r="AA62" s="4" t="str">
        <f>IF(OR(J62="",Results!J12=""),"",IF(J62=Results!J12,1+IF(OR($O62=9,$P62=9,$Q62=9),1,0),0))</f>
        <v/>
      </c>
      <c r="AB62" s="4" t="str">
        <f>IF(OR(K62="",Results!K12=""),"",IF(K62=Results!K12,1+IF(OR($O62=10,$P62=10,$Q62=10),1,0),0))</f>
        <v/>
      </c>
      <c r="AC62" s="4" t="str">
        <f>IF(OR(L62="",Results!L12=""),"",IF(L62=Results!L12,1+IF(OR($O62=11,$P62=11,$Q62=11),1,0),0))</f>
        <v/>
      </c>
      <c r="AD62" s="4" t="str">
        <f>IF(OR(M62="",Results!M12=""),"",IF(M62=Results!M12,1+IF(OR($O62=12,$P62=12,$Q62=12),1,0),0))</f>
        <v/>
      </c>
      <c r="AE62" s="4" t="str">
        <f>IF(OR(N62="",Results!N12=""),"",IF(N62=Results!N12,1+IF(OR($O62=13,$P62=13,$Q62=13),1,0),0))</f>
        <v/>
      </c>
      <c r="AF62" s="11">
        <f t="shared" si="2"/>
        <v>0</v>
      </c>
      <c r="AG62" s="4" t="str">
        <f>IF(OR($R62="",Results!O12=""),"",ABS($R62-Results!O12))</f>
        <v/>
      </c>
      <c r="AH62" s="12">
        <v>31</v>
      </c>
      <c r="AI62" s="13" t="str">
        <f>IF(OR(B62="",Results!B12=""),"",IF(AND(B62=Results!B12,Results!B12&lt;&gt;Games!$C$96),1,0))</f>
        <v/>
      </c>
      <c r="AJ62" s="13" t="str">
        <f>IF(OR(C62="",Results!C12=""),"",IF(AND(C62=Results!C12,Results!C12&lt;&gt;Games!$C$97),1,0))</f>
        <v/>
      </c>
      <c r="AK62" s="13" t="str">
        <f>IF(OR(D62="",Results!D12=""),"",IF(AND(D62=Results!D12,Results!D12&lt;&gt;Games!$C$98),1,0))</f>
        <v/>
      </c>
      <c r="AL62" s="13" t="str">
        <f>IF(OR(E62="",Results!E12=""),"",IF(AND(E62=Results!E12,Results!E12&lt;&gt;Games!$C$99),1,0))</f>
        <v/>
      </c>
      <c r="AM62" s="13" t="str">
        <f>IF(OR(F62="",Results!F12=""),"",IF(AND(F62=Results!F12,Results!F12&lt;&gt;Games!$C$100),1,0))</f>
        <v/>
      </c>
      <c r="AN62" s="13" t="str">
        <f>IF(OR(G62="",Results!G12=""),"",IF(AND(G62=Results!G12,Results!G12&lt;&gt;Games!$C$101),1,0))</f>
        <v/>
      </c>
      <c r="AO62" s="13" t="str">
        <f>IF(OR(H62="",Results!H12=""),"",IF(AND(H62=Results!H12,Results!H12&lt;&gt;Games!$C$102),1,0))</f>
        <v/>
      </c>
      <c r="AP62" s="13" t="str">
        <f>IF(OR(I62="",Results!I12=""),"",IF(AND(I62=Results!I12,Results!I12&lt;&gt;Games!$C$103),1,0))</f>
        <v/>
      </c>
      <c r="AQ62" s="13" t="str">
        <f>IF(OR(J62="",Results!J12=""),"",IF(AND(J62=Results!J12,Results!J12&lt;&gt;Games!$C$104),1,0))</f>
        <v/>
      </c>
      <c r="AR62" s="13" t="str">
        <f>IF(OR(K62="",Results!K12=""),"",IF(AND(K62=Results!K12,Results!K12&lt;&gt;Games!$C$105),1,0))</f>
        <v/>
      </c>
      <c r="AS62" s="13" t="str">
        <f>IF(OR(L62="",Results!L12=""),"",IF(AND(L62=Results!L12,Results!L12&lt;&gt;Games!$C$106),1,0))</f>
        <v/>
      </c>
      <c r="AT62" s="13" t="str">
        <f>IF(OR(M62="",Results!M12=""),"",IF(AND(M62=Results!M12,Results!M12&lt;&gt;Games!$C$107),1,0))</f>
        <v/>
      </c>
      <c r="AU62" s="13" t="str">
        <f>IF(OR(N62="",Results!N12=""),"",IF(AND(N62=Results!N12,Results!N12&lt;&gt;Games!$C$108),1,0))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 t="str">
        <f>IF(OR(B63="",Results!B12=""),"",IF(B63=Results!B12,1+IF(OR($O63=1,$P63=1,$Q63=1),1,0),0))</f>
        <v/>
      </c>
      <c r="T63" s="4" t="str">
        <f>IF(OR(C63="",Results!C12=""),"",IF(C63=Results!C12,1+IF(OR($O63=2,$P63=2,$Q63=2),1,0),0))</f>
        <v/>
      </c>
      <c r="U63" s="4" t="str">
        <f>IF(OR(D63="",Results!D12=""),"",IF(D63=Results!D12,1+IF(OR($O63=3,$P63=3,$Q63=3),1,0),0))</f>
        <v/>
      </c>
      <c r="V63" s="4" t="str">
        <f>IF(OR(E63="",Results!E12=""),"",IF(E63=Results!E12,1+IF(OR($O63=4,$P63=4,$Q63=4),1,0),0))</f>
        <v/>
      </c>
      <c r="W63" s="4" t="str">
        <f>IF(OR(F63="",Results!F12=""),"",IF(F63=Results!F12,1+IF(OR($O63=5,$P63=5,$Q63=5),1,0),0))</f>
        <v/>
      </c>
      <c r="X63" s="4" t="str">
        <f>IF(OR(G63="",Results!G12=""),"",IF(G63=Results!G12,1+IF(OR($O63=6,$P63=6,$Q63=6),1,0),0))</f>
        <v/>
      </c>
      <c r="Y63" s="4" t="str">
        <f>IF(OR(H63="",Results!H12=""),"",IF(H63=Results!H12,1+IF(OR($O63=7,$P63=7,$Q63=7),1,0),0))</f>
        <v/>
      </c>
      <c r="Z63" s="4" t="str">
        <f>IF(OR(I63="",Results!I12=""),"",IF(I63=Results!I12,1+IF(OR($O63=8,$P63=8,$Q63=8),1,0),0))</f>
        <v/>
      </c>
      <c r="AA63" s="4" t="str">
        <f>IF(OR(J63="",Results!J12=""),"",IF(J63=Results!J12,1+IF(OR($O63=9,$P63=9,$Q63=9),1,0),0))</f>
        <v/>
      </c>
      <c r="AB63" s="4" t="str">
        <f>IF(OR(K63="",Results!K12=""),"",IF(K63=Results!K12,1+IF(OR($O63=10,$P63=10,$Q63=10),1,0),0))</f>
        <v/>
      </c>
      <c r="AC63" s="4" t="str">
        <f>IF(OR(L63="",Results!L12=""),"",IF(L63=Results!L12,1+IF(OR($O63=11,$P63=11,$Q63=11),1,0),0))</f>
        <v/>
      </c>
      <c r="AD63" s="4" t="str">
        <f>IF(OR(M63="",Results!M12=""),"",IF(M63=Results!M12,1+IF(OR($O63=12,$P63=12,$Q63=12),1,0),0))</f>
        <v/>
      </c>
      <c r="AE63" s="4" t="str">
        <f>IF(OR(N63="",Results!N12=""),"",IF(N63=Results!N12,1+IF(OR($O63=13,$P63=13,$Q63=13),1,0),0))</f>
        <v/>
      </c>
      <c r="AF63" s="11">
        <f t="shared" si="2"/>
        <v>0</v>
      </c>
      <c r="AG63" s="4" t="str">
        <f>IF(OR($R63="",Results!O12=""),"",ABS($R63-Results!O12))</f>
        <v/>
      </c>
      <c r="AH63" s="12">
        <v>32</v>
      </c>
      <c r="AI63" s="13" t="str">
        <f>IF(OR(B63="",Results!B12=""),"",IF(AND(B63=Results!B12,Results!B12&lt;&gt;Games!$C$96),1,0))</f>
        <v/>
      </c>
      <c r="AJ63" s="13" t="str">
        <f>IF(OR(C63="",Results!C12=""),"",IF(AND(C63=Results!C12,Results!C12&lt;&gt;Games!$C$97),1,0))</f>
        <v/>
      </c>
      <c r="AK63" s="13" t="str">
        <f>IF(OR(D63="",Results!D12=""),"",IF(AND(D63=Results!D12,Results!D12&lt;&gt;Games!$C$98),1,0))</f>
        <v/>
      </c>
      <c r="AL63" s="13" t="str">
        <f>IF(OR(E63="",Results!E12=""),"",IF(AND(E63=Results!E12,Results!E12&lt;&gt;Games!$C$99),1,0))</f>
        <v/>
      </c>
      <c r="AM63" s="13" t="str">
        <f>IF(OR(F63="",Results!F12=""),"",IF(AND(F63=Results!F12,Results!F12&lt;&gt;Games!$C$100),1,0))</f>
        <v/>
      </c>
      <c r="AN63" s="13" t="str">
        <f>IF(OR(G63="",Results!G12=""),"",IF(AND(G63=Results!G12,Results!G12&lt;&gt;Games!$C$101),1,0))</f>
        <v/>
      </c>
      <c r="AO63" s="13" t="str">
        <f>IF(OR(H63="",Results!H12=""),"",IF(AND(H63=Results!H12,Results!H12&lt;&gt;Games!$C$102),1,0))</f>
        <v/>
      </c>
      <c r="AP63" s="13" t="str">
        <f>IF(OR(I63="",Results!I12=""),"",IF(AND(I63=Results!I12,Results!I12&lt;&gt;Games!$C$103),1,0))</f>
        <v/>
      </c>
      <c r="AQ63" s="13" t="str">
        <f>IF(OR(J63="",Results!J12=""),"",IF(AND(J63=Results!J12,Results!J12&lt;&gt;Games!$C$104),1,0))</f>
        <v/>
      </c>
      <c r="AR63" s="13" t="str">
        <f>IF(OR(K63="",Results!K12=""),"",IF(AND(K63=Results!K12,Results!K12&lt;&gt;Games!$C$105),1,0))</f>
        <v/>
      </c>
      <c r="AS63" s="13" t="str">
        <f>IF(OR(L63="",Results!L12=""),"",IF(AND(L63=Results!L12,Results!L12&lt;&gt;Games!$C$106),1,0))</f>
        <v/>
      </c>
      <c r="AT63" s="13" t="str">
        <f>IF(OR(M63="",Results!M12=""),"",IF(AND(M63=Results!M12,Results!M12&lt;&gt;Games!$C$107),1,0))</f>
        <v/>
      </c>
      <c r="AU63" s="13" t="str">
        <f>IF(OR(N63="",Results!N12=""),"",IF(AND(N63=Results!N12,Results!N12&lt;&gt;Games!$C$108),1,0))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 t="str">
        <f>IF(OR(B64="",Results!B12=""),"",IF(B64=Results!B12,1+IF(OR($O64=1,$P64=1,$Q64=1),1,0),0))</f>
        <v/>
      </c>
      <c r="T64" s="4" t="str">
        <f>IF(OR(C64="",Results!C12=""),"",IF(C64=Results!C12,1+IF(OR($O64=2,$P64=2,$Q64=2),1,0),0))</f>
        <v/>
      </c>
      <c r="U64" s="4" t="str">
        <f>IF(OR(D64="",Results!D12=""),"",IF(D64=Results!D12,1+IF(OR($O64=3,$P64=3,$Q64=3),1,0),0))</f>
        <v/>
      </c>
      <c r="V64" s="4" t="str">
        <f>IF(OR(E64="",Results!E12=""),"",IF(E64=Results!E12,1+IF(OR($O64=4,$P64=4,$Q64=4),1,0),0))</f>
        <v/>
      </c>
      <c r="W64" s="4" t="str">
        <f>IF(OR(F64="",Results!F12=""),"",IF(F64=Results!F12,1+IF(OR($O64=5,$P64=5,$Q64=5),1,0),0))</f>
        <v/>
      </c>
      <c r="X64" s="4" t="str">
        <f>IF(OR(G64="",Results!G12=""),"",IF(G64=Results!G12,1+IF(OR($O64=6,$P64=6,$Q64=6),1,0),0))</f>
        <v/>
      </c>
      <c r="Y64" s="4" t="str">
        <f>IF(OR(H64="",Results!H12=""),"",IF(H64=Results!H12,1+IF(OR($O64=7,$P64=7,$Q64=7),1,0),0))</f>
        <v/>
      </c>
      <c r="Z64" s="4" t="str">
        <f>IF(OR(I64="",Results!I12=""),"",IF(I64=Results!I12,1+IF(OR($O64=8,$P64=8,$Q64=8),1,0),0))</f>
        <v/>
      </c>
      <c r="AA64" s="4" t="str">
        <f>IF(OR(J64="",Results!J12=""),"",IF(J64=Results!J12,1+IF(OR($O64=9,$P64=9,$Q64=9),1,0),0))</f>
        <v/>
      </c>
      <c r="AB64" s="4" t="str">
        <f>IF(OR(K64="",Results!K12=""),"",IF(K64=Results!K12,1+IF(OR($O64=10,$P64=10,$Q64=10),1,0),0))</f>
        <v/>
      </c>
      <c r="AC64" s="4" t="str">
        <f>IF(OR(L64="",Results!L12=""),"",IF(L64=Results!L12,1+IF(OR($O64=11,$P64=11,$Q64=11),1,0),0))</f>
        <v/>
      </c>
      <c r="AD64" s="4" t="str">
        <f>IF(OR(M64="",Results!M12=""),"",IF(M64=Results!M12,1+IF(OR($O64=12,$P64=12,$Q64=12),1,0),0))</f>
        <v/>
      </c>
      <c r="AE64" s="4" t="str">
        <f>IF(OR(N64="",Results!N12=""),"",IF(N64=Results!N12,1+IF(OR($O64=13,$P64=13,$Q64=13),1,0),0))</f>
        <v/>
      </c>
      <c r="AF64" s="11">
        <f t="shared" si="2"/>
        <v>0</v>
      </c>
      <c r="AG64" s="4" t="str">
        <f>IF(OR($R64="",Results!O12=""),"",ABS($R64-Results!O12))</f>
        <v/>
      </c>
      <c r="AH64" s="12">
        <v>46</v>
      </c>
      <c r="AI64" s="13" t="str">
        <f>IF(OR(B64="",Results!B12=""),"",IF(AND(B64=Results!B12,Results!B12&lt;&gt;Games!$C$96),1,0))</f>
        <v/>
      </c>
      <c r="AJ64" s="13" t="str">
        <f>IF(OR(C64="",Results!C12=""),"",IF(AND(C64=Results!C12,Results!C12&lt;&gt;Games!$C$97),1,0))</f>
        <v/>
      </c>
      <c r="AK64" s="13" t="str">
        <f>IF(OR(D64="",Results!D12=""),"",IF(AND(D64=Results!D12,Results!D12&lt;&gt;Games!$C$98),1,0))</f>
        <v/>
      </c>
      <c r="AL64" s="13" t="str">
        <f>IF(OR(E64="",Results!E12=""),"",IF(AND(E64=Results!E12,Results!E12&lt;&gt;Games!$C$99),1,0))</f>
        <v/>
      </c>
      <c r="AM64" s="13" t="str">
        <f>IF(OR(F64="",Results!F12=""),"",IF(AND(F64=Results!F12,Results!F12&lt;&gt;Games!$C$100),1,0))</f>
        <v/>
      </c>
      <c r="AN64" s="13" t="str">
        <f>IF(OR(G64="",Results!G12=""),"",IF(AND(G64=Results!G12,Results!G12&lt;&gt;Games!$C$101),1,0))</f>
        <v/>
      </c>
      <c r="AO64" s="13" t="str">
        <f>IF(OR(H64="",Results!H12=""),"",IF(AND(H64=Results!H12,Results!H12&lt;&gt;Games!$C$102),1,0))</f>
        <v/>
      </c>
      <c r="AP64" s="13" t="str">
        <f>IF(OR(I64="",Results!I12=""),"",IF(AND(I64=Results!I12,Results!I12&lt;&gt;Games!$C$103),1,0))</f>
        <v/>
      </c>
      <c r="AQ64" s="13" t="str">
        <f>IF(OR(J64="",Results!J12=""),"",IF(AND(J64=Results!J12,Results!J12&lt;&gt;Games!$C$104),1,0))</f>
        <v/>
      </c>
      <c r="AR64" s="13" t="str">
        <f>IF(OR(K64="",Results!K12=""),"",IF(AND(K64=Results!K12,Results!K12&lt;&gt;Games!$C$105),1,0))</f>
        <v/>
      </c>
      <c r="AS64" s="13" t="str">
        <f>IF(OR(L64="",Results!L12=""),"",IF(AND(L64=Results!L12,Results!L12&lt;&gt;Games!$C$106),1,0))</f>
        <v/>
      </c>
      <c r="AT64" s="13" t="str">
        <f>IF(OR(M64="",Results!M12=""),"",IF(AND(M64=Results!M12,Results!M12&lt;&gt;Games!$C$107),1,0))</f>
        <v/>
      </c>
      <c r="AU64" s="13" t="str">
        <f>IF(OR(N64="",Results!N12=""),"",IF(AND(N64=Results!N12,Results!N12&lt;&gt;Games!$C$108),1,0))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IF(OR(B65="",Results!B12=""),"",IF(B65=Results!B12,1+IF(OR($O65=1,$P65=1,$Q65=1),1,0),0))</f>
        <v/>
      </c>
      <c r="T65" s="4" t="str">
        <f>IF(OR(C65="",Results!C12=""),"",IF(C65=Results!C12,1+IF(OR($O65=2,$P65=2,$Q65=2),1,0),0))</f>
        <v/>
      </c>
      <c r="U65" s="4" t="str">
        <f>IF(OR(D65="",Results!D12=""),"",IF(D65=Results!D12,1+IF(OR($O65=3,$P65=3,$Q65=3),1,0),0))</f>
        <v/>
      </c>
      <c r="V65" s="4" t="str">
        <f>IF(OR(E65="",Results!E12=""),"",IF(E65=Results!E12,1+IF(OR($O65=4,$P65=4,$Q65=4),1,0),0))</f>
        <v/>
      </c>
      <c r="W65" s="4" t="str">
        <f>IF(OR(F65="",Results!F12=""),"",IF(F65=Results!F12,1+IF(OR($O65=5,$P65=5,$Q65=5),1,0),0))</f>
        <v/>
      </c>
      <c r="X65" s="4" t="str">
        <f>IF(OR(G65="",Results!G12=""),"",IF(G65=Results!G12,1+IF(OR($O65=6,$P65=6,$Q65=6),1,0),0))</f>
        <v/>
      </c>
      <c r="Y65" s="4" t="str">
        <f>IF(OR(H65="",Results!H12=""),"",IF(H65=Results!H12,1+IF(OR($O65=7,$P65=7,$Q65=7),1,0),0))</f>
        <v/>
      </c>
      <c r="Z65" s="4" t="str">
        <f>IF(OR(I65="",Results!I12=""),"",IF(I65=Results!I12,1+IF(OR($O65=8,$P65=8,$Q65=8),1,0),0))</f>
        <v/>
      </c>
      <c r="AA65" s="4" t="str">
        <f>IF(OR(J65="",Results!J12=""),"",IF(J65=Results!J12,1+IF(OR($O65=9,$P65=9,$Q65=9),1,0),0))</f>
        <v/>
      </c>
      <c r="AB65" s="4" t="str">
        <f>IF(OR(K65="",Results!K12=""),"",IF(K65=Results!K12,1+IF(OR($O65=10,$P65=10,$Q65=10),1,0),0))</f>
        <v/>
      </c>
      <c r="AC65" s="4" t="str">
        <f>IF(OR(L65="",Results!L12=""),"",IF(L65=Results!L12,1+IF(OR($O65=11,$P65=11,$Q65=11),1,0),0))</f>
        <v/>
      </c>
      <c r="AD65" s="4" t="str">
        <f>IF(OR(M65="",Results!M12=""),"",IF(M65=Results!M12,1+IF(OR($O65=12,$P65=12,$Q65=12),1,0),0))</f>
        <v/>
      </c>
      <c r="AE65" s="4" t="str">
        <f>IF(OR(N65="",Results!N12=""),"",IF(N65=Results!N12,1+IF(OR($O65=13,$P65=13,$Q65=13),1,0),0))</f>
        <v/>
      </c>
      <c r="AF65" s="11">
        <f t="shared" si="2"/>
        <v>0</v>
      </c>
      <c r="AG65" s="4" t="str">
        <f>IF(OR($R65="",Results!O12=""),"",ABS($R65-Results!O12))</f>
        <v/>
      </c>
      <c r="AH65" s="12">
        <v>33</v>
      </c>
      <c r="AI65" s="13" t="str">
        <f>IF(OR(B65="",Results!B12=""),"",IF(AND(B65=Results!B12,Results!B12&lt;&gt;Games!$C$96),1,0))</f>
        <v/>
      </c>
      <c r="AJ65" s="13" t="str">
        <f>IF(OR(C65="",Results!C12=""),"",IF(AND(C65=Results!C12,Results!C12&lt;&gt;Games!$C$97),1,0))</f>
        <v/>
      </c>
      <c r="AK65" s="13" t="str">
        <f>IF(OR(D65="",Results!D12=""),"",IF(AND(D65=Results!D12,Results!D12&lt;&gt;Games!$C$98),1,0))</f>
        <v/>
      </c>
      <c r="AL65" s="13" t="str">
        <f>IF(OR(E65="",Results!E12=""),"",IF(AND(E65=Results!E12,Results!E12&lt;&gt;Games!$C$99),1,0))</f>
        <v/>
      </c>
      <c r="AM65" s="13" t="str">
        <f>IF(OR(F65="",Results!F12=""),"",IF(AND(F65=Results!F12,Results!F12&lt;&gt;Games!$C$100),1,0))</f>
        <v/>
      </c>
      <c r="AN65" s="13" t="str">
        <f>IF(OR(G65="",Results!G12=""),"",IF(AND(G65=Results!G12,Results!G12&lt;&gt;Games!$C$101),1,0))</f>
        <v/>
      </c>
      <c r="AO65" s="13" t="str">
        <f>IF(OR(H65="",Results!H12=""),"",IF(AND(H65=Results!H12,Results!H12&lt;&gt;Games!$C$102),1,0))</f>
        <v/>
      </c>
      <c r="AP65" s="13" t="str">
        <f>IF(OR(I65="",Results!I12=""),"",IF(AND(I65=Results!I12,Results!I12&lt;&gt;Games!$C$103),1,0))</f>
        <v/>
      </c>
      <c r="AQ65" s="13" t="str">
        <f>IF(OR(J65="",Results!J12=""),"",IF(AND(J65=Results!J12,Results!J12&lt;&gt;Games!$C$104),1,0))</f>
        <v/>
      </c>
      <c r="AR65" s="13" t="str">
        <f>IF(OR(K65="",Results!K12=""),"",IF(AND(K65=Results!K12,Results!K12&lt;&gt;Games!$C$105),1,0))</f>
        <v/>
      </c>
      <c r="AS65" s="13" t="str">
        <f>IF(OR(L65="",Results!L12=""),"",IF(AND(L65=Results!L12,Results!L12&lt;&gt;Games!$C$106),1,0))</f>
        <v/>
      </c>
      <c r="AT65" s="13" t="str">
        <f>IF(OR(M65="",Results!M12=""),"",IF(AND(M65=Results!M12,Results!M12&lt;&gt;Games!$C$107),1,0))</f>
        <v/>
      </c>
      <c r="AU65" s="13" t="str">
        <f>IF(OR(N65="",Results!N12=""),"",IF(AND(N65=Results!N12,Results!N12&lt;&gt;Games!$C$108),1,0))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9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900-000001000000}">
          <x14:formula1>
            <xm:f>Games!$C$96:$D$96</xm:f>
          </x14:formula1>
          <x14:formula2>
            <xm:f>0</xm:f>
          </x14:formula2>
          <xm:sqref>B6:B65</xm:sqref>
        </x14:dataValidation>
        <x14:dataValidation type="list" allowBlank="1" xr:uid="{00000000-0002-0000-0900-000002000000}">
          <x14:formula1>
            <xm:f>Games!$C$97:$D$97</xm:f>
          </x14:formula1>
          <x14:formula2>
            <xm:f>0</xm:f>
          </x14:formula2>
          <xm:sqref>C6:C65</xm:sqref>
        </x14:dataValidation>
        <x14:dataValidation type="list" allowBlank="1" xr:uid="{00000000-0002-0000-0900-000003000000}">
          <x14:formula1>
            <xm:f>Games!$C$98:$D$98</xm:f>
          </x14:formula1>
          <x14:formula2>
            <xm:f>0</xm:f>
          </x14:formula2>
          <xm:sqref>D6:D65</xm:sqref>
        </x14:dataValidation>
        <x14:dataValidation type="list" allowBlank="1" xr:uid="{00000000-0002-0000-0900-000004000000}">
          <x14:formula1>
            <xm:f>Games!$C$99:$D$99</xm:f>
          </x14:formula1>
          <x14:formula2>
            <xm:f>0</xm:f>
          </x14:formula2>
          <xm:sqref>E6:E65</xm:sqref>
        </x14:dataValidation>
        <x14:dataValidation type="list" allowBlank="1" xr:uid="{00000000-0002-0000-0900-000005000000}">
          <x14:formula1>
            <xm:f>Games!$C$100:$D$100</xm:f>
          </x14:formula1>
          <x14:formula2>
            <xm:f>0</xm:f>
          </x14:formula2>
          <xm:sqref>F6:F65</xm:sqref>
        </x14:dataValidation>
        <x14:dataValidation type="list" allowBlank="1" xr:uid="{00000000-0002-0000-0900-000006000000}">
          <x14:formula1>
            <xm:f>Games!$C$101:$D$101</xm:f>
          </x14:formula1>
          <x14:formula2>
            <xm:f>0</xm:f>
          </x14:formula2>
          <xm:sqref>G6:G65</xm:sqref>
        </x14:dataValidation>
        <x14:dataValidation type="list" allowBlank="1" xr:uid="{00000000-0002-0000-0900-000007000000}">
          <x14:formula1>
            <xm:f>Games!$C$102:$D$102</xm:f>
          </x14:formula1>
          <x14:formula2>
            <xm:f>0</xm:f>
          </x14:formula2>
          <xm:sqref>H6:H65</xm:sqref>
        </x14:dataValidation>
        <x14:dataValidation type="list" allowBlank="1" xr:uid="{00000000-0002-0000-0900-000008000000}">
          <x14:formula1>
            <xm:f>Games!$C$103:$D$103</xm:f>
          </x14:formula1>
          <x14:formula2>
            <xm:f>0</xm:f>
          </x14:formula2>
          <xm:sqref>I6:I65</xm:sqref>
        </x14:dataValidation>
        <x14:dataValidation type="list" allowBlank="1" xr:uid="{00000000-0002-0000-0900-000009000000}">
          <x14:formula1>
            <xm:f>Games!$C$104:$D$104</xm:f>
          </x14:formula1>
          <x14:formula2>
            <xm:f>0</xm:f>
          </x14:formula2>
          <xm:sqref>J6:J65</xm:sqref>
        </x14:dataValidation>
        <x14:dataValidation type="list" allowBlank="1" xr:uid="{00000000-0002-0000-0900-00000A000000}">
          <x14:formula1>
            <xm:f>Games!$C$105:$D$105</xm:f>
          </x14:formula1>
          <x14:formula2>
            <xm:f>0</xm:f>
          </x14:formula2>
          <xm:sqref>K6:K65</xm:sqref>
        </x14:dataValidation>
        <x14:dataValidation type="list" allowBlank="1" xr:uid="{00000000-0002-0000-0900-00000B000000}">
          <x14:formula1>
            <xm:f>Games!$C$106:$D$106</xm:f>
          </x14:formula1>
          <x14:formula2>
            <xm:f>0</xm:f>
          </x14:formula2>
          <xm:sqref>L6:L65</xm:sqref>
        </x14:dataValidation>
        <x14:dataValidation type="list" allowBlank="1" xr:uid="{00000000-0002-0000-0900-00000C000000}">
          <x14:formula1>
            <xm:f>Games!$C$107:$D$107</xm:f>
          </x14:formula1>
          <x14:formula2>
            <xm:f>0</xm:f>
          </x14:formula2>
          <xm:sqref>M6:M65</xm:sqref>
        </x14:dataValidation>
        <x14:dataValidation type="list" allowBlank="1" xr:uid="{00000000-0002-0000-0900-00000D000000}">
          <x14:formula1>
            <xm:f>Games!$C$108:$D$108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322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1&amp;CHAR(10)&amp;Games!C109&amp;" vs "&amp;Games!D109</f>
        <v xml:space="preserve">1
 vs </v>
      </c>
      <c r="C4" s="10" t="str">
        <f>2&amp;CHAR(10)&amp;Games!C110&amp;" vs "&amp;Games!D110</f>
        <v xml:space="preserve">2
 vs </v>
      </c>
      <c r="D4" s="10" t="str">
        <f>3&amp;CHAR(10)&amp;Games!C111&amp;" vs "&amp;Games!D111</f>
        <v xml:space="preserve">3
 vs </v>
      </c>
      <c r="E4" s="10" t="str">
        <f>4&amp;CHAR(10)&amp;Games!C112&amp;" vs "&amp;Games!D112</f>
        <v xml:space="preserve">4
 vs </v>
      </c>
      <c r="F4" s="10" t="str">
        <f>5&amp;CHAR(10)&amp;Games!C113&amp;" vs "&amp;Games!D113</f>
        <v xml:space="preserve">5
 vs </v>
      </c>
      <c r="G4" s="10" t="str">
        <f>6&amp;CHAR(10)&amp;Games!C114&amp;" vs "&amp;Games!D114</f>
        <v xml:space="preserve">6
 vs </v>
      </c>
      <c r="H4" s="10" t="str">
        <f>7&amp;CHAR(10)&amp;Games!C115&amp;" vs "&amp;Games!D115</f>
        <v xml:space="preserve">7
 vs </v>
      </c>
      <c r="I4" s="10" t="str">
        <f>8&amp;CHAR(10)&amp;Games!C116&amp;" vs "&amp;Games!D116</f>
        <v xml:space="preserve">8
 vs </v>
      </c>
      <c r="J4" s="10" t="str">
        <f>9&amp;CHAR(10)&amp;Games!C117&amp;" vs "&amp;Games!D117</f>
        <v xml:space="preserve">9
 vs </v>
      </c>
      <c r="K4" s="10" t="str">
        <f>10&amp;CHAR(10)&amp;Games!C118&amp;" vs "&amp;Games!D118</f>
        <v xml:space="preserve">10
 vs </v>
      </c>
      <c r="L4" s="10" t="str">
        <f>11&amp;CHAR(10)&amp;Games!C119&amp;" vs "&amp;Games!D119</f>
        <v xml:space="preserve">11
 vs </v>
      </c>
      <c r="M4" s="10" t="str">
        <f>12&amp;CHAR(10)&amp;Games!C120&amp;" vs "&amp;Games!D120</f>
        <v xml:space="preserve">12
 vs </v>
      </c>
      <c r="N4" s="10" t="str">
        <f>13&amp;CHAR(10)&amp;Games!C121&amp;" vs "&amp;Games!D121</f>
        <v xml:space="preserve">13
 vs 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 t="str">
        <f>IF(OR(B6="",Results!B13=""),"",IF(B6=Results!B13,1+IF(OR($O6=1,$P6=1,$Q6=1),1,0),0))</f>
        <v/>
      </c>
      <c r="T6" s="4" t="str">
        <f>IF(OR(C6="",Results!C13=""),"",IF(C6=Results!C13,1+IF(OR($O6=2,$P6=2,$Q6=2),1,0),0))</f>
        <v/>
      </c>
      <c r="U6" s="4" t="str">
        <f>IF(OR(D6="",Results!D13=""),"",IF(D6=Results!D13,1+IF(OR($O6=3,$P6=3,$Q6=3),1,0),0))</f>
        <v/>
      </c>
      <c r="V6" s="4" t="str">
        <f>IF(OR(E6="",Results!E13=""),"",IF(E6=Results!E13,1+IF(OR($O6=4,$P6=4,$Q6=4),1,0),0))</f>
        <v/>
      </c>
      <c r="W6" s="4" t="str">
        <f>IF(OR(F6="",Results!F13=""),"",IF(F6=Results!F13,1+IF(OR($O6=5,$P6=5,$Q6=5),1,0),0))</f>
        <v/>
      </c>
      <c r="X6" s="4" t="str">
        <f>IF(OR(G6="",Results!G13=""),"",IF(G6=Results!G13,1+IF(OR($O6=6,$P6=6,$Q6=6),1,0),0))</f>
        <v/>
      </c>
      <c r="Y6" s="4" t="str">
        <f>IF(OR(H6="",Results!H13=""),"",IF(H6=Results!H13,1+IF(OR($O6=7,$P6=7,$Q6=7),1,0),0))</f>
        <v/>
      </c>
      <c r="Z6" s="4" t="str">
        <f>IF(OR(I6="",Results!I13=""),"",IF(I6=Results!I13,1+IF(OR($O6=8,$P6=8,$Q6=8),1,0),0))</f>
        <v/>
      </c>
      <c r="AA6" s="4" t="str">
        <f>IF(OR(J6="",Results!J13=""),"",IF(J6=Results!J13,1+IF(OR($O6=9,$P6=9,$Q6=9),1,0),0))</f>
        <v/>
      </c>
      <c r="AB6" s="4" t="str">
        <f>IF(OR(K6="",Results!K13=""),"",IF(K6=Results!K13,1+IF(OR($O6=10,$P6=10,$Q6=10),1,0),0))</f>
        <v/>
      </c>
      <c r="AC6" s="4" t="str">
        <f>IF(OR(L6="",Results!L13=""),"",IF(L6=Results!L13,1+IF(OR($O6=11,$P6=11,$Q6=11),1,0),0))</f>
        <v/>
      </c>
      <c r="AD6" s="4" t="str">
        <f>IF(OR(M6="",Results!M13=""),"",IF(M6=Results!M13,1+IF(OR($O6=12,$P6=12,$Q6=12),1,0),0))</f>
        <v/>
      </c>
      <c r="AE6" s="4" t="str">
        <f>IF(OR(N6="",Results!N13=""),"",IF(N6=Results!N13,1+IF(OR($O6=13,$P6=13,$Q6=13),1,0),0))</f>
        <v/>
      </c>
      <c r="AF6" s="11">
        <f t="shared" ref="AF6:AF37" si="0">SUM(S6:AE6)</f>
        <v>0</v>
      </c>
      <c r="AG6" s="4" t="str">
        <f>IF(OR($R6="",Results!O13=""),"",ABS($R6-Results!O13))</f>
        <v/>
      </c>
      <c r="AH6" s="12">
        <v>2</v>
      </c>
      <c r="AI6" s="13" t="str">
        <f>IF(OR(B6="",Results!B13=""),"",IF(AND(B6=Results!B13,Results!B13&lt;&gt;Games!$C$109),1,0))</f>
        <v/>
      </c>
      <c r="AJ6" s="13" t="str">
        <f>IF(OR(C6="",Results!C13=""),"",IF(AND(C6=Results!C13,Results!C13&lt;&gt;Games!$C$110),1,0))</f>
        <v/>
      </c>
      <c r="AK6" s="13" t="str">
        <f>IF(OR(D6="",Results!D13=""),"",IF(AND(D6=Results!D13,Results!D13&lt;&gt;Games!$C$111),1,0))</f>
        <v/>
      </c>
      <c r="AL6" s="13" t="str">
        <f>IF(OR(E6="",Results!E13=""),"",IF(AND(E6=Results!E13,Results!E13&lt;&gt;Games!$C$112),1,0))</f>
        <v/>
      </c>
      <c r="AM6" s="13" t="str">
        <f>IF(OR(F6="",Results!F13=""),"",IF(AND(F6=Results!F13,Results!F13&lt;&gt;Games!$C$113),1,0))</f>
        <v/>
      </c>
      <c r="AN6" s="13" t="str">
        <f>IF(OR(G6="",Results!G13=""),"",IF(AND(G6=Results!G13,Results!G13&lt;&gt;Games!$C$114),1,0))</f>
        <v/>
      </c>
      <c r="AO6" s="13" t="str">
        <f>IF(OR(H6="",Results!H13=""),"",IF(AND(H6=Results!H13,Results!H13&lt;&gt;Games!$C$115),1,0))</f>
        <v/>
      </c>
      <c r="AP6" s="13" t="str">
        <f>IF(OR(I6="",Results!I13=""),"",IF(AND(I6=Results!I13,Results!I13&lt;&gt;Games!$C$116),1,0))</f>
        <v/>
      </c>
      <c r="AQ6" s="13" t="str">
        <f>IF(OR(J6="",Results!J13=""),"",IF(AND(J6=Results!J13,Results!J13&lt;&gt;Games!$C$117),1,0))</f>
        <v/>
      </c>
      <c r="AR6" s="13" t="str">
        <f>IF(OR(K6="",Results!K13=""),"",IF(AND(K6=Results!K13,Results!K13&lt;&gt;Games!$C$118),1,0))</f>
        <v/>
      </c>
      <c r="AS6" s="13" t="str">
        <f>IF(OR(L6="",Results!L13=""),"",IF(AND(L6=Results!L13,Results!L13&lt;&gt;Games!$C$119),1,0))</f>
        <v/>
      </c>
      <c r="AT6" s="13" t="str">
        <f>IF(OR(M6="",Results!M13=""),"",IF(AND(M6=Results!M13,Results!M13&lt;&gt;Games!$C$120),1,0))</f>
        <v/>
      </c>
      <c r="AU6" s="13" t="str">
        <f>IF(OR(N6="",Results!N13=""),"",IF(AND(N6=Results!N13,Results!N13&lt;&gt;Games!$C$121),1,0))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IF(OR(B7="",Results!B13=""),"",IF(B7=Results!B13,1+IF(OR($O7=1,$P7=1,$Q7=1),1,0),0))</f>
        <v/>
      </c>
      <c r="T7" s="4" t="str">
        <f>IF(OR(C7="",Results!C13=""),"",IF(C7=Results!C13,1+IF(OR($O7=2,$P7=2,$Q7=2),1,0),0))</f>
        <v/>
      </c>
      <c r="U7" s="4" t="str">
        <f>IF(OR(D7="",Results!D13=""),"",IF(D7=Results!D13,1+IF(OR($O7=3,$P7=3,$Q7=3),1,0),0))</f>
        <v/>
      </c>
      <c r="V7" s="4" t="str">
        <f>IF(OR(E7="",Results!E13=""),"",IF(E7=Results!E13,1+IF(OR($O7=4,$P7=4,$Q7=4),1,0),0))</f>
        <v/>
      </c>
      <c r="W7" s="4" t="str">
        <f>IF(OR(F7="",Results!F13=""),"",IF(F7=Results!F13,1+IF(OR($O7=5,$P7=5,$Q7=5),1,0),0))</f>
        <v/>
      </c>
      <c r="X7" s="4" t="str">
        <f>IF(OR(G7="",Results!G13=""),"",IF(G7=Results!G13,1+IF(OR($O7=6,$P7=6,$Q7=6),1,0),0))</f>
        <v/>
      </c>
      <c r="Y7" s="4" t="str">
        <f>IF(OR(H7="",Results!H13=""),"",IF(H7=Results!H13,1+IF(OR($O7=7,$P7=7,$Q7=7),1,0),0))</f>
        <v/>
      </c>
      <c r="Z7" s="4" t="str">
        <f>IF(OR(I7="",Results!I13=""),"",IF(I7=Results!I13,1+IF(OR($O7=8,$P7=8,$Q7=8),1,0),0))</f>
        <v/>
      </c>
      <c r="AA7" s="4" t="str">
        <f>IF(OR(J7="",Results!J13=""),"",IF(J7=Results!J13,1+IF(OR($O7=9,$P7=9,$Q7=9),1,0),0))</f>
        <v/>
      </c>
      <c r="AB7" s="4" t="str">
        <f>IF(OR(K7="",Results!K13=""),"",IF(K7=Results!K13,1+IF(OR($O7=10,$P7=10,$Q7=10),1,0),0))</f>
        <v/>
      </c>
      <c r="AC7" s="4" t="str">
        <f>IF(OR(L7="",Results!L13=""),"",IF(L7=Results!L13,1+IF(OR($O7=11,$P7=11,$Q7=11),1,0),0))</f>
        <v/>
      </c>
      <c r="AD7" s="4" t="str">
        <f>IF(OR(M7="",Results!M13=""),"",IF(M7=Results!M13,1+IF(OR($O7=12,$P7=12,$Q7=12),1,0),0))</f>
        <v/>
      </c>
      <c r="AE7" s="4" t="str">
        <f>IF(OR(N7="",Results!N13=""),"",IF(N7=Results!N13,1+IF(OR($O7=13,$P7=13,$Q7=13),1,0),0))</f>
        <v/>
      </c>
      <c r="AF7" s="11">
        <f t="shared" si="0"/>
        <v>0</v>
      </c>
      <c r="AG7" s="4" t="str">
        <f>IF(OR($R7="",Results!O13=""),"",ABS($R7-Results!O13))</f>
        <v/>
      </c>
      <c r="AH7" s="12">
        <v>53</v>
      </c>
      <c r="AI7" s="13" t="str">
        <f>IF(OR(B7="",Results!B13=""),"",IF(AND(B7=Results!B13,Results!B13&lt;&gt;Games!$C$109),1,0))</f>
        <v/>
      </c>
      <c r="AJ7" s="13" t="str">
        <f>IF(OR(C7="",Results!C13=""),"",IF(AND(C7=Results!C13,Results!C13&lt;&gt;Games!$C$110),1,0))</f>
        <v/>
      </c>
      <c r="AK7" s="13" t="str">
        <f>IF(OR(D7="",Results!D13=""),"",IF(AND(D7=Results!D13,Results!D13&lt;&gt;Games!$C$111),1,0))</f>
        <v/>
      </c>
      <c r="AL7" s="13" t="str">
        <f>IF(OR(E7="",Results!E13=""),"",IF(AND(E7=Results!E13,Results!E13&lt;&gt;Games!$C$112),1,0))</f>
        <v/>
      </c>
      <c r="AM7" s="13" t="str">
        <f>IF(OR(F7="",Results!F13=""),"",IF(AND(F7=Results!F13,Results!F13&lt;&gt;Games!$C$113),1,0))</f>
        <v/>
      </c>
      <c r="AN7" s="13" t="str">
        <f>IF(OR(G7="",Results!G13=""),"",IF(AND(G7=Results!G13,Results!G13&lt;&gt;Games!$C$114),1,0))</f>
        <v/>
      </c>
      <c r="AO7" s="13" t="str">
        <f>IF(OR(H7="",Results!H13=""),"",IF(AND(H7=Results!H13,Results!H13&lt;&gt;Games!$C$115),1,0))</f>
        <v/>
      </c>
      <c r="AP7" s="13" t="str">
        <f>IF(OR(I7="",Results!I13=""),"",IF(AND(I7=Results!I13,Results!I13&lt;&gt;Games!$C$116),1,0))</f>
        <v/>
      </c>
      <c r="AQ7" s="13" t="str">
        <f>IF(OR(J7="",Results!J13=""),"",IF(AND(J7=Results!J13,Results!J13&lt;&gt;Games!$C$117),1,0))</f>
        <v/>
      </c>
      <c r="AR7" s="13" t="str">
        <f>IF(OR(K7="",Results!K13=""),"",IF(AND(K7=Results!K13,Results!K13&lt;&gt;Games!$C$118),1,0))</f>
        <v/>
      </c>
      <c r="AS7" s="13" t="str">
        <f>IF(OR(L7="",Results!L13=""),"",IF(AND(L7=Results!L13,Results!L13&lt;&gt;Games!$C$119),1,0))</f>
        <v/>
      </c>
      <c r="AT7" s="13" t="str">
        <f>IF(OR(M7="",Results!M13=""),"",IF(AND(M7=Results!M13,Results!M13&lt;&gt;Games!$C$120),1,0))</f>
        <v/>
      </c>
      <c r="AU7" s="13" t="str">
        <f>IF(OR(N7="",Results!N13=""),"",IF(AND(N7=Results!N13,Results!N13&lt;&gt;Games!$C$121),1,0))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" t="str">
        <f>IF(OR(B8="",Results!B13=""),"",IF(B8=Results!B13,1+IF(OR($O8=1,$P8=1,$Q8=1),1,0),0))</f>
        <v/>
      </c>
      <c r="T8" s="4" t="str">
        <f>IF(OR(C8="",Results!C13=""),"",IF(C8=Results!C13,1+IF(OR($O8=2,$P8=2,$Q8=2),1,0),0))</f>
        <v/>
      </c>
      <c r="U8" s="4" t="str">
        <f>IF(OR(D8="",Results!D13=""),"",IF(D8=Results!D13,1+IF(OR($O8=3,$P8=3,$Q8=3),1,0),0))</f>
        <v/>
      </c>
      <c r="V8" s="4" t="str">
        <f>IF(OR(E8="",Results!E13=""),"",IF(E8=Results!E13,1+IF(OR($O8=4,$P8=4,$Q8=4),1,0),0))</f>
        <v/>
      </c>
      <c r="W8" s="4" t="str">
        <f>IF(OR(F8="",Results!F13=""),"",IF(F8=Results!F13,1+IF(OR($O8=5,$P8=5,$Q8=5),1,0),0))</f>
        <v/>
      </c>
      <c r="X8" s="4" t="str">
        <f>IF(OR(G8="",Results!G13=""),"",IF(G8=Results!G13,1+IF(OR($O8=6,$P8=6,$Q8=6),1,0),0))</f>
        <v/>
      </c>
      <c r="Y8" s="4" t="str">
        <f>IF(OR(H8="",Results!H13=""),"",IF(H8=Results!H13,1+IF(OR($O8=7,$P8=7,$Q8=7),1,0),0))</f>
        <v/>
      </c>
      <c r="Z8" s="4" t="str">
        <f>IF(OR(I8="",Results!I13=""),"",IF(I8=Results!I13,1+IF(OR($O8=8,$P8=8,$Q8=8),1,0),0))</f>
        <v/>
      </c>
      <c r="AA8" s="4" t="str">
        <f>IF(OR(J8="",Results!J13=""),"",IF(J8=Results!J13,1+IF(OR($O8=9,$P8=9,$Q8=9),1,0),0))</f>
        <v/>
      </c>
      <c r="AB8" s="4" t="str">
        <f>IF(OR(K8="",Results!K13=""),"",IF(K8=Results!K13,1+IF(OR($O8=10,$P8=10,$Q8=10),1,0),0))</f>
        <v/>
      </c>
      <c r="AC8" s="4" t="str">
        <f>IF(OR(L8="",Results!L13=""),"",IF(L8=Results!L13,1+IF(OR($O8=11,$P8=11,$Q8=11),1,0),0))</f>
        <v/>
      </c>
      <c r="AD8" s="4" t="str">
        <f>IF(OR(M8="",Results!M13=""),"",IF(M8=Results!M13,1+IF(OR($O8=12,$P8=12,$Q8=12),1,0),0))</f>
        <v/>
      </c>
      <c r="AE8" s="4" t="str">
        <f>IF(OR(N8="",Results!N13=""),"",IF(N8=Results!N13,1+IF(OR($O8=13,$P8=13,$Q8=13),1,0),0))</f>
        <v/>
      </c>
      <c r="AF8" s="11">
        <f t="shared" si="0"/>
        <v>0</v>
      </c>
      <c r="AG8" s="4" t="str">
        <f>IF(OR($R8="",Results!O13=""),"",ABS($R8-Results!O13))</f>
        <v/>
      </c>
      <c r="AH8" s="12">
        <v>61</v>
      </c>
      <c r="AI8" s="13" t="str">
        <f>IF(OR(B8="",Results!B13=""),"",IF(AND(B8=Results!B13,Results!B13&lt;&gt;Games!$C$109),1,0))</f>
        <v/>
      </c>
      <c r="AJ8" s="13" t="str">
        <f>IF(OR(C8="",Results!C13=""),"",IF(AND(C8=Results!C13,Results!C13&lt;&gt;Games!$C$110),1,0))</f>
        <v/>
      </c>
      <c r="AK8" s="13" t="str">
        <f>IF(OR(D8="",Results!D13=""),"",IF(AND(D8=Results!D13,Results!D13&lt;&gt;Games!$C$111),1,0))</f>
        <v/>
      </c>
      <c r="AL8" s="13" t="str">
        <f>IF(OR(E8="",Results!E13=""),"",IF(AND(E8=Results!E13,Results!E13&lt;&gt;Games!$C$112),1,0))</f>
        <v/>
      </c>
      <c r="AM8" s="13" t="str">
        <f>IF(OR(F8="",Results!F13=""),"",IF(AND(F8=Results!F13,Results!F13&lt;&gt;Games!$C$113),1,0))</f>
        <v/>
      </c>
      <c r="AN8" s="13" t="str">
        <f>IF(OR(G8="",Results!G13=""),"",IF(AND(G8=Results!G13,Results!G13&lt;&gt;Games!$C$114),1,0))</f>
        <v/>
      </c>
      <c r="AO8" s="13" t="str">
        <f>IF(OR(H8="",Results!H13=""),"",IF(AND(H8=Results!H13,Results!H13&lt;&gt;Games!$C$115),1,0))</f>
        <v/>
      </c>
      <c r="AP8" s="13" t="str">
        <f>IF(OR(I8="",Results!I13=""),"",IF(AND(I8=Results!I13,Results!I13&lt;&gt;Games!$C$116),1,0))</f>
        <v/>
      </c>
      <c r="AQ8" s="13" t="str">
        <f>IF(OR(J8="",Results!J13=""),"",IF(AND(J8=Results!J13,Results!J13&lt;&gt;Games!$C$117),1,0))</f>
        <v/>
      </c>
      <c r="AR8" s="13" t="str">
        <f>IF(OR(K8="",Results!K13=""),"",IF(AND(K8=Results!K13,Results!K13&lt;&gt;Games!$C$118),1,0))</f>
        <v/>
      </c>
      <c r="AS8" s="13" t="str">
        <f>IF(OR(L8="",Results!L13=""),"",IF(AND(L8=Results!L13,Results!L13&lt;&gt;Games!$C$119),1,0))</f>
        <v/>
      </c>
      <c r="AT8" s="13" t="str">
        <f>IF(OR(M8="",Results!M13=""),"",IF(AND(M8=Results!M13,Results!M13&lt;&gt;Games!$C$120),1,0))</f>
        <v/>
      </c>
      <c r="AU8" s="13" t="str">
        <f>IF(OR(N8="",Results!N13=""),"",IF(AND(N8=Results!N13,Results!N13&lt;&gt;Games!$C$121),1,0))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IF(OR(B9="",Results!B13=""),"",IF(B9=Results!B13,1+IF(OR($O9=1,$P9=1,$Q9=1),1,0),0))</f>
        <v/>
      </c>
      <c r="T9" s="4" t="str">
        <f>IF(OR(C9="",Results!C13=""),"",IF(C9=Results!C13,1+IF(OR($O9=2,$P9=2,$Q9=2),1,0),0))</f>
        <v/>
      </c>
      <c r="U9" s="4" t="str">
        <f>IF(OR(D9="",Results!D13=""),"",IF(D9=Results!D13,1+IF(OR($O9=3,$P9=3,$Q9=3),1,0),0))</f>
        <v/>
      </c>
      <c r="V9" s="4" t="str">
        <f>IF(OR(E9="",Results!E13=""),"",IF(E9=Results!E13,1+IF(OR($O9=4,$P9=4,$Q9=4),1,0),0))</f>
        <v/>
      </c>
      <c r="W9" s="4" t="str">
        <f>IF(OR(F9="",Results!F13=""),"",IF(F9=Results!F13,1+IF(OR($O9=5,$P9=5,$Q9=5),1,0),0))</f>
        <v/>
      </c>
      <c r="X9" s="4" t="str">
        <f>IF(OR(G9="",Results!G13=""),"",IF(G9=Results!G13,1+IF(OR($O9=6,$P9=6,$Q9=6),1,0),0))</f>
        <v/>
      </c>
      <c r="Y9" s="4" t="str">
        <f>IF(OR(H9="",Results!H13=""),"",IF(H9=Results!H13,1+IF(OR($O9=7,$P9=7,$Q9=7),1,0),0))</f>
        <v/>
      </c>
      <c r="Z9" s="4" t="str">
        <f>IF(OR(I9="",Results!I13=""),"",IF(I9=Results!I13,1+IF(OR($O9=8,$P9=8,$Q9=8),1,0),0))</f>
        <v/>
      </c>
      <c r="AA9" s="4" t="str">
        <f>IF(OR(J9="",Results!J13=""),"",IF(J9=Results!J13,1+IF(OR($O9=9,$P9=9,$Q9=9),1,0),0))</f>
        <v/>
      </c>
      <c r="AB9" s="4" t="str">
        <f>IF(OR(K9="",Results!K13=""),"",IF(K9=Results!K13,1+IF(OR($O9=10,$P9=10,$Q9=10),1,0),0))</f>
        <v/>
      </c>
      <c r="AC9" s="4" t="str">
        <f>IF(OR(L9="",Results!L13=""),"",IF(L9=Results!L13,1+IF(OR($O9=11,$P9=11,$Q9=11),1,0),0))</f>
        <v/>
      </c>
      <c r="AD9" s="4" t="str">
        <f>IF(OR(M9="",Results!M13=""),"",IF(M9=Results!M13,1+IF(OR($O9=12,$P9=12,$Q9=12),1,0),0))</f>
        <v/>
      </c>
      <c r="AE9" s="4" t="str">
        <f>IF(OR(N9="",Results!N13=""),"",IF(N9=Results!N13,1+IF(OR($O9=13,$P9=13,$Q9=13),1,0),0))</f>
        <v/>
      </c>
      <c r="AF9" s="11">
        <f t="shared" si="0"/>
        <v>0</v>
      </c>
      <c r="AG9" s="4" t="str">
        <f>IF(OR($R9="",Results!O13=""),"",ABS($R9-Results!O13))</f>
        <v/>
      </c>
      <c r="AH9" s="12">
        <v>41</v>
      </c>
      <c r="AI9" s="13" t="str">
        <f>IF(OR(B9="",Results!B13=""),"",IF(AND(B9=Results!B13,Results!B13&lt;&gt;Games!$C$109),1,0))</f>
        <v/>
      </c>
      <c r="AJ9" s="13" t="str">
        <f>IF(OR(C9="",Results!C13=""),"",IF(AND(C9=Results!C13,Results!C13&lt;&gt;Games!$C$110),1,0))</f>
        <v/>
      </c>
      <c r="AK9" s="13" t="str">
        <f>IF(OR(D9="",Results!D13=""),"",IF(AND(D9=Results!D13,Results!D13&lt;&gt;Games!$C$111),1,0))</f>
        <v/>
      </c>
      <c r="AL9" s="13" t="str">
        <f>IF(OR(E9="",Results!E13=""),"",IF(AND(E9=Results!E13,Results!E13&lt;&gt;Games!$C$112),1,0))</f>
        <v/>
      </c>
      <c r="AM9" s="13" t="str">
        <f>IF(OR(F9="",Results!F13=""),"",IF(AND(F9=Results!F13,Results!F13&lt;&gt;Games!$C$113),1,0))</f>
        <v/>
      </c>
      <c r="AN9" s="13" t="str">
        <f>IF(OR(G9="",Results!G13=""),"",IF(AND(G9=Results!G13,Results!G13&lt;&gt;Games!$C$114),1,0))</f>
        <v/>
      </c>
      <c r="AO9" s="13" t="str">
        <f>IF(OR(H9="",Results!H13=""),"",IF(AND(H9=Results!H13,Results!H13&lt;&gt;Games!$C$115),1,0))</f>
        <v/>
      </c>
      <c r="AP9" s="13" t="str">
        <f>IF(OR(I9="",Results!I13=""),"",IF(AND(I9=Results!I13,Results!I13&lt;&gt;Games!$C$116),1,0))</f>
        <v/>
      </c>
      <c r="AQ9" s="13" t="str">
        <f>IF(OR(J9="",Results!J13=""),"",IF(AND(J9=Results!J13,Results!J13&lt;&gt;Games!$C$117),1,0))</f>
        <v/>
      </c>
      <c r="AR9" s="13" t="str">
        <f>IF(OR(K9="",Results!K13=""),"",IF(AND(K9=Results!K13,Results!K13&lt;&gt;Games!$C$118),1,0))</f>
        <v/>
      </c>
      <c r="AS9" s="13" t="str">
        <f>IF(OR(L9="",Results!L13=""),"",IF(AND(L9=Results!L13,Results!L13&lt;&gt;Games!$C$119),1,0))</f>
        <v/>
      </c>
      <c r="AT9" s="13" t="str">
        <f>IF(OR(M9="",Results!M13=""),"",IF(AND(M9=Results!M13,Results!M13&lt;&gt;Games!$C$120),1,0))</f>
        <v/>
      </c>
      <c r="AU9" s="13" t="str">
        <f>IF(OR(N9="",Results!N13=""),"",IF(AND(N9=Results!N13,Results!N13&lt;&gt;Games!$C$121),1,0))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tr">
        <f>IF(OR(B10="",Results!B13=""),"",IF(B10=Results!B13,1+IF(OR($O10=1,$P10=1,$Q10=1),1,0),0))</f>
        <v/>
      </c>
      <c r="T10" s="4" t="str">
        <f>IF(OR(C10="",Results!C13=""),"",IF(C10=Results!C13,1+IF(OR($O10=2,$P10=2,$Q10=2),1,0),0))</f>
        <v/>
      </c>
      <c r="U10" s="4" t="str">
        <f>IF(OR(D10="",Results!D13=""),"",IF(D10=Results!D13,1+IF(OR($O10=3,$P10=3,$Q10=3),1,0),0))</f>
        <v/>
      </c>
      <c r="V10" s="4" t="str">
        <f>IF(OR(E10="",Results!E13=""),"",IF(E10=Results!E13,1+IF(OR($O10=4,$P10=4,$Q10=4),1,0),0))</f>
        <v/>
      </c>
      <c r="W10" s="4" t="str">
        <f>IF(OR(F10="",Results!F13=""),"",IF(F10=Results!F13,1+IF(OR($O10=5,$P10=5,$Q10=5),1,0),0))</f>
        <v/>
      </c>
      <c r="X10" s="4" t="str">
        <f>IF(OR(G10="",Results!G13=""),"",IF(G10=Results!G13,1+IF(OR($O10=6,$P10=6,$Q10=6),1,0),0))</f>
        <v/>
      </c>
      <c r="Y10" s="4" t="str">
        <f>IF(OR(H10="",Results!H13=""),"",IF(H10=Results!H13,1+IF(OR($O10=7,$P10=7,$Q10=7),1,0),0))</f>
        <v/>
      </c>
      <c r="Z10" s="4" t="str">
        <f>IF(OR(I10="",Results!I13=""),"",IF(I10=Results!I13,1+IF(OR($O10=8,$P10=8,$Q10=8),1,0),0))</f>
        <v/>
      </c>
      <c r="AA10" s="4" t="str">
        <f>IF(OR(J10="",Results!J13=""),"",IF(J10=Results!J13,1+IF(OR($O10=9,$P10=9,$Q10=9),1,0),0))</f>
        <v/>
      </c>
      <c r="AB10" s="4" t="str">
        <f>IF(OR(K10="",Results!K13=""),"",IF(K10=Results!K13,1+IF(OR($O10=10,$P10=10,$Q10=10),1,0),0))</f>
        <v/>
      </c>
      <c r="AC10" s="4" t="str">
        <f>IF(OR(L10="",Results!L13=""),"",IF(L10=Results!L13,1+IF(OR($O10=11,$P10=11,$Q10=11),1,0),0))</f>
        <v/>
      </c>
      <c r="AD10" s="4" t="str">
        <f>IF(OR(M10="",Results!M13=""),"",IF(M10=Results!M13,1+IF(OR($O10=12,$P10=12,$Q10=12),1,0),0))</f>
        <v/>
      </c>
      <c r="AE10" s="4" t="str">
        <f>IF(OR(N10="",Results!N13=""),"",IF(N10=Results!N13,1+IF(OR($O10=13,$P10=13,$Q10=13),1,0),0))</f>
        <v/>
      </c>
      <c r="AF10" s="11">
        <f t="shared" si="0"/>
        <v>0</v>
      </c>
      <c r="AG10" s="4" t="str">
        <f>IF(OR($R10="",Results!O13=""),"",ABS($R10-Results!O13))</f>
        <v/>
      </c>
      <c r="AH10" s="12">
        <v>3</v>
      </c>
      <c r="AI10" s="13" t="str">
        <f>IF(OR(B10="",Results!B13=""),"",IF(AND(B10=Results!B13,Results!B13&lt;&gt;Games!$C$109),1,0))</f>
        <v/>
      </c>
      <c r="AJ10" s="13" t="str">
        <f>IF(OR(C10="",Results!C13=""),"",IF(AND(C10=Results!C13,Results!C13&lt;&gt;Games!$C$110),1,0))</f>
        <v/>
      </c>
      <c r="AK10" s="13" t="str">
        <f>IF(OR(D10="",Results!D13=""),"",IF(AND(D10=Results!D13,Results!D13&lt;&gt;Games!$C$111),1,0))</f>
        <v/>
      </c>
      <c r="AL10" s="13" t="str">
        <f>IF(OR(E10="",Results!E13=""),"",IF(AND(E10=Results!E13,Results!E13&lt;&gt;Games!$C$112),1,0))</f>
        <v/>
      </c>
      <c r="AM10" s="13" t="str">
        <f>IF(OR(F10="",Results!F13=""),"",IF(AND(F10=Results!F13,Results!F13&lt;&gt;Games!$C$113),1,0))</f>
        <v/>
      </c>
      <c r="AN10" s="13" t="str">
        <f>IF(OR(G10="",Results!G13=""),"",IF(AND(G10=Results!G13,Results!G13&lt;&gt;Games!$C$114),1,0))</f>
        <v/>
      </c>
      <c r="AO10" s="13" t="str">
        <f>IF(OR(H10="",Results!H13=""),"",IF(AND(H10=Results!H13,Results!H13&lt;&gt;Games!$C$115),1,0))</f>
        <v/>
      </c>
      <c r="AP10" s="13" t="str">
        <f>IF(OR(I10="",Results!I13=""),"",IF(AND(I10=Results!I13,Results!I13&lt;&gt;Games!$C$116),1,0))</f>
        <v/>
      </c>
      <c r="AQ10" s="13" t="str">
        <f>IF(OR(J10="",Results!J13=""),"",IF(AND(J10=Results!J13,Results!J13&lt;&gt;Games!$C$117),1,0))</f>
        <v/>
      </c>
      <c r="AR10" s="13" t="str">
        <f>IF(OR(K10="",Results!K13=""),"",IF(AND(K10=Results!K13,Results!K13&lt;&gt;Games!$C$118),1,0))</f>
        <v/>
      </c>
      <c r="AS10" s="13" t="str">
        <f>IF(OR(L10="",Results!L13=""),"",IF(AND(L10=Results!L13,Results!L13&lt;&gt;Games!$C$119),1,0))</f>
        <v/>
      </c>
      <c r="AT10" s="13" t="str">
        <f>IF(OR(M10="",Results!M13=""),"",IF(AND(M10=Results!M13,Results!M13&lt;&gt;Games!$C$120),1,0))</f>
        <v/>
      </c>
      <c r="AU10" s="13" t="str">
        <f>IF(OR(N10="",Results!N13=""),"",IF(AND(N10=Results!N13,Results!N13&lt;&gt;Games!$C$121),1,0))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IF(OR(B11="",Results!B13=""),"",IF(B11=Results!B13,1+IF(OR($O11=1,$P11=1,$Q11=1),1,0),0))</f>
        <v/>
      </c>
      <c r="T11" s="4" t="str">
        <f>IF(OR(C11="",Results!C13=""),"",IF(C11=Results!C13,1+IF(OR($O11=2,$P11=2,$Q11=2),1,0),0))</f>
        <v/>
      </c>
      <c r="U11" s="4" t="str">
        <f>IF(OR(D11="",Results!D13=""),"",IF(D11=Results!D13,1+IF(OR($O11=3,$P11=3,$Q11=3),1,0),0))</f>
        <v/>
      </c>
      <c r="V11" s="4" t="str">
        <f>IF(OR(E11="",Results!E13=""),"",IF(E11=Results!E13,1+IF(OR($O11=4,$P11=4,$Q11=4),1,0),0))</f>
        <v/>
      </c>
      <c r="W11" s="4" t="str">
        <f>IF(OR(F11="",Results!F13=""),"",IF(F11=Results!F13,1+IF(OR($O11=5,$P11=5,$Q11=5),1,0),0))</f>
        <v/>
      </c>
      <c r="X11" s="4" t="str">
        <f>IF(OR(G11="",Results!G13=""),"",IF(G11=Results!G13,1+IF(OR($O11=6,$P11=6,$Q11=6),1,0),0))</f>
        <v/>
      </c>
      <c r="Y11" s="4" t="str">
        <f>IF(OR(H11="",Results!H13=""),"",IF(H11=Results!H13,1+IF(OR($O11=7,$P11=7,$Q11=7),1,0),0))</f>
        <v/>
      </c>
      <c r="Z11" s="4" t="str">
        <f>IF(OR(I11="",Results!I13=""),"",IF(I11=Results!I13,1+IF(OR($O11=8,$P11=8,$Q11=8),1,0),0))</f>
        <v/>
      </c>
      <c r="AA11" s="4" t="str">
        <f>IF(OR(J11="",Results!J13=""),"",IF(J11=Results!J13,1+IF(OR($O11=9,$P11=9,$Q11=9),1,0),0))</f>
        <v/>
      </c>
      <c r="AB11" s="4" t="str">
        <f>IF(OR(K11="",Results!K13=""),"",IF(K11=Results!K13,1+IF(OR($O11=10,$P11=10,$Q11=10),1,0),0))</f>
        <v/>
      </c>
      <c r="AC11" s="4" t="str">
        <f>IF(OR(L11="",Results!L13=""),"",IF(L11=Results!L13,1+IF(OR($O11=11,$P11=11,$Q11=11),1,0),0))</f>
        <v/>
      </c>
      <c r="AD11" s="4" t="str">
        <f>IF(OR(M11="",Results!M13=""),"",IF(M11=Results!M13,1+IF(OR($O11=12,$P11=12,$Q11=12),1,0),0))</f>
        <v/>
      </c>
      <c r="AE11" s="4" t="str">
        <f>IF(OR(N11="",Results!N13=""),"",IF(N11=Results!N13,1+IF(OR($O11=13,$P11=13,$Q11=13),1,0),0))</f>
        <v/>
      </c>
      <c r="AF11" s="11">
        <f t="shared" si="0"/>
        <v>0</v>
      </c>
      <c r="AG11" s="4" t="str">
        <f>IF(OR($R11="",Results!O13=""),"",ABS($R11-Results!O13))</f>
        <v/>
      </c>
      <c r="AH11" s="12">
        <v>58</v>
      </c>
      <c r="AI11" s="13" t="str">
        <f>IF(OR(B11="",Results!B13=""),"",IF(AND(B11=Results!B13,Results!B13&lt;&gt;Games!$C$109),1,0))</f>
        <v/>
      </c>
      <c r="AJ11" s="13" t="str">
        <f>IF(OR(C11="",Results!C13=""),"",IF(AND(C11=Results!C13,Results!C13&lt;&gt;Games!$C$110),1,0))</f>
        <v/>
      </c>
      <c r="AK11" s="13" t="str">
        <f>IF(OR(D11="",Results!D13=""),"",IF(AND(D11=Results!D13,Results!D13&lt;&gt;Games!$C$111),1,0))</f>
        <v/>
      </c>
      <c r="AL11" s="13" t="str">
        <f>IF(OR(E11="",Results!E13=""),"",IF(AND(E11=Results!E13,Results!E13&lt;&gt;Games!$C$112),1,0))</f>
        <v/>
      </c>
      <c r="AM11" s="13" t="str">
        <f>IF(OR(F11="",Results!F13=""),"",IF(AND(F11=Results!F13,Results!F13&lt;&gt;Games!$C$113),1,0))</f>
        <v/>
      </c>
      <c r="AN11" s="13" t="str">
        <f>IF(OR(G11="",Results!G13=""),"",IF(AND(G11=Results!G13,Results!G13&lt;&gt;Games!$C$114),1,0))</f>
        <v/>
      </c>
      <c r="AO11" s="13" t="str">
        <f>IF(OR(H11="",Results!H13=""),"",IF(AND(H11=Results!H13,Results!H13&lt;&gt;Games!$C$115),1,0))</f>
        <v/>
      </c>
      <c r="AP11" s="13" t="str">
        <f>IF(OR(I11="",Results!I13=""),"",IF(AND(I11=Results!I13,Results!I13&lt;&gt;Games!$C$116),1,0))</f>
        <v/>
      </c>
      <c r="AQ11" s="13" t="str">
        <f>IF(OR(J11="",Results!J13=""),"",IF(AND(J11=Results!J13,Results!J13&lt;&gt;Games!$C$117),1,0))</f>
        <v/>
      </c>
      <c r="AR11" s="13" t="str">
        <f>IF(OR(K11="",Results!K13=""),"",IF(AND(K11=Results!K13,Results!K13&lt;&gt;Games!$C$118),1,0))</f>
        <v/>
      </c>
      <c r="AS11" s="13" t="str">
        <f>IF(OR(L11="",Results!L13=""),"",IF(AND(L11=Results!L13,Results!L13&lt;&gt;Games!$C$119),1,0))</f>
        <v/>
      </c>
      <c r="AT11" s="13" t="str">
        <f>IF(OR(M11="",Results!M13=""),"",IF(AND(M11=Results!M13,Results!M13&lt;&gt;Games!$C$120),1,0))</f>
        <v/>
      </c>
      <c r="AU11" s="13" t="str">
        <f>IF(OR(N11="",Results!N13=""),"",IF(AND(N11=Results!N13,Results!N13&lt;&gt;Games!$C$121),1,0))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 t="str">
        <f>IF(OR(B12="",Results!B13=""),"",IF(B12=Results!B13,1+IF(OR($O12=1,$P12=1,$Q12=1),1,0),0))</f>
        <v/>
      </c>
      <c r="T12" s="4" t="str">
        <f>IF(OR(C12="",Results!C13=""),"",IF(C12=Results!C13,1+IF(OR($O12=2,$P12=2,$Q12=2),1,0),0))</f>
        <v/>
      </c>
      <c r="U12" s="4" t="str">
        <f>IF(OR(D12="",Results!D13=""),"",IF(D12=Results!D13,1+IF(OR($O12=3,$P12=3,$Q12=3),1,0),0))</f>
        <v/>
      </c>
      <c r="V12" s="4" t="str">
        <f>IF(OR(E12="",Results!E13=""),"",IF(E12=Results!E13,1+IF(OR($O12=4,$P12=4,$Q12=4),1,0),0))</f>
        <v/>
      </c>
      <c r="W12" s="4" t="str">
        <f>IF(OR(F12="",Results!F13=""),"",IF(F12=Results!F13,1+IF(OR($O12=5,$P12=5,$Q12=5),1,0),0))</f>
        <v/>
      </c>
      <c r="X12" s="4" t="str">
        <f>IF(OR(G12="",Results!G13=""),"",IF(G12=Results!G13,1+IF(OR($O12=6,$P12=6,$Q12=6),1,0),0))</f>
        <v/>
      </c>
      <c r="Y12" s="4" t="str">
        <f>IF(OR(H12="",Results!H13=""),"",IF(H12=Results!H13,1+IF(OR($O12=7,$P12=7,$Q12=7),1,0),0))</f>
        <v/>
      </c>
      <c r="Z12" s="4" t="str">
        <f>IF(OR(I12="",Results!I13=""),"",IF(I12=Results!I13,1+IF(OR($O12=8,$P12=8,$Q12=8),1,0),0))</f>
        <v/>
      </c>
      <c r="AA12" s="4" t="str">
        <f>IF(OR(J12="",Results!J13=""),"",IF(J12=Results!J13,1+IF(OR($O12=9,$P12=9,$Q12=9),1,0),0))</f>
        <v/>
      </c>
      <c r="AB12" s="4" t="str">
        <f>IF(OR(K12="",Results!K13=""),"",IF(K12=Results!K13,1+IF(OR($O12=10,$P12=10,$Q12=10),1,0),0))</f>
        <v/>
      </c>
      <c r="AC12" s="4" t="str">
        <f>IF(OR(L12="",Results!L13=""),"",IF(L12=Results!L13,1+IF(OR($O12=11,$P12=11,$Q12=11),1,0),0))</f>
        <v/>
      </c>
      <c r="AD12" s="4" t="str">
        <f>IF(OR(M12="",Results!M13=""),"",IF(M12=Results!M13,1+IF(OR($O12=12,$P12=12,$Q12=12),1,0),0))</f>
        <v/>
      </c>
      <c r="AE12" s="4" t="str">
        <f>IF(OR(N12="",Results!N13=""),"",IF(N12=Results!N13,1+IF(OR($O12=13,$P12=13,$Q12=13),1,0),0))</f>
        <v/>
      </c>
      <c r="AF12" s="11">
        <f t="shared" si="0"/>
        <v>0</v>
      </c>
      <c r="AG12" s="4" t="str">
        <f>IF(OR($R12="",Results!O13=""),"",ABS($R12-Results!O13))</f>
        <v/>
      </c>
      <c r="AH12" s="12">
        <v>4</v>
      </c>
      <c r="AI12" s="13" t="str">
        <f>IF(OR(B12="",Results!B13=""),"",IF(AND(B12=Results!B13,Results!B13&lt;&gt;Games!$C$109),1,0))</f>
        <v/>
      </c>
      <c r="AJ12" s="13" t="str">
        <f>IF(OR(C12="",Results!C13=""),"",IF(AND(C12=Results!C13,Results!C13&lt;&gt;Games!$C$110),1,0))</f>
        <v/>
      </c>
      <c r="AK12" s="13" t="str">
        <f>IF(OR(D12="",Results!D13=""),"",IF(AND(D12=Results!D13,Results!D13&lt;&gt;Games!$C$111),1,0))</f>
        <v/>
      </c>
      <c r="AL12" s="13" t="str">
        <f>IF(OR(E12="",Results!E13=""),"",IF(AND(E12=Results!E13,Results!E13&lt;&gt;Games!$C$112),1,0))</f>
        <v/>
      </c>
      <c r="AM12" s="13" t="str">
        <f>IF(OR(F12="",Results!F13=""),"",IF(AND(F12=Results!F13,Results!F13&lt;&gt;Games!$C$113),1,0))</f>
        <v/>
      </c>
      <c r="AN12" s="13" t="str">
        <f>IF(OR(G12="",Results!G13=""),"",IF(AND(G12=Results!G13,Results!G13&lt;&gt;Games!$C$114),1,0))</f>
        <v/>
      </c>
      <c r="AO12" s="13" t="str">
        <f>IF(OR(H12="",Results!H13=""),"",IF(AND(H12=Results!H13,Results!H13&lt;&gt;Games!$C$115),1,0))</f>
        <v/>
      </c>
      <c r="AP12" s="13" t="str">
        <f>IF(OR(I12="",Results!I13=""),"",IF(AND(I12=Results!I13,Results!I13&lt;&gt;Games!$C$116),1,0))</f>
        <v/>
      </c>
      <c r="AQ12" s="13" t="str">
        <f>IF(OR(J12="",Results!J13=""),"",IF(AND(J12=Results!J13,Results!J13&lt;&gt;Games!$C$117),1,0))</f>
        <v/>
      </c>
      <c r="AR12" s="13" t="str">
        <f>IF(OR(K12="",Results!K13=""),"",IF(AND(K12=Results!K13,Results!K13&lt;&gt;Games!$C$118),1,0))</f>
        <v/>
      </c>
      <c r="AS12" s="13" t="str">
        <f>IF(OR(L12="",Results!L13=""),"",IF(AND(L12=Results!L13,Results!L13&lt;&gt;Games!$C$119),1,0))</f>
        <v/>
      </c>
      <c r="AT12" s="13" t="str">
        <f>IF(OR(M12="",Results!M13=""),"",IF(AND(M12=Results!M13,Results!M13&lt;&gt;Games!$C$120),1,0))</f>
        <v/>
      </c>
      <c r="AU12" s="13" t="str">
        <f>IF(OR(N12="",Results!N13=""),"",IF(AND(N12=Results!N13,Results!N13&lt;&gt;Games!$C$121),1,0))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IF(OR(B13="",Results!B13=""),"",IF(B13=Results!B13,1+IF(OR($O13=1,$P13=1,$Q13=1),1,0),0))</f>
        <v/>
      </c>
      <c r="T13" s="4" t="str">
        <f>IF(OR(C13="",Results!C13=""),"",IF(C13=Results!C13,1+IF(OR($O13=2,$P13=2,$Q13=2),1,0),0))</f>
        <v/>
      </c>
      <c r="U13" s="4" t="str">
        <f>IF(OR(D13="",Results!D13=""),"",IF(D13=Results!D13,1+IF(OR($O13=3,$P13=3,$Q13=3),1,0),0))</f>
        <v/>
      </c>
      <c r="V13" s="4" t="str">
        <f>IF(OR(E13="",Results!E13=""),"",IF(E13=Results!E13,1+IF(OR($O13=4,$P13=4,$Q13=4),1,0),0))</f>
        <v/>
      </c>
      <c r="W13" s="4" t="str">
        <f>IF(OR(F13="",Results!F13=""),"",IF(F13=Results!F13,1+IF(OR($O13=5,$P13=5,$Q13=5),1,0),0))</f>
        <v/>
      </c>
      <c r="X13" s="4" t="str">
        <f>IF(OR(G13="",Results!G13=""),"",IF(G13=Results!G13,1+IF(OR($O13=6,$P13=6,$Q13=6),1,0),0))</f>
        <v/>
      </c>
      <c r="Y13" s="4" t="str">
        <f>IF(OR(H13="",Results!H13=""),"",IF(H13=Results!H13,1+IF(OR($O13=7,$P13=7,$Q13=7),1,0),0))</f>
        <v/>
      </c>
      <c r="Z13" s="4" t="str">
        <f>IF(OR(I13="",Results!I13=""),"",IF(I13=Results!I13,1+IF(OR($O13=8,$P13=8,$Q13=8),1,0),0))</f>
        <v/>
      </c>
      <c r="AA13" s="4" t="str">
        <f>IF(OR(J13="",Results!J13=""),"",IF(J13=Results!J13,1+IF(OR($O13=9,$P13=9,$Q13=9),1,0),0))</f>
        <v/>
      </c>
      <c r="AB13" s="4" t="str">
        <f>IF(OR(K13="",Results!K13=""),"",IF(K13=Results!K13,1+IF(OR($O13=10,$P13=10,$Q13=10),1,0),0))</f>
        <v/>
      </c>
      <c r="AC13" s="4" t="str">
        <f>IF(OR(L13="",Results!L13=""),"",IF(L13=Results!L13,1+IF(OR($O13=11,$P13=11,$Q13=11),1,0),0))</f>
        <v/>
      </c>
      <c r="AD13" s="4" t="str">
        <f>IF(OR(M13="",Results!M13=""),"",IF(M13=Results!M13,1+IF(OR($O13=12,$P13=12,$Q13=12),1,0),0))</f>
        <v/>
      </c>
      <c r="AE13" s="4" t="str">
        <f>IF(OR(N13="",Results!N13=""),"",IF(N13=Results!N13,1+IF(OR($O13=13,$P13=13,$Q13=13),1,0),0))</f>
        <v/>
      </c>
      <c r="AF13" s="11">
        <f t="shared" si="0"/>
        <v>0</v>
      </c>
      <c r="AG13" s="4" t="str">
        <f>IF(OR($R13="",Results!O13=""),"",ABS($R13-Results!O13))</f>
        <v/>
      </c>
      <c r="AH13" s="12">
        <v>57</v>
      </c>
      <c r="AI13" s="13" t="str">
        <f>IF(OR(B13="",Results!B13=""),"",IF(AND(B13=Results!B13,Results!B13&lt;&gt;Games!$C$109),1,0))</f>
        <v/>
      </c>
      <c r="AJ13" s="13" t="str">
        <f>IF(OR(C13="",Results!C13=""),"",IF(AND(C13=Results!C13,Results!C13&lt;&gt;Games!$C$110),1,0))</f>
        <v/>
      </c>
      <c r="AK13" s="13" t="str">
        <f>IF(OR(D13="",Results!D13=""),"",IF(AND(D13=Results!D13,Results!D13&lt;&gt;Games!$C$111),1,0))</f>
        <v/>
      </c>
      <c r="AL13" s="13" t="str">
        <f>IF(OR(E13="",Results!E13=""),"",IF(AND(E13=Results!E13,Results!E13&lt;&gt;Games!$C$112),1,0))</f>
        <v/>
      </c>
      <c r="AM13" s="13" t="str">
        <f>IF(OR(F13="",Results!F13=""),"",IF(AND(F13=Results!F13,Results!F13&lt;&gt;Games!$C$113),1,0))</f>
        <v/>
      </c>
      <c r="AN13" s="13" t="str">
        <f>IF(OR(G13="",Results!G13=""),"",IF(AND(G13=Results!G13,Results!G13&lt;&gt;Games!$C$114),1,0))</f>
        <v/>
      </c>
      <c r="AO13" s="13" t="str">
        <f>IF(OR(H13="",Results!H13=""),"",IF(AND(H13=Results!H13,Results!H13&lt;&gt;Games!$C$115),1,0))</f>
        <v/>
      </c>
      <c r="AP13" s="13" t="str">
        <f>IF(OR(I13="",Results!I13=""),"",IF(AND(I13=Results!I13,Results!I13&lt;&gt;Games!$C$116),1,0))</f>
        <v/>
      </c>
      <c r="AQ13" s="13" t="str">
        <f>IF(OR(J13="",Results!J13=""),"",IF(AND(J13=Results!J13,Results!J13&lt;&gt;Games!$C$117),1,0))</f>
        <v/>
      </c>
      <c r="AR13" s="13" t="str">
        <f>IF(OR(K13="",Results!K13=""),"",IF(AND(K13=Results!K13,Results!K13&lt;&gt;Games!$C$118),1,0))</f>
        <v/>
      </c>
      <c r="AS13" s="13" t="str">
        <f>IF(OR(L13="",Results!L13=""),"",IF(AND(L13=Results!L13,Results!L13&lt;&gt;Games!$C$119),1,0))</f>
        <v/>
      </c>
      <c r="AT13" s="13" t="str">
        <f>IF(OR(M13="",Results!M13=""),"",IF(AND(M13=Results!M13,Results!M13&lt;&gt;Games!$C$120),1,0))</f>
        <v/>
      </c>
      <c r="AU13" s="13" t="str">
        <f>IF(OR(N13="",Results!N13=""),"",IF(AND(N13=Results!N13,Results!N13&lt;&gt;Games!$C$121),1,0))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 t="str">
        <f>IF(OR(B14="",Results!B13=""),"",IF(B14=Results!B13,1+IF(OR($O14=1,$P14=1,$Q14=1),1,0),0))</f>
        <v/>
      </c>
      <c r="T14" s="4" t="str">
        <f>IF(OR(C14="",Results!C13=""),"",IF(C14=Results!C13,1+IF(OR($O14=2,$P14=2,$Q14=2),1,0),0))</f>
        <v/>
      </c>
      <c r="U14" s="4" t="str">
        <f>IF(OR(D14="",Results!D13=""),"",IF(D14=Results!D13,1+IF(OR($O14=3,$P14=3,$Q14=3),1,0),0))</f>
        <v/>
      </c>
      <c r="V14" s="4" t="str">
        <f>IF(OR(E14="",Results!E13=""),"",IF(E14=Results!E13,1+IF(OR($O14=4,$P14=4,$Q14=4),1,0),0))</f>
        <v/>
      </c>
      <c r="W14" s="4" t="str">
        <f>IF(OR(F14="",Results!F13=""),"",IF(F14=Results!F13,1+IF(OR($O14=5,$P14=5,$Q14=5),1,0),0))</f>
        <v/>
      </c>
      <c r="X14" s="4" t="str">
        <f>IF(OR(G14="",Results!G13=""),"",IF(G14=Results!G13,1+IF(OR($O14=6,$P14=6,$Q14=6),1,0),0))</f>
        <v/>
      </c>
      <c r="Y14" s="4" t="str">
        <f>IF(OR(H14="",Results!H13=""),"",IF(H14=Results!H13,1+IF(OR($O14=7,$P14=7,$Q14=7),1,0),0))</f>
        <v/>
      </c>
      <c r="Z14" s="4" t="str">
        <f>IF(OR(I14="",Results!I13=""),"",IF(I14=Results!I13,1+IF(OR($O14=8,$P14=8,$Q14=8),1,0),0))</f>
        <v/>
      </c>
      <c r="AA14" s="4" t="str">
        <f>IF(OR(J14="",Results!J13=""),"",IF(J14=Results!J13,1+IF(OR($O14=9,$P14=9,$Q14=9),1,0),0))</f>
        <v/>
      </c>
      <c r="AB14" s="4" t="str">
        <f>IF(OR(K14="",Results!K13=""),"",IF(K14=Results!K13,1+IF(OR($O14=10,$P14=10,$Q14=10),1,0),0))</f>
        <v/>
      </c>
      <c r="AC14" s="4" t="str">
        <f>IF(OR(L14="",Results!L13=""),"",IF(L14=Results!L13,1+IF(OR($O14=11,$P14=11,$Q14=11),1,0),0))</f>
        <v/>
      </c>
      <c r="AD14" s="4" t="str">
        <f>IF(OR(M14="",Results!M13=""),"",IF(M14=Results!M13,1+IF(OR($O14=12,$P14=12,$Q14=12),1,0),0))</f>
        <v/>
      </c>
      <c r="AE14" s="4" t="str">
        <f>IF(OR(N14="",Results!N13=""),"",IF(N14=Results!N13,1+IF(OR($O14=13,$P14=13,$Q14=13),1,0),0))</f>
        <v/>
      </c>
      <c r="AF14" s="11">
        <f t="shared" si="0"/>
        <v>0</v>
      </c>
      <c r="AG14" s="4" t="str">
        <f>IF(OR($R14="",Results!O13=""),"",ABS($R14-Results!O13))</f>
        <v/>
      </c>
      <c r="AH14" s="12">
        <v>6</v>
      </c>
      <c r="AI14" s="13" t="str">
        <f>IF(OR(B14="",Results!B13=""),"",IF(AND(B14=Results!B13,Results!B13&lt;&gt;Games!$C$109),1,0))</f>
        <v/>
      </c>
      <c r="AJ14" s="13" t="str">
        <f>IF(OR(C14="",Results!C13=""),"",IF(AND(C14=Results!C13,Results!C13&lt;&gt;Games!$C$110),1,0))</f>
        <v/>
      </c>
      <c r="AK14" s="13" t="str">
        <f>IF(OR(D14="",Results!D13=""),"",IF(AND(D14=Results!D13,Results!D13&lt;&gt;Games!$C$111),1,0))</f>
        <v/>
      </c>
      <c r="AL14" s="13" t="str">
        <f>IF(OR(E14="",Results!E13=""),"",IF(AND(E14=Results!E13,Results!E13&lt;&gt;Games!$C$112),1,0))</f>
        <v/>
      </c>
      <c r="AM14" s="13" t="str">
        <f>IF(OR(F14="",Results!F13=""),"",IF(AND(F14=Results!F13,Results!F13&lt;&gt;Games!$C$113),1,0))</f>
        <v/>
      </c>
      <c r="AN14" s="13" t="str">
        <f>IF(OR(G14="",Results!G13=""),"",IF(AND(G14=Results!G13,Results!G13&lt;&gt;Games!$C$114),1,0))</f>
        <v/>
      </c>
      <c r="AO14" s="13" t="str">
        <f>IF(OR(H14="",Results!H13=""),"",IF(AND(H14=Results!H13,Results!H13&lt;&gt;Games!$C$115),1,0))</f>
        <v/>
      </c>
      <c r="AP14" s="13" t="str">
        <f>IF(OR(I14="",Results!I13=""),"",IF(AND(I14=Results!I13,Results!I13&lt;&gt;Games!$C$116),1,0))</f>
        <v/>
      </c>
      <c r="AQ14" s="13" t="str">
        <f>IF(OR(J14="",Results!J13=""),"",IF(AND(J14=Results!J13,Results!J13&lt;&gt;Games!$C$117),1,0))</f>
        <v/>
      </c>
      <c r="AR14" s="13" t="str">
        <f>IF(OR(K14="",Results!K13=""),"",IF(AND(K14=Results!K13,Results!K13&lt;&gt;Games!$C$118),1,0))</f>
        <v/>
      </c>
      <c r="AS14" s="13" t="str">
        <f>IF(OR(L14="",Results!L13=""),"",IF(AND(L14=Results!L13,Results!L13&lt;&gt;Games!$C$119),1,0))</f>
        <v/>
      </c>
      <c r="AT14" s="13" t="str">
        <f>IF(OR(M14="",Results!M13=""),"",IF(AND(M14=Results!M13,Results!M13&lt;&gt;Games!$C$120),1,0))</f>
        <v/>
      </c>
      <c r="AU14" s="13" t="str">
        <f>IF(OR(N14="",Results!N13=""),"",IF(AND(N14=Results!N13,Results!N13&lt;&gt;Games!$C$121),1,0))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IF(OR(B15="",Results!B13=""),"",IF(B15=Results!B13,1+IF(OR($O15=1,$P15=1,$Q15=1),1,0),0))</f>
        <v/>
      </c>
      <c r="T15" s="4" t="str">
        <f>IF(OR(C15="",Results!C13=""),"",IF(C15=Results!C13,1+IF(OR($O15=2,$P15=2,$Q15=2),1,0),0))</f>
        <v/>
      </c>
      <c r="U15" s="4" t="str">
        <f>IF(OR(D15="",Results!D13=""),"",IF(D15=Results!D13,1+IF(OR($O15=3,$P15=3,$Q15=3),1,0),0))</f>
        <v/>
      </c>
      <c r="V15" s="4" t="str">
        <f>IF(OR(E15="",Results!E13=""),"",IF(E15=Results!E13,1+IF(OR($O15=4,$P15=4,$Q15=4),1,0),0))</f>
        <v/>
      </c>
      <c r="W15" s="4" t="str">
        <f>IF(OR(F15="",Results!F13=""),"",IF(F15=Results!F13,1+IF(OR($O15=5,$P15=5,$Q15=5),1,0),0))</f>
        <v/>
      </c>
      <c r="X15" s="4" t="str">
        <f>IF(OR(G15="",Results!G13=""),"",IF(G15=Results!G13,1+IF(OR($O15=6,$P15=6,$Q15=6),1,0),0))</f>
        <v/>
      </c>
      <c r="Y15" s="4" t="str">
        <f>IF(OR(H15="",Results!H13=""),"",IF(H15=Results!H13,1+IF(OR($O15=7,$P15=7,$Q15=7),1,0),0))</f>
        <v/>
      </c>
      <c r="Z15" s="4" t="str">
        <f>IF(OR(I15="",Results!I13=""),"",IF(I15=Results!I13,1+IF(OR($O15=8,$P15=8,$Q15=8),1,0),0))</f>
        <v/>
      </c>
      <c r="AA15" s="4" t="str">
        <f>IF(OR(J15="",Results!J13=""),"",IF(J15=Results!J13,1+IF(OR($O15=9,$P15=9,$Q15=9),1,0),0))</f>
        <v/>
      </c>
      <c r="AB15" s="4" t="str">
        <f>IF(OR(K15="",Results!K13=""),"",IF(K15=Results!K13,1+IF(OR($O15=10,$P15=10,$Q15=10),1,0),0))</f>
        <v/>
      </c>
      <c r="AC15" s="4" t="str">
        <f>IF(OR(L15="",Results!L13=""),"",IF(L15=Results!L13,1+IF(OR($O15=11,$P15=11,$Q15=11),1,0),0))</f>
        <v/>
      </c>
      <c r="AD15" s="4" t="str">
        <f>IF(OR(M15="",Results!M13=""),"",IF(M15=Results!M13,1+IF(OR($O15=12,$P15=12,$Q15=12),1,0),0))</f>
        <v/>
      </c>
      <c r="AE15" s="4" t="str">
        <f>IF(OR(N15="",Results!N13=""),"",IF(N15=Results!N13,1+IF(OR($O15=13,$P15=13,$Q15=13),1,0),0))</f>
        <v/>
      </c>
      <c r="AF15" s="11">
        <f t="shared" si="0"/>
        <v>0</v>
      </c>
      <c r="AG15" s="4" t="str">
        <f>IF(OR($R15="",Results!O13=""),"",ABS($R15-Results!O13))</f>
        <v/>
      </c>
      <c r="AH15" s="12">
        <v>5</v>
      </c>
      <c r="AI15" s="13" t="str">
        <f>IF(OR(B15="",Results!B13=""),"",IF(AND(B15=Results!B13,Results!B13&lt;&gt;Games!$C$109),1,0))</f>
        <v/>
      </c>
      <c r="AJ15" s="13" t="str">
        <f>IF(OR(C15="",Results!C13=""),"",IF(AND(C15=Results!C13,Results!C13&lt;&gt;Games!$C$110),1,0))</f>
        <v/>
      </c>
      <c r="AK15" s="13" t="str">
        <f>IF(OR(D15="",Results!D13=""),"",IF(AND(D15=Results!D13,Results!D13&lt;&gt;Games!$C$111),1,0))</f>
        <v/>
      </c>
      <c r="AL15" s="13" t="str">
        <f>IF(OR(E15="",Results!E13=""),"",IF(AND(E15=Results!E13,Results!E13&lt;&gt;Games!$C$112),1,0))</f>
        <v/>
      </c>
      <c r="AM15" s="13" t="str">
        <f>IF(OR(F15="",Results!F13=""),"",IF(AND(F15=Results!F13,Results!F13&lt;&gt;Games!$C$113),1,0))</f>
        <v/>
      </c>
      <c r="AN15" s="13" t="str">
        <f>IF(OR(G15="",Results!G13=""),"",IF(AND(G15=Results!G13,Results!G13&lt;&gt;Games!$C$114),1,0))</f>
        <v/>
      </c>
      <c r="AO15" s="13" t="str">
        <f>IF(OR(H15="",Results!H13=""),"",IF(AND(H15=Results!H13,Results!H13&lt;&gt;Games!$C$115),1,0))</f>
        <v/>
      </c>
      <c r="AP15" s="13" t="str">
        <f>IF(OR(I15="",Results!I13=""),"",IF(AND(I15=Results!I13,Results!I13&lt;&gt;Games!$C$116),1,0))</f>
        <v/>
      </c>
      <c r="AQ15" s="13" t="str">
        <f>IF(OR(J15="",Results!J13=""),"",IF(AND(J15=Results!J13,Results!J13&lt;&gt;Games!$C$117),1,0))</f>
        <v/>
      </c>
      <c r="AR15" s="13" t="str">
        <f>IF(OR(K15="",Results!K13=""),"",IF(AND(K15=Results!K13,Results!K13&lt;&gt;Games!$C$118),1,0))</f>
        <v/>
      </c>
      <c r="AS15" s="13" t="str">
        <f>IF(OR(L15="",Results!L13=""),"",IF(AND(L15=Results!L13,Results!L13&lt;&gt;Games!$C$119),1,0))</f>
        <v/>
      </c>
      <c r="AT15" s="13" t="str">
        <f>IF(OR(M15="",Results!M13=""),"",IF(AND(M15=Results!M13,Results!M13&lt;&gt;Games!$C$120),1,0))</f>
        <v/>
      </c>
      <c r="AU15" s="13" t="str">
        <f>IF(OR(N15="",Results!N13=""),"",IF(AND(N15=Results!N13,Results!N13&lt;&gt;Games!$C$121),1,0))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tr">
        <f>IF(OR(B16="",Results!B13=""),"",IF(B16=Results!B13,1+IF(OR($O16=1,$P16=1,$Q16=1),1,0),0))</f>
        <v/>
      </c>
      <c r="T16" s="4" t="str">
        <f>IF(OR(C16="",Results!C13=""),"",IF(C16=Results!C13,1+IF(OR($O16=2,$P16=2,$Q16=2),1,0),0))</f>
        <v/>
      </c>
      <c r="U16" s="4" t="str">
        <f>IF(OR(D16="",Results!D13=""),"",IF(D16=Results!D13,1+IF(OR($O16=3,$P16=3,$Q16=3),1,0),0))</f>
        <v/>
      </c>
      <c r="V16" s="4" t="str">
        <f>IF(OR(E16="",Results!E13=""),"",IF(E16=Results!E13,1+IF(OR($O16=4,$P16=4,$Q16=4),1,0),0))</f>
        <v/>
      </c>
      <c r="W16" s="4" t="str">
        <f>IF(OR(F16="",Results!F13=""),"",IF(F16=Results!F13,1+IF(OR($O16=5,$P16=5,$Q16=5),1,0),0))</f>
        <v/>
      </c>
      <c r="X16" s="4" t="str">
        <f>IF(OR(G16="",Results!G13=""),"",IF(G16=Results!G13,1+IF(OR($O16=6,$P16=6,$Q16=6),1,0),0))</f>
        <v/>
      </c>
      <c r="Y16" s="4" t="str">
        <f>IF(OR(H16="",Results!H13=""),"",IF(H16=Results!H13,1+IF(OR($O16=7,$P16=7,$Q16=7),1,0),0))</f>
        <v/>
      </c>
      <c r="Z16" s="4" t="str">
        <f>IF(OR(I16="",Results!I13=""),"",IF(I16=Results!I13,1+IF(OR($O16=8,$P16=8,$Q16=8),1,0),0))</f>
        <v/>
      </c>
      <c r="AA16" s="4" t="str">
        <f>IF(OR(J16="",Results!J13=""),"",IF(J16=Results!J13,1+IF(OR($O16=9,$P16=9,$Q16=9),1,0),0))</f>
        <v/>
      </c>
      <c r="AB16" s="4" t="str">
        <f>IF(OR(K16="",Results!K13=""),"",IF(K16=Results!K13,1+IF(OR($O16=10,$P16=10,$Q16=10),1,0),0))</f>
        <v/>
      </c>
      <c r="AC16" s="4" t="str">
        <f>IF(OR(L16="",Results!L13=""),"",IF(L16=Results!L13,1+IF(OR($O16=11,$P16=11,$Q16=11),1,0),0))</f>
        <v/>
      </c>
      <c r="AD16" s="4" t="str">
        <f>IF(OR(M16="",Results!M13=""),"",IF(M16=Results!M13,1+IF(OR($O16=12,$P16=12,$Q16=12),1,0),0))</f>
        <v/>
      </c>
      <c r="AE16" s="4" t="str">
        <f>IF(OR(N16="",Results!N13=""),"",IF(N16=Results!N13,1+IF(OR($O16=13,$P16=13,$Q16=13),1,0),0))</f>
        <v/>
      </c>
      <c r="AF16" s="11">
        <f t="shared" si="0"/>
        <v>0</v>
      </c>
      <c r="AG16" s="4" t="str">
        <f>IF(OR($R16="",Results!O13=""),"",ABS($R16-Results!O13))</f>
        <v/>
      </c>
      <c r="AH16" s="12">
        <v>8</v>
      </c>
      <c r="AI16" s="13" t="str">
        <f>IF(OR(B16="",Results!B13=""),"",IF(AND(B16=Results!B13,Results!B13&lt;&gt;Games!$C$109),1,0))</f>
        <v/>
      </c>
      <c r="AJ16" s="13" t="str">
        <f>IF(OR(C16="",Results!C13=""),"",IF(AND(C16=Results!C13,Results!C13&lt;&gt;Games!$C$110),1,0))</f>
        <v/>
      </c>
      <c r="AK16" s="13" t="str">
        <f>IF(OR(D16="",Results!D13=""),"",IF(AND(D16=Results!D13,Results!D13&lt;&gt;Games!$C$111),1,0))</f>
        <v/>
      </c>
      <c r="AL16" s="13" t="str">
        <f>IF(OR(E16="",Results!E13=""),"",IF(AND(E16=Results!E13,Results!E13&lt;&gt;Games!$C$112),1,0))</f>
        <v/>
      </c>
      <c r="AM16" s="13" t="str">
        <f>IF(OR(F16="",Results!F13=""),"",IF(AND(F16=Results!F13,Results!F13&lt;&gt;Games!$C$113),1,0))</f>
        <v/>
      </c>
      <c r="AN16" s="13" t="str">
        <f>IF(OR(G16="",Results!G13=""),"",IF(AND(G16=Results!G13,Results!G13&lt;&gt;Games!$C$114),1,0))</f>
        <v/>
      </c>
      <c r="AO16" s="13" t="str">
        <f>IF(OR(H16="",Results!H13=""),"",IF(AND(H16=Results!H13,Results!H13&lt;&gt;Games!$C$115),1,0))</f>
        <v/>
      </c>
      <c r="AP16" s="13" t="str">
        <f>IF(OR(I16="",Results!I13=""),"",IF(AND(I16=Results!I13,Results!I13&lt;&gt;Games!$C$116),1,0))</f>
        <v/>
      </c>
      <c r="AQ16" s="13" t="str">
        <f>IF(OR(J16="",Results!J13=""),"",IF(AND(J16=Results!J13,Results!J13&lt;&gt;Games!$C$117),1,0))</f>
        <v/>
      </c>
      <c r="AR16" s="13" t="str">
        <f>IF(OR(K16="",Results!K13=""),"",IF(AND(K16=Results!K13,Results!K13&lt;&gt;Games!$C$118),1,0))</f>
        <v/>
      </c>
      <c r="AS16" s="13" t="str">
        <f>IF(OR(L16="",Results!L13=""),"",IF(AND(L16=Results!L13,Results!L13&lt;&gt;Games!$C$119),1,0))</f>
        <v/>
      </c>
      <c r="AT16" s="13" t="str">
        <f>IF(OR(M16="",Results!M13=""),"",IF(AND(M16=Results!M13,Results!M13&lt;&gt;Games!$C$120),1,0))</f>
        <v/>
      </c>
      <c r="AU16" s="13" t="str">
        <f>IF(OR(N16="",Results!N13=""),"",IF(AND(N16=Results!N13,Results!N13&lt;&gt;Games!$C$121),1,0))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IF(OR(B17="",Results!B13=""),"",IF(B17=Results!B13,1+IF(OR($O17=1,$P17=1,$Q17=1),1,0),0))</f>
        <v/>
      </c>
      <c r="T17" s="4" t="str">
        <f>IF(OR(C17="",Results!C13=""),"",IF(C17=Results!C13,1+IF(OR($O17=2,$P17=2,$Q17=2),1,0),0))</f>
        <v/>
      </c>
      <c r="U17" s="4" t="str">
        <f>IF(OR(D17="",Results!D13=""),"",IF(D17=Results!D13,1+IF(OR($O17=3,$P17=3,$Q17=3),1,0),0))</f>
        <v/>
      </c>
      <c r="V17" s="4" t="str">
        <f>IF(OR(E17="",Results!E13=""),"",IF(E17=Results!E13,1+IF(OR($O17=4,$P17=4,$Q17=4),1,0),0))</f>
        <v/>
      </c>
      <c r="W17" s="4" t="str">
        <f>IF(OR(F17="",Results!F13=""),"",IF(F17=Results!F13,1+IF(OR($O17=5,$P17=5,$Q17=5),1,0),0))</f>
        <v/>
      </c>
      <c r="X17" s="4" t="str">
        <f>IF(OR(G17="",Results!G13=""),"",IF(G17=Results!G13,1+IF(OR($O17=6,$P17=6,$Q17=6),1,0),0))</f>
        <v/>
      </c>
      <c r="Y17" s="4" t="str">
        <f>IF(OR(H17="",Results!H13=""),"",IF(H17=Results!H13,1+IF(OR($O17=7,$P17=7,$Q17=7),1,0),0))</f>
        <v/>
      </c>
      <c r="Z17" s="4" t="str">
        <f>IF(OR(I17="",Results!I13=""),"",IF(I17=Results!I13,1+IF(OR($O17=8,$P17=8,$Q17=8),1,0),0))</f>
        <v/>
      </c>
      <c r="AA17" s="4" t="str">
        <f>IF(OR(J17="",Results!J13=""),"",IF(J17=Results!J13,1+IF(OR($O17=9,$P17=9,$Q17=9),1,0),0))</f>
        <v/>
      </c>
      <c r="AB17" s="4" t="str">
        <f>IF(OR(K17="",Results!K13=""),"",IF(K17=Results!K13,1+IF(OR($O17=10,$P17=10,$Q17=10),1,0),0))</f>
        <v/>
      </c>
      <c r="AC17" s="4" t="str">
        <f>IF(OR(L17="",Results!L13=""),"",IF(L17=Results!L13,1+IF(OR($O17=11,$P17=11,$Q17=11),1,0),0))</f>
        <v/>
      </c>
      <c r="AD17" s="4" t="str">
        <f>IF(OR(M17="",Results!M13=""),"",IF(M17=Results!M13,1+IF(OR($O17=12,$P17=12,$Q17=12),1,0),0))</f>
        <v/>
      </c>
      <c r="AE17" s="4" t="str">
        <f>IF(OR(N17="",Results!N13=""),"",IF(N17=Results!N13,1+IF(OR($O17=13,$P17=13,$Q17=13),1,0),0))</f>
        <v/>
      </c>
      <c r="AF17" s="11">
        <f t="shared" si="0"/>
        <v>0</v>
      </c>
      <c r="AG17" s="4" t="str">
        <f>IF(OR($R17="",Results!O13=""),"",ABS($R17-Results!O13))</f>
        <v/>
      </c>
      <c r="AH17" s="12">
        <v>7</v>
      </c>
      <c r="AI17" s="13" t="str">
        <f>IF(OR(B17="",Results!B13=""),"",IF(AND(B17=Results!B13,Results!B13&lt;&gt;Games!$C$109),1,0))</f>
        <v/>
      </c>
      <c r="AJ17" s="13" t="str">
        <f>IF(OR(C17="",Results!C13=""),"",IF(AND(C17=Results!C13,Results!C13&lt;&gt;Games!$C$110),1,0))</f>
        <v/>
      </c>
      <c r="AK17" s="13" t="str">
        <f>IF(OR(D17="",Results!D13=""),"",IF(AND(D17=Results!D13,Results!D13&lt;&gt;Games!$C$111),1,0))</f>
        <v/>
      </c>
      <c r="AL17" s="13" t="str">
        <f>IF(OR(E17="",Results!E13=""),"",IF(AND(E17=Results!E13,Results!E13&lt;&gt;Games!$C$112),1,0))</f>
        <v/>
      </c>
      <c r="AM17" s="13" t="str">
        <f>IF(OR(F17="",Results!F13=""),"",IF(AND(F17=Results!F13,Results!F13&lt;&gt;Games!$C$113),1,0))</f>
        <v/>
      </c>
      <c r="AN17" s="13" t="str">
        <f>IF(OR(G17="",Results!G13=""),"",IF(AND(G17=Results!G13,Results!G13&lt;&gt;Games!$C$114),1,0))</f>
        <v/>
      </c>
      <c r="AO17" s="13" t="str">
        <f>IF(OR(H17="",Results!H13=""),"",IF(AND(H17=Results!H13,Results!H13&lt;&gt;Games!$C$115),1,0))</f>
        <v/>
      </c>
      <c r="AP17" s="13" t="str">
        <f>IF(OR(I17="",Results!I13=""),"",IF(AND(I17=Results!I13,Results!I13&lt;&gt;Games!$C$116),1,0))</f>
        <v/>
      </c>
      <c r="AQ17" s="13" t="str">
        <f>IF(OR(J17="",Results!J13=""),"",IF(AND(J17=Results!J13,Results!J13&lt;&gt;Games!$C$117),1,0))</f>
        <v/>
      </c>
      <c r="AR17" s="13" t="str">
        <f>IF(OR(K17="",Results!K13=""),"",IF(AND(K17=Results!K13,Results!K13&lt;&gt;Games!$C$118),1,0))</f>
        <v/>
      </c>
      <c r="AS17" s="13" t="str">
        <f>IF(OR(L17="",Results!L13=""),"",IF(AND(L17=Results!L13,Results!L13&lt;&gt;Games!$C$119),1,0))</f>
        <v/>
      </c>
      <c r="AT17" s="13" t="str">
        <f>IF(OR(M17="",Results!M13=""),"",IF(AND(M17=Results!M13,Results!M13&lt;&gt;Games!$C$120),1,0))</f>
        <v/>
      </c>
      <c r="AU17" s="13" t="str">
        <f>IF(OR(N17="",Results!N13=""),"",IF(AND(N17=Results!N13,Results!N13&lt;&gt;Games!$C$121),1,0))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IF(OR(B18="",Results!B13=""),"",IF(B18=Results!B13,1+IF(OR($O18=1,$P18=1,$Q18=1),1,0),0))</f>
        <v/>
      </c>
      <c r="T18" s="4" t="str">
        <f>IF(OR(C18="",Results!C13=""),"",IF(C18=Results!C13,1+IF(OR($O18=2,$P18=2,$Q18=2),1,0),0))</f>
        <v/>
      </c>
      <c r="U18" s="4" t="str">
        <f>IF(OR(D18="",Results!D13=""),"",IF(D18=Results!D13,1+IF(OR($O18=3,$P18=3,$Q18=3),1,0),0))</f>
        <v/>
      </c>
      <c r="V18" s="4" t="str">
        <f>IF(OR(E18="",Results!E13=""),"",IF(E18=Results!E13,1+IF(OR($O18=4,$P18=4,$Q18=4),1,0),0))</f>
        <v/>
      </c>
      <c r="W18" s="4" t="str">
        <f>IF(OR(F18="",Results!F13=""),"",IF(F18=Results!F13,1+IF(OR($O18=5,$P18=5,$Q18=5),1,0),0))</f>
        <v/>
      </c>
      <c r="X18" s="4" t="str">
        <f>IF(OR(G18="",Results!G13=""),"",IF(G18=Results!G13,1+IF(OR($O18=6,$P18=6,$Q18=6),1,0),0))</f>
        <v/>
      </c>
      <c r="Y18" s="4" t="str">
        <f>IF(OR(H18="",Results!H13=""),"",IF(H18=Results!H13,1+IF(OR($O18=7,$P18=7,$Q18=7),1,0),0))</f>
        <v/>
      </c>
      <c r="Z18" s="4" t="str">
        <f>IF(OR(I18="",Results!I13=""),"",IF(I18=Results!I13,1+IF(OR($O18=8,$P18=8,$Q18=8),1,0),0))</f>
        <v/>
      </c>
      <c r="AA18" s="4" t="str">
        <f>IF(OR(J18="",Results!J13=""),"",IF(J18=Results!J13,1+IF(OR($O18=9,$P18=9,$Q18=9),1,0),0))</f>
        <v/>
      </c>
      <c r="AB18" s="4" t="str">
        <f>IF(OR(K18="",Results!K13=""),"",IF(K18=Results!K13,1+IF(OR($O18=10,$P18=10,$Q18=10),1,0),0))</f>
        <v/>
      </c>
      <c r="AC18" s="4" t="str">
        <f>IF(OR(L18="",Results!L13=""),"",IF(L18=Results!L13,1+IF(OR($O18=11,$P18=11,$Q18=11),1,0),0))</f>
        <v/>
      </c>
      <c r="AD18" s="4" t="str">
        <f>IF(OR(M18="",Results!M13=""),"",IF(M18=Results!M13,1+IF(OR($O18=12,$P18=12,$Q18=12),1,0),0))</f>
        <v/>
      </c>
      <c r="AE18" s="4" t="str">
        <f>IF(OR(N18="",Results!N13=""),"",IF(N18=Results!N13,1+IF(OR($O18=13,$P18=13,$Q18=13),1,0),0))</f>
        <v/>
      </c>
      <c r="AF18" s="11">
        <f t="shared" si="0"/>
        <v>0</v>
      </c>
      <c r="AG18" s="4" t="str">
        <f>IF(OR($R18="",Results!O13=""),"",ABS($R18-Results!O13))</f>
        <v/>
      </c>
      <c r="AH18" s="12">
        <v>37</v>
      </c>
      <c r="AI18" s="13" t="str">
        <f>IF(OR(B18="",Results!B13=""),"",IF(AND(B18=Results!B13,Results!B13&lt;&gt;Games!$C$109),1,0))</f>
        <v/>
      </c>
      <c r="AJ18" s="13" t="str">
        <f>IF(OR(C18="",Results!C13=""),"",IF(AND(C18=Results!C13,Results!C13&lt;&gt;Games!$C$110),1,0))</f>
        <v/>
      </c>
      <c r="AK18" s="13" t="str">
        <f>IF(OR(D18="",Results!D13=""),"",IF(AND(D18=Results!D13,Results!D13&lt;&gt;Games!$C$111),1,0))</f>
        <v/>
      </c>
      <c r="AL18" s="13" t="str">
        <f>IF(OR(E18="",Results!E13=""),"",IF(AND(E18=Results!E13,Results!E13&lt;&gt;Games!$C$112),1,0))</f>
        <v/>
      </c>
      <c r="AM18" s="13" t="str">
        <f>IF(OR(F18="",Results!F13=""),"",IF(AND(F18=Results!F13,Results!F13&lt;&gt;Games!$C$113),1,0))</f>
        <v/>
      </c>
      <c r="AN18" s="13" t="str">
        <f>IF(OR(G18="",Results!G13=""),"",IF(AND(G18=Results!G13,Results!G13&lt;&gt;Games!$C$114),1,0))</f>
        <v/>
      </c>
      <c r="AO18" s="13" t="str">
        <f>IF(OR(H18="",Results!H13=""),"",IF(AND(H18=Results!H13,Results!H13&lt;&gt;Games!$C$115),1,0))</f>
        <v/>
      </c>
      <c r="AP18" s="13" t="str">
        <f>IF(OR(I18="",Results!I13=""),"",IF(AND(I18=Results!I13,Results!I13&lt;&gt;Games!$C$116),1,0))</f>
        <v/>
      </c>
      <c r="AQ18" s="13" t="str">
        <f>IF(OR(J18="",Results!J13=""),"",IF(AND(J18=Results!J13,Results!J13&lt;&gt;Games!$C$117),1,0))</f>
        <v/>
      </c>
      <c r="AR18" s="13" t="str">
        <f>IF(OR(K18="",Results!K13=""),"",IF(AND(K18=Results!K13,Results!K13&lt;&gt;Games!$C$118),1,0))</f>
        <v/>
      </c>
      <c r="AS18" s="13" t="str">
        <f>IF(OR(L18="",Results!L13=""),"",IF(AND(L18=Results!L13,Results!L13&lt;&gt;Games!$C$119),1,0))</f>
        <v/>
      </c>
      <c r="AT18" s="13" t="str">
        <f>IF(OR(M18="",Results!M13=""),"",IF(AND(M18=Results!M13,Results!M13&lt;&gt;Games!$C$120),1,0))</f>
        <v/>
      </c>
      <c r="AU18" s="13" t="str">
        <f>IF(OR(N18="",Results!N13=""),"",IF(AND(N18=Results!N13,Results!N13&lt;&gt;Games!$C$121),1,0))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IF(OR(B19="",Results!B13=""),"",IF(B19=Results!B13,1+IF(OR($O19=1,$P19=1,$Q19=1),1,0),0))</f>
        <v/>
      </c>
      <c r="T19" s="4" t="str">
        <f>IF(OR(C19="",Results!C13=""),"",IF(C19=Results!C13,1+IF(OR($O19=2,$P19=2,$Q19=2),1,0),0))</f>
        <v/>
      </c>
      <c r="U19" s="4" t="str">
        <f>IF(OR(D19="",Results!D13=""),"",IF(D19=Results!D13,1+IF(OR($O19=3,$P19=3,$Q19=3),1,0),0))</f>
        <v/>
      </c>
      <c r="V19" s="4" t="str">
        <f>IF(OR(E19="",Results!E13=""),"",IF(E19=Results!E13,1+IF(OR($O19=4,$P19=4,$Q19=4),1,0),0))</f>
        <v/>
      </c>
      <c r="W19" s="4" t="str">
        <f>IF(OR(F19="",Results!F13=""),"",IF(F19=Results!F13,1+IF(OR($O19=5,$P19=5,$Q19=5),1,0),0))</f>
        <v/>
      </c>
      <c r="X19" s="4" t="str">
        <f>IF(OR(G19="",Results!G13=""),"",IF(G19=Results!G13,1+IF(OR($O19=6,$P19=6,$Q19=6),1,0),0))</f>
        <v/>
      </c>
      <c r="Y19" s="4" t="str">
        <f>IF(OR(H19="",Results!H13=""),"",IF(H19=Results!H13,1+IF(OR($O19=7,$P19=7,$Q19=7),1,0),0))</f>
        <v/>
      </c>
      <c r="Z19" s="4" t="str">
        <f>IF(OR(I19="",Results!I13=""),"",IF(I19=Results!I13,1+IF(OR($O19=8,$P19=8,$Q19=8),1,0),0))</f>
        <v/>
      </c>
      <c r="AA19" s="4" t="str">
        <f>IF(OR(J19="",Results!J13=""),"",IF(J19=Results!J13,1+IF(OR($O19=9,$P19=9,$Q19=9),1,0),0))</f>
        <v/>
      </c>
      <c r="AB19" s="4" t="str">
        <f>IF(OR(K19="",Results!K13=""),"",IF(K19=Results!K13,1+IF(OR($O19=10,$P19=10,$Q19=10),1,0),0))</f>
        <v/>
      </c>
      <c r="AC19" s="4" t="str">
        <f>IF(OR(L19="",Results!L13=""),"",IF(L19=Results!L13,1+IF(OR($O19=11,$P19=11,$Q19=11),1,0),0))</f>
        <v/>
      </c>
      <c r="AD19" s="4" t="str">
        <f>IF(OR(M19="",Results!M13=""),"",IF(M19=Results!M13,1+IF(OR($O19=12,$P19=12,$Q19=12),1,0),0))</f>
        <v/>
      </c>
      <c r="AE19" s="4" t="str">
        <f>IF(OR(N19="",Results!N13=""),"",IF(N19=Results!N13,1+IF(OR($O19=13,$P19=13,$Q19=13),1,0),0))</f>
        <v/>
      </c>
      <c r="AF19" s="11">
        <f t="shared" si="0"/>
        <v>0</v>
      </c>
      <c r="AG19" s="4" t="str">
        <f>IF(OR($R19="",Results!O13=""),"",ABS($R19-Results!O13))</f>
        <v/>
      </c>
      <c r="AH19" s="12">
        <v>26</v>
      </c>
      <c r="AI19" s="13" t="str">
        <f>IF(OR(B19="",Results!B13=""),"",IF(AND(B19=Results!B13,Results!B13&lt;&gt;Games!$C$109),1,0))</f>
        <v/>
      </c>
      <c r="AJ19" s="13" t="str">
        <f>IF(OR(C19="",Results!C13=""),"",IF(AND(C19=Results!C13,Results!C13&lt;&gt;Games!$C$110),1,0))</f>
        <v/>
      </c>
      <c r="AK19" s="13" t="str">
        <f>IF(OR(D19="",Results!D13=""),"",IF(AND(D19=Results!D13,Results!D13&lt;&gt;Games!$C$111),1,0))</f>
        <v/>
      </c>
      <c r="AL19" s="13" t="str">
        <f>IF(OR(E19="",Results!E13=""),"",IF(AND(E19=Results!E13,Results!E13&lt;&gt;Games!$C$112),1,0))</f>
        <v/>
      </c>
      <c r="AM19" s="13" t="str">
        <f>IF(OR(F19="",Results!F13=""),"",IF(AND(F19=Results!F13,Results!F13&lt;&gt;Games!$C$113),1,0))</f>
        <v/>
      </c>
      <c r="AN19" s="13" t="str">
        <f>IF(OR(G19="",Results!G13=""),"",IF(AND(G19=Results!G13,Results!G13&lt;&gt;Games!$C$114),1,0))</f>
        <v/>
      </c>
      <c r="AO19" s="13" t="str">
        <f>IF(OR(H19="",Results!H13=""),"",IF(AND(H19=Results!H13,Results!H13&lt;&gt;Games!$C$115),1,0))</f>
        <v/>
      </c>
      <c r="AP19" s="13" t="str">
        <f>IF(OR(I19="",Results!I13=""),"",IF(AND(I19=Results!I13,Results!I13&lt;&gt;Games!$C$116),1,0))</f>
        <v/>
      </c>
      <c r="AQ19" s="13" t="str">
        <f>IF(OR(J19="",Results!J13=""),"",IF(AND(J19=Results!J13,Results!J13&lt;&gt;Games!$C$117),1,0))</f>
        <v/>
      </c>
      <c r="AR19" s="13" t="str">
        <f>IF(OR(K19="",Results!K13=""),"",IF(AND(K19=Results!K13,Results!K13&lt;&gt;Games!$C$118),1,0))</f>
        <v/>
      </c>
      <c r="AS19" s="13" t="str">
        <f>IF(OR(L19="",Results!L13=""),"",IF(AND(L19=Results!L13,Results!L13&lt;&gt;Games!$C$119),1,0))</f>
        <v/>
      </c>
      <c r="AT19" s="13" t="str">
        <f>IF(OR(M19="",Results!M13=""),"",IF(AND(M19=Results!M13,Results!M13&lt;&gt;Games!$C$120),1,0))</f>
        <v/>
      </c>
      <c r="AU19" s="13" t="str">
        <f>IF(OR(N19="",Results!N13=""),"",IF(AND(N19=Results!N13,Results!N13&lt;&gt;Games!$C$121),1,0))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 t="str">
        <f>IF(OR(B20="",Results!B13=""),"",IF(B20=Results!B13,1+IF(OR($O20=1,$P20=1,$Q20=1),1,0),0))</f>
        <v/>
      </c>
      <c r="T20" s="4" t="str">
        <f>IF(OR(C20="",Results!C13=""),"",IF(C20=Results!C13,1+IF(OR($O20=2,$P20=2,$Q20=2),1,0),0))</f>
        <v/>
      </c>
      <c r="U20" s="4" t="str">
        <f>IF(OR(D20="",Results!D13=""),"",IF(D20=Results!D13,1+IF(OR($O20=3,$P20=3,$Q20=3),1,0),0))</f>
        <v/>
      </c>
      <c r="V20" s="4" t="str">
        <f>IF(OR(E20="",Results!E13=""),"",IF(E20=Results!E13,1+IF(OR($O20=4,$P20=4,$Q20=4),1,0),0))</f>
        <v/>
      </c>
      <c r="W20" s="4" t="str">
        <f>IF(OR(F20="",Results!F13=""),"",IF(F20=Results!F13,1+IF(OR($O20=5,$P20=5,$Q20=5),1,0),0))</f>
        <v/>
      </c>
      <c r="X20" s="4" t="str">
        <f>IF(OR(G20="",Results!G13=""),"",IF(G20=Results!G13,1+IF(OR($O20=6,$P20=6,$Q20=6),1,0),0))</f>
        <v/>
      </c>
      <c r="Y20" s="4" t="str">
        <f>IF(OR(H20="",Results!H13=""),"",IF(H20=Results!H13,1+IF(OR($O20=7,$P20=7,$Q20=7),1,0),0))</f>
        <v/>
      </c>
      <c r="Z20" s="4" t="str">
        <f>IF(OR(I20="",Results!I13=""),"",IF(I20=Results!I13,1+IF(OR($O20=8,$P20=8,$Q20=8),1,0),0))</f>
        <v/>
      </c>
      <c r="AA20" s="4" t="str">
        <f>IF(OR(J20="",Results!J13=""),"",IF(J20=Results!J13,1+IF(OR($O20=9,$P20=9,$Q20=9),1,0),0))</f>
        <v/>
      </c>
      <c r="AB20" s="4" t="str">
        <f>IF(OR(K20="",Results!K13=""),"",IF(K20=Results!K13,1+IF(OR($O20=10,$P20=10,$Q20=10),1,0),0))</f>
        <v/>
      </c>
      <c r="AC20" s="4" t="str">
        <f>IF(OR(L20="",Results!L13=""),"",IF(L20=Results!L13,1+IF(OR($O20=11,$P20=11,$Q20=11),1,0),0))</f>
        <v/>
      </c>
      <c r="AD20" s="4" t="str">
        <f>IF(OR(M20="",Results!M13=""),"",IF(M20=Results!M13,1+IF(OR($O20=12,$P20=12,$Q20=12),1,0),0))</f>
        <v/>
      </c>
      <c r="AE20" s="4" t="str">
        <f>IF(OR(N20="",Results!N13=""),"",IF(N20=Results!N13,1+IF(OR($O20=13,$P20=13,$Q20=13),1,0),0))</f>
        <v/>
      </c>
      <c r="AF20" s="11">
        <f t="shared" si="0"/>
        <v>0</v>
      </c>
      <c r="AG20" s="4" t="str">
        <f>IF(OR($R20="",Results!O13=""),"",ABS($R20-Results!O13))</f>
        <v/>
      </c>
      <c r="AH20" s="12">
        <v>52</v>
      </c>
      <c r="AI20" s="13" t="str">
        <f>IF(OR(B20="",Results!B13=""),"",IF(AND(B20=Results!B13,Results!B13&lt;&gt;Games!$C$109),1,0))</f>
        <v/>
      </c>
      <c r="AJ20" s="13" t="str">
        <f>IF(OR(C20="",Results!C13=""),"",IF(AND(C20=Results!C13,Results!C13&lt;&gt;Games!$C$110),1,0))</f>
        <v/>
      </c>
      <c r="AK20" s="13" t="str">
        <f>IF(OR(D20="",Results!D13=""),"",IF(AND(D20=Results!D13,Results!D13&lt;&gt;Games!$C$111),1,0))</f>
        <v/>
      </c>
      <c r="AL20" s="13" t="str">
        <f>IF(OR(E20="",Results!E13=""),"",IF(AND(E20=Results!E13,Results!E13&lt;&gt;Games!$C$112),1,0))</f>
        <v/>
      </c>
      <c r="AM20" s="13" t="str">
        <f>IF(OR(F20="",Results!F13=""),"",IF(AND(F20=Results!F13,Results!F13&lt;&gt;Games!$C$113),1,0))</f>
        <v/>
      </c>
      <c r="AN20" s="13" t="str">
        <f>IF(OR(G20="",Results!G13=""),"",IF(AND(G20=Results!G13,Results!G13&lt;&gt;Games!$C$114),1,0))</f>
        <v/>
      </c>
      <c r="AO20" s="13" t="str">
        <f>IF(OR(H20="",Results!H13=""),"",IF(AND(H20=Results!H13,Results!H13&lt;&gt;Games!$C$115),1,0))</f>
        <v/>
      </c>
      <c r="AP20" s="13" t="str">
        <f>IF(OR(I20="",Results!I13=""),"",IF(AND(I20=Results!I13,Results!I13&lt;&gt;Games!$C$116),1,0))</f>
        <v/>
      </c>
      <c r="AQ20" s="13" t="str">
        <f>IF(OR(J20="",Results!J13=""),"",IF(AND(J20=Results!J13,Results!J13&lt;&gt;Games!$C$117),1,0))</f>
        <v/>
      </c>
      <c r="AR20" s="13" t="str">
        <f>IF(OR(K20="",Results!K13=""),"",IF(AND(K20=Results!K13,Results!K13&lt;&gt;Games!$C$118),1,0))</f>
        <v/>
      </c>
      <c r="AS20" s="13" t="str">
        <f>IF(OR(L20="",Results!L13=""),"",IF(AND(L20=Results!L13,Results!L13&lt;&gt;Games!$C$119),1,0))</f>
        <v/>
      </c>
      <c r="AT20" s="13" t="str">
        <f>IF(OR(M20="",Results!M13=""),"",IF(AND(M20=Results!M13,Results!M13&lt;&gt;Games!$C$120),1,0))</f>
        <v/>
      </c>
      <c r="AU20" s="13" t="str">
        <f>IF(OR(N20="",Results!N13=""),"",IF(AND(N20=Results!N13,Results!N13&lt;&gt;Games!$C$121),1,0))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 t="str">
        <f>IF(OR(B21="",Results!B13=""),"",IF(B21=Results!B13,1+IF(OR($O21=1,$P21=1,$Q21=1),1,0),0))</f>
        <v/>
      </c>
      <c r="T21" s="4" t="str">
        <f>IF(OR(C21="",Results!C13=""),"",IF(C21=Results!C13,1+IF(OR($O21=2,$P21=2,$Q21=2),1,0),0))</f>
        <v/>
      </c>
      <c r="U21" s="4" t="str">
        <f>IF(OR(D21="",Results!D13=""),"",IF(D21=Results!D13,1+IF(OR($O21=3,$P21=3,$Q21=3),1,0),0))</f>
        <v/>
      </c>
      <c r="V21" s="4" t="str">
        <f>IF(OR(E21="",Results!E13=""),"",IF(E21=Results!E13,1+IF(OR($O21=4,$P21=4,$Q21=4),1,0),0))</f>
        <v/>
      </c>
      <c r="W21" s="4" t="str">
        <f>IF(OR(F21="",Results!F13=""),"",IF(F21=Results!F13,1+IF(OR($O21=5,$P21=5,$Q21=5),1,0),0))</f>
        <v/>
      </c>
      <c r="X21" s="4" t="str">
        <f>IF(OR(G21="",Results!G13=""),"",IF(G21=Results!G13,1+IF(OR($O21=6,$P21=6,$Q21=6),1,0),0))</f>
        <v/>
      </c>
      <c r="Y21" s="4" t="str">
        <f>IF(OR(H21="",Results!H13=""),"",IF(H21=Results!H13,1+IF(OR($O21=7,$P21=7,$Q21=7),1,0),0))</f>
        <v/>
      </c>
      <c r="Z21" s="4" t="str">
        <f>IF(OR(I21="",Results!I13=""),"",IF(I21=Results!I13,1+IF(OR($O21=8,$P21=8,$Q21=8),1,0),0))</f>
        <v/>
      </c>
      <c r="AA21" s="4" t="str">
        <f>IF(OR(J21="",Results!J13=""),"",IF(J21=Results!J13,1+IF(OR($O21=9,$P21=9,$Q21=9),1,0),0))</f>
        <v/>
      </c>
      <c r="AB21" s="4" t="str">
        <f>IF(OR(K21="",Results!K13=""),"",IF(K21=Results!K13,1+IF(OR($O21=10,$P21=10,$Q21=10),1,0),0))</f>
        <v/>
      </c>
      <c r="AC21" s="4" t="str">
        <f>IF(OR(L21="",Results!L13=""),"",IF(L21=Results!L13,1+IF(OR($O21=11,$P21=11,$Q21=11),1,0),0))</f>
        <v/>
      </c>
      <c r="AD21" s="4" t="str">
        <f>IF(OR(M21="",Results!M13=""),"",IF(M21=Results!M13,1+IF(OR($O21=12,$P21=12,$Q21=12),1,0),0))</f>
        <v/>
      </c>
      <c r="AE21" s="4" t="str">
        <f>IF(OR(N21="",Results!N13=""),"",IF(N21=Results!N13,1+IF(OR($O21=13,$P21=13,$Q21=13),1,0),0))</f>
        <v/>
      </c>
      <c r="AF21" s="11">
        <f t="shared" si="0"/>
        <v>0</v>
      </c>
      <c r="AG21" s="4" t="str">
        <f>IF(OR($R21="",Results!O13=""),"",ABS($R21-Results!O13))</f>
        <v/>
      </c>
      <c r="AH21" s="12">
        <v>9</v>
      </c>
      <c r="AI21" s="13" t="str">
        <f>IF(OR(B21="",Results!B13=""),"",IF(AND(B21=Results!B13,Results!B13&lt;&gt;Games!$C$109),1,0))</f>
        <v/>
      </c>
      <c r="AJ21" s="13" t="str">
        <f>IF(OR(C21="",Results!C13=""),"",IF(AND(C21=Results!C13,Results!C13&lt;&gt;Games!$C$110),1,0))</f>
        <v/>
      </c>
      <c r="AK21" s="13" t="str">
        <f>IF(OR(D21="",Results!D13=""),"",IF(AND(D21=Results!D13,Results!D13&lt;&gt;Games!$C$111),1,0))</f>
        <v/>
      </c>
      <c r="AL21" s="13" t="str">
        <f>IF(OR(E21="",Results!E13=""),"",IF(AND(E21=Results!E13,Results!E13&lt;&gt;Games!$C$112),1,0))</f>
        <v/>
      </c>
      <c r="AM21" s="13" t="str">
        <f>IF(OR(F21="",Results!F13=""),"",IF(AND(F21=Results!F13,Results!F13&lt;&gt;Games!$C$113),1,0))</f>
        <v/>
      </c>
      <c r="AN21" s="13" t="str">
        <f>IF(OR(G21="",Results!G13=""),"",IF(AND(G21=Results!G13,Results!G13&lt;&gt;Games!$C$114),1,0))</f>
        <v/>
      </c>
      <c r="AO21" s="13" t="str">
        <f>IF(OR(H21="",Results!H13=""),"",IF(AND(H21=Results!H13,Results!H13&lt;&gt;Games!$C$115),1,0))</f>
        <v/>
      </c>
      <c r="AP21" s="13" t="str">
        <f>IF(OR(I21="",Results!I13=""),"",IF(AND(I21=Results!I13,Results!I13&lt;&gt;Games!$C$116),1,0))</f>
        <v/>
      </c>
      <c r="AQ21" s="13" t="str">
        <f>IF(OR(J21="",Results!J13=""),"",IF(AND(J21=Results!J13,Results!J13&lt;&gt;Games!$C$117),1,0))</f>
        <v/>
      </c>
      <c r="AR21" s="13" t="str">
        <f>IF(OR(K21="",Results!K13=""),"",IF(AND(K21=Results!K13,Results!K13&lt;&gt;Games!$C$118),1,0))</f>
        <v/>
      </c>
      <c r="AS21" s="13" t="str">
        <f>IF(OR(L21="",Results!L13=""),"",IF(AND(L21=Results!L13,Results!L13&lt;&gt;Games!$C$119),1,0))</f>
        <v/>
      </c>
      <c r="AT21" s="13" t="str">
        <f>IF(OR(M21="",Results!M13=""),"",IF(AND(M21=Results!M13,Results!M13&lt;&gt;Games!$C$120),1,0))</f>
        <v/>
      </c>
      <c r="AU21" s="13" t="str">
        <f>IF(OR(N21="",Results!N13=""),"",IF(AND(N21=Results!N13,Results!N13&lt;&gt;Games!$C$121),1,0))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 t="str">
        <f>IF(OR(B22="",Results!B13=""),"",IF(B22=Results!B13,1+IF(OR($O22=1,$P22=1,$Q22=1),1,0),0))</f>
        <v/>
      </c>
      <c r="T22" s="4" t="str">
        <f>IF(OR(C22="",Results!C13=""),"",IF(C22=Results!C13,1+IF(OR($O22=2,$P22=2,$Q22=2),1,0),0))</f>
        <v/>
      </c>
      <c r="U22" s="4" t="str">
        <f>IF(OR(D22="",Results!D13=""),"",IF(D22=Results!D13,1+IF(OR($O22=3,$P22=3,$Q22=3),1,0),0))</f>
        <v/>
      </c>
      <c r="V22" s="4" t="str">
        <f>IF(OR(E22="",Results!E13=""),"",IF(E22=Results!E13,1+IF(OR($O22=4,$P22=4,$Q22=4),1,0),0))</f>
        <v/>
      </c>
      <c r="W22" s="4" t="str">
        <f>IF(OR(F22="",Results!F13=""),"",IF(F22=Results!F13,1+IF(OR($O22=5,$P22=5,$Q22=5),1,0),0))</f>
        <v/>
      </c>
      <c r="X22" s="4" t="str">
        <f>IF(OR(G22="",Results!G13=""),"",IF(G22=Results!G13,1+IF(OR($O22=6,$P22=6,$Q22=6),1,0),0))</f>
        <v/>
      </c>
      <c r="Y22" s="4" t="str">
        <f>IF(OR(H22="",Results!H13=""),"",IF(H22=Results!H13,1+IF(OR($O22=7,$P22=7,$Q22=7),1,0),0))</f>
        <v/>
      </c>
      <c r="Z22" s="4" t="str">
        <f>IF(OR(I22="",Results!I13=""),"",IF(I22=Results!I13,1+IF(OR($O22=8,$P22=8,$Q22=8),1,0),0))</f>
        <v/>
      </c>
      <c r="AA22" s="4" t="str">
        <f>IF(OR(J22="",Results!J13=""),"",IF(J22=Results!J13,1+IF(OR($O22=9,$P22=9,$Q22=9),1,0),0))</f>
        <v/>
      </c>
      <c r="AB22" s="4" t="str">
        <f>IF(OR(K22="",Results!K13=""),"",IF(K22=Results!K13,1+IF(OR($O22=10,$P22=10,$Q22=10),1,0),0))</f>
        <v/>
      </c>
      <c r="AC22" s="4" t="str">
        <f>IF(OR(L22="",Results!L13=""),"",IF(L22=Results!L13,1+IF(OR($O22=11,$P22=11,$Q22=11),1,0),0))</f>
        <v/>
      </c>
      <c r="AD22" s="4" t="str">
        <f>IF(OR(M22="",Results!M13=""),"",IF(M22=Results!M13,1+IF(OR($O22=12,$P22=12,$Q22=12),1,0),0))</f>
        <v/>
      </c>
      <c r="AE22" s="4" t="str">
        <f>IF(OR(N22="",Results!N13=""),"",IF(N22=Results!N13,1+IF(OR($O22=13,$P22=13,$Q22=13),1,0),0))</f>
        <v/>
      </c>
      <c r="AF22" s="11">
        <f t="shared" si="0"/>
        <v>0</v>
      </c>
      <c r="AG22" s="4" t="str">
        <f>IF(OR($R22="",Results!O13=""),"",ABS($R22-Results!O13))</f>
        <v/>
      </c>
      <c r="AH22" s="12">
        <v>10</v>
      </c>
      <c r="AI22" s="13" t="str">
        <f>IF(OR(B22="",Results!B13=""),"",IF(AND(B22=Results!B13,Results!B13&lt;&gt;Games!$C$109),1,0))</f>
        <v/>
      </c>
      <c r="AJ22" s="13" t="str">
        <f>IF(OR(C22="",Results!C13=""),"",IF(AND(C22=Results!C13,Results!C13&lt;&gt;Games!$C$110),1,0))</f>
        <v/>
      </c>
      <c r="AK22" s="13" t="str">
        <f>IF(OR(D22="",Results!D13=""),"",IF(AND(D22=Results!D13,Results!D13&lt;&gt;Games!$C$111),1,0))</f>
        <v/>
      </c>
      <c r="AL22" s="13" t="str">
        <f>IF(OR(E22="",Results!E13=""),"",IF(AND(E22=Results!E13,Results!E13&lt;&gt;Games!$C$112),1,0))</f>
        <v/>
      </c>
      <c r="AM22" s="13" t="str">
        <f>IF(OR(F22="",Results!F13=""),"",IF(AND(F22=Results!F13,Results!F13&lt;&gt;Games!$C$113),1,0))</f>
        <v/>
      </c>
      <c r="AN22" s="13" t="str">
        <f>IF(OR(G22="",Results!G13=""),"",IF(AND(G22=Results!G13,Results!G13&lt;&gt;Games!$C$114),1,0))</f>
        <v/>
      </c>
      <c r="AO22" s="13" t="str">
        <f>IF(OR(H22="",Results!H13=""),"",IF(AND(H22=Results!H13,Results!H13&lt;&gt;Games!$C$115),1,0))</f>
        <v/>
      </c>
      <c r="AP22" s="13" t="str">
        <f>IF(OR(I22="",Results!I13=""),"",IF(AND(I22=Results!I13,Results!I13&lt;&gt;Games!$C$116),1,0))</f>
        <v/>
      </c>
      <c r="AQ22" s="13" t="str">
        <f>IF(OR(J22="",Results!J13=""),"",IF(AND(J22=Results!J13,Results!J13&lt;&gt;Games!$C$117),1,0))</f>
        <v/>
      </c>
      <c r="AR22" s="13" t="str">
        <f>IF(OR(K22="",Results!K13=""),"",IF(AND(K22=Results!K13,Results!K13&lt;&gt;Games!$C$118),1,0))</f>
        <v/>
      </c>
      <c r="AS22" s="13" t="str">
        <f>IF(OR(L22="",Results!L13=""),"",IF(AND(L22=Results!L13,Results!L13&lt;&gt;Games!$C$119),1,0))</f>
        <v/>
      </c>
      <c r="AT22" s="13" t="str">
        <f>IF(OR(M22="",Results!M13=""),"",IF(AND(M22=Results!M13,Results!M13&lt;&gt;Games!$C$120),1,0))</f>
        <v/>
      </c>
      <c r="AU22" s="13" t="str">
        <f>IF(OR(N22="",Results!N13=""),"",IF(AND(N22=Results!N13,Results!N13&lt;&gt;Games!$C$121),1,0))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 t="str">
        <f>IF(OR(B23="",Results!B13=""),"",IF(B23=Results!B13,1+IF(OR($O23=1,$P23=1,$Q23=1),1,0),0))</f>
        <v/>
      </c>
      <c r="T23" s="4" t="str">
        <f>IF(OR(C23="",Results!C13=""),"",IF(C23=Results!C13,1+IF(OR($O23=2,$P23=2,$Q23=2),1,0),0))</f>
        <v/>
      </c>
      <c r="U23" s="4" t="str">
        <f>IF(OR(D23="",Results!D13=""),"",IF(D23=Results!D13,1+IF(OR($O23=3,$P23=3,$Q23=3),1,0),0))</f>
        <v/>
      </c>
      <c r="V23" s="4" t="str">
        <f>IF(OR(E23="",Results!E13=""),"",IF(E23=Results!E13,1+IF(OR($O23=4,$P23=4,$Q23=4),1,0),0))</f>
        <v/>
      </c>
      <c r="W23" s="4" t="str">
        <f>IF(OR(F23="",Results!F13=""),"",IF(F23=Results!F13,1+IF(OR($O23=5,$P23=5,$Q23=5),1,0),0))</f>
        <v/>
      </c>
      <c r="X23" s="4" t="str">
        <f>IF(OR(G23="",Results!G13=""),"",IF(G23=Results!G13,1+IF(OR($O23=6,$P23=6,$Q23=6),1,0),0))</f>
        <v/>
      </c>
      <c r="Y23" s="4" t="str">
        <f>IF(OR(H23="",Results!H13=""),"",IF(H23=Results!H13,1+IF(OR($O23=7,$P23=7,$Q23=7),1,0),0))</f>
        <v/>
      </c>
      <c r="Z23" s="4" t="str">
        <f>IF(OR(I23="",Results!I13=""),"",IF(I23=Results!I13,1+IF(OR($O23=8,$P23=8,$Q23=8),1,0),0))</f>
        <v/>
      </c>
      <c r="AA23" s="4" t="str">
        <f>IF(OR(J23="",Results!J13=""),"",IF(J23=Results!J13,1+IF(OR($O23=9,$P23=9,$Q23=9),1,0),0))</f>
        <v/>
      </c>
      <c r="AB23" s="4" t="str">
        <f>IF(OR(K23="",Results!K13=""),"",IF(K23=Results!K13,1+IF(OR($O23=10,$P23=10,$Q23=10),1,0),0))</f>
        <v/>
      </c>
      <c r="AC23" s="4" t="str">
        <f>IF(OR(L23="",Results!L13=""),"",IF(L23=Results!L13,1+IF(OR($O23=11,$P23=11,$Q23=11),1,0),0))</f>
        <v/>
      </c>
      <c r="AD23" s="4" t="str">
        <f>IF(OR(M23="",Results!M13=""),"",IF(M23=Results!M13,1+IF(OR($O23=12,$P23=12,$Q23=12),1,0),0))</f>
        <v/>
      </c>
      <c r="AE23" s="4" t="str">
        <f>IF(OR(N23="",Results!N13=""),"",IF(N23=Results!N13,1+IF(OR($O23=13,$P23=13,$Q23=13),1,0),0))</f>
        <v/>
      </c>
      <c r="AF23" s="11">
        <f t="shared" si="0"/>
        <v>0</v>
      </c>
      <c r="AG23" s="4" t="str">
        <f>IF(OR($R23="",Results!O13=""),"",ABS($R23-Results!O13))</f>
        <v/>
      </c>
      <c r="AH23" s="12">
        <v>55</v>
      </c>
      <c r="AI23" s="13" t="str">
        <f>IF(OR(B23="",Results!B13=""),"",IF(AND(B23=Results!B13,Results!B13&lt;&gt;Games!$C$109),1,0))</f>
        <v/>
      </c>
      <c r="AJ23" s="13" t="str">
        <f>IF(OR(C23="",Results!C13=""),"",IF(AND(C23=Results!C13,Results!C13&lt;&gt;Games!$C$110),1,0))</f>
        <v/>
      </c>
      <c r="AK23" s="13" t="str">
        <f>IF(OR(D23="",Results!D13=""),"",IF(AND(D23=Results!D13,Results!D13&lt;&gt;Games!$C$111),1,0))</f>
        <v/>
      </c>
      <c r="AL23" s="13" t="str">
        <f>IF(OR(E23="",Results!E13=""),"",IF(AND(E23=Results!E13,Results!E13&lt;&gt;Games!$C$112),1,0))</f>
        <v/>
      </c>
      <c r="AM23" s="13" t="str">
        <f>IF(OR(F23="",Results!F13=""),"",IF(AND(F23=Results!F13,Results!F13&lt;&gt;Games!$C$113),1,0))</f>
        <v/>
      </c>
      <c r="AN23" s="13" t="str">
        <f>IF(OR(G23="",Results!G13=""),"",IF(AND(G23=Results!G13,Results!G13&lt;&gt;Games!$C$114),1,0))</f>
        <v/>
      </c>
      <c r="AO23" s="13" t="str">
        <f>IF(OR(H23="",Results!H13=""),"",IF(AND(H23=Results!H13,Results!H13&lt;&gt;Games!$C$115),1,0))</f>
        <v/>
      </c>
      <c r="AP23" s="13" t="str">
        <f>IF(OR(I23="",Results!I13=""),"",IF(AND(I23=Results!I13,Results!I13&lt;&gt;Games!$C$116),1,0))</f>
        <v/>
      </c>
      <c r="AQ23" s="13" t="str">
        <f>IF(OR(J23="",Results!J13=""),"",IF(AND(J23=Results!J13,Results!J13&lt;&gt;Games!$C$117),1,0))</f>
        <v/>
      </c>
      <c r="AR23" s="13" t="str">
        <f>IF(OR(K23="",Results!K13=""),"",IF(AND(K23=Results!K13,Results!K13&lt;&gt;Games!$C$118),1,0))</f>
        <v/>
      </c>
      <c r="AS23" s="13" t="str">
        <f>IF(OR(L23="",Results!L13=""),"",IF(AND(L23=Results!L13,Results!L13&lt;&gt;Games!$C$119),1,0))</f>
        <v/>
      </c>
      <c r="AT23" s="13" t="str">
        <f>IF(OR(M23="",Results!M13=""),"",IF(AND(M23=Results!M13,Results!M13&lt;&gt;Games!$C$120),1,0))</f>
        <v/>
      </c>
      <c r="AU23" s="13" t="str">
        <f>IF(OR(N23="",Results!N13=""),"",IF(AND(N23=Results!N13,Results!N13&lt;&gt;Games!$C$121),1,0))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IF(OR(B24="",Results!B13=""),"",IF(B24=Results!B13,1+IF(OR($O24=1,$P24=1,$Q24=1),1,0),0))</f>
        <v/>
      </c>
      <c r="T24" s="4" t="str">
        <f>IF(OR(C24="",Results!C13=""),"",IF(C24=Results!C13,1+IF(OR($O24=2,$P24=2,$Q24=2),1,0),0))</f>
        <v/>
      </c>
      <c r="U24" s="4" t="str">
        <f>IF(OR(D24="",Results!D13=""),"",IF(D24=Results!D13,1+IF(OR($O24=3,$P24=3,$Q24=3),1,0),0))</f>
        <v/>
      </c>
      <c r="V24" s="4" t="str">
        <f>IF(OR(E24="",Results!E13=""),"",IF(E24=Results!E13,1+IF(OR($O24=4,$P24=4,$Q24=4),1,0),0))</f>
        <v/>
      </c>
      <c r="W24" s="4" t="str">
        <f>IF(OR(F24="",Results!F13=""),"",IF(F24=Results!F13,1+IF(OR($O24=5,$P24=5,$Q24=5),1,0),0))</f>
        <v/>
      </c>
      <c r="X24" s="4" t="str">
        <f>IF(OR(G24="",Results!G13=""),"",IF(G24=Results!G13,1+IF(OR($O24=6,$P24=6,$Q24=6),1,0),0))</f>
        <v/>
      </c>
      <c r="Y24" s="4" t="str">
        <f>IF(OR(H24="",Results!H13=""),"",IF(H24=Results!H13,1+IF(OR($O24=7,$P24=7,$Q24=7),1,0),0))</f>
        <v/>
      </c>
      <c r="Z24" s="4" t="str">
        <f>IF(OR(I24="",Results!I13=""),"",IF(I24=Results!I13,1+IF(OR($O24=8,$P24=8,$Q24=8),1,0),0))</f>
        <v/>
      </c>
      <c r="AA24" s="4" t="str">
        <f>IF(OR(J24="",Results!J13=""),"",IF(J24=Results!J13,1+IF(OR($O24=9,$P24=9,$Q24=9),1,0),0))</f>
        <v/>
      </c>
      <c r="AB24" s="4" t="str">
        <f>IF(OR(K24="",Results!K13=""),"",IF(K24=Results!K13,1+IF(OR($O24=10,$P24=10,$Q24=10),1,0),0))</f>
        <v/>
      </c>
      <c r="AC24" s="4" t="str">
        <f>IF(OR(L24="",Results!L13=""),"",IF(L24=Results!L13,1+IF(OR($O24=11,$P24=11,$Q24=11),1,0),0))</f>
        <v/>
      </c>
      <c r="AD24" s="4" t="str">
        <f>IF(OR(M24="",Results!M13=""),"",IF(M24=Results!M13,1+IF(OR($O24=12,$P24=12,$Q24=12),1,0),0))</f>
        <v/>
      </c>
      <c r="AE24" s="4" t="str">
        <f>IF(OR(N24="",Results!N13=""),"",IF(N24=Results!N13,1+IF(OR($O24=13,$P24=13,$Q24=13),1,0),0))</f>
        <v/>
      </c>
      <c r="AF24" s="11">
        <f t="shared" si="0"/>
        <v>0</v>
      </c>
      <c r="AG24" s="4" t="str">
        <f>IF(OR($R24="",Results!O13=""),"",ABS($R24-Results!O13))</f>
        <v/>
      </c>
      <c r="AH24" s="12">
        <v>47</v>
      </c>
      <c r="AI24" s="13" t="str">
        <f>IF(OR(B24="",Results!B13=""),"",IF(AND(B24=Results!B13,Results!B13&lt;&gt;Games!$C$109),1,0))</f>
        <v/>
      </c>
      <c r="AJ24" s="13" t="str">
        <f>IF(OR(C24="",Results!C13=""),"",IF(AND(C24=Results!C13,Results!C13&lt;&gt;Games!$C$110),1,0))</f>
        <v/>
      </c>
      <c r="AK24" s="13" t="str">
        <f>IF(OR(D24="",Results!D13=""),"",IF(AND(D24=Results!D13,Results!D13&lt;&gt;Games!$C$111),1,0))</f>
        <v/>
      </c>
      <c r="AL24" s="13" t="str">
        <f>IF(OR(E24="",Results!E13=""),"",IF(AND(E24=Results!E13,Results!E13&lt;&gt;Games!$C$112),1,0))</f>
        <v/>
      </c>
      <c r="AM24" s="13" t="str">
        <f>IF(OR(F24="",Results!F13=""),"",IF(AND(F24=Results!F13,Results!F13&lt;&gt;Games!$C$113),1,0))</f>
        <v/>
      </c>
      <c r="AN24" s="13" t="str">
        <f>IF(OR(G24="",Results!G13=""),"",IF(AND(G24=Results!G13,Results!G13&lt;&gt;Games!$C$114),1,0))</f>
        <v/>
      </c>
      <c r="AO24" s="13" t="str">
        <f>IF(OR(H24="",Results!H13=""),"",IF(AND(H24=Results!H13,Results!H13&lt;&gt;Games!$C$115),1,0))</f>
        <v/>
      </c>
      <c r="AP24" s="13" t="str">
        <f>IF(OR(I24="",Results!I13=""),"",IF(AND(I24=Results!I13,Results!I13&lt;&gt;Games!$C$116),1,0))</f>
        <v/>
      </c>
      <c r="AQ24" s="13" t="str">
        <f>IF(OR(J24="",Results!J13=""),"",IF(AND(J24=Results!J13,Results!J13&lt;&gt;Games!$C$117),1,0))</f>
        <v/>
      </c>
      <c r="AR24" s="13" t="str">
        <f>IF(OR(K24="",Results!K13=""),"",IF(AND(K24=Results!K13,Results!K13&lt;&gt;Games!$C$118),1,0))</f>
        <v/>
      </c>
      <c r="AS24" s="13" t="str">
        <f>IF(OR(L24="",Results!L13=""),"",IF(AND(L24=Results!L13,Results!L13&lt;&gt;Games!$C$119),1,0))</f>
        <v/>
      </c>
      <c r="AT24" s="13" t="str">
        <f>IF(OR(M24="",Results!M13=""),"",IF(AND(M24=Results!M13,Results!M13&lt;&gt;Games!$C$120),1,0))</f>
        <v/>
      </c>
      <c r="AU24" s="13" t="str">
        <f>IF(OR(N24="",Results!N13=""),"",IF(AND(N24=Results!N13,Results!N13&lt;&gt;Games!$C$121),1,0))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 t="str">
        <f>IF(OR(B25="",Results!B13=""),"",IF(B25=Results!B13,1+IF(OR($O25=1,$P25=1,$Q25=1),1,0),0))</f>
        <v/>
      </c>
      <c r="T25" s="4" t="str">
        <f>IF(OR(C25="",Results!C13=""),"",IF(C25=Results!C13,1+IF(OR($O25=2,$P25=2,$Q25=2),1,0),0))</f>
        <v/>
      </c>
      <c r="U25" s="4" t="str">
        <f>IF(OR(D25="",Results!D13=""),"",IF(D25=Results!D13,1+IF(OR($O25=3,$P25=3,$Q25=3),1,0),0))</f>
        <v/>
      </c>
      <c r="V25" s="4" t="str">
        <f>IF(OR(E25="",Results!E13=""),"",IF(E25=Results!E13,1+IF(OR($O25=4,$P25=4,$Q25=4),1,0),0))</f>
        <v/>
      </c>
      <c r="W25" s="4" t="str">
        <f>IF(OR(F25="",Results!F13=""),"",IF(F25=Results!F13,1+IF(OR($O25=5,$P25=5,$Q25=5),1,0),0))</f>
        <v/>
      </c>
      <c r="X25" s="4" t="str">
        <f>IF(OR(G25="",Results!G13=""),"",IF(G25=Results!G13,1+IF(OR($O25=6,$P25=6,$Q25=6),1,0),0))</f>
        <v/>
      </c>
      <c r="Y25" s="4" t="str">
        <f>IF(OR(H25="",Results!H13=""),"",IF(H25=Results!H13,1+IF(OR($O25=7,$P25=7,$Q25=7),1,0),0))</f>
        <v/>
      </c>
      <c r="Z25" s="4" t="str">
        <f>IF(OR(I25="",Results!I13=""),"",IF(I25=Results!I13,1+IF(OR($O25=8,$P25=8,$Q25=8),1,0),0))</f>
        <v/>
      </c>
      <c r="AA25" s="4" t="str">
        <f>IF(OR(J25="",Results!J13=""),"",IF(J25=Results!J13,1+IF(OR($O25=9,$P25=9,$Q25=9),1,0),0))</f>
        <v/>
      </c>
      <c r="AB25" s="4" t="str">
        <f>IF(OR(K25="",Results!K13=""),"",IF(K25=Results!K13,1+IF(OR($O25=10,$P25=10,$Q25=10),1,0),0))</f>
        <v/>
      </c>
      <c r="AC25" s="4" t="str">
        <f>IF(OR(L25="",Results!L13=""),"",IF(L25=Results!L13,1+IF(OR($O25=11,$P25=11,$Q25=11),1,0),0))</f>
        <v/>
      </c>
      <c r="AD25" s="4" t="str">
        <f>IF(OR(M25="",Results!M13=""),"",IF(M25=Results!M13,1+IF(OR($O25=12,$P25=12,$Q25=12),1,0),0))</f>
        <v/>
      </c>
      <c r="AE25" s="4" t="str">
        <f>IF(OR(N25="",Results!N13=""),"",IF(N25=Results!N13,1+IF(OR($O25=13,$P25=13,$Q25=13),1,0),0))</f>
        <v/>
      </c>
      <c r="AF25" s="11">
        <f t="shared" si="0"/>
        <v>0</v>
      </c>
      <c r="AG25" s="4" t="str">
        <f>IF(OR($R25="",Results!O13=""),"",ABS($R25-Results!O13))</f>
        <v/>
      </c>
      <c r="AH25" s="12">
        <v>54</v>
      </c>
      <c r="AI25" s="13" t="str">
        <f>IF(OR(B25="",Results!B13=""),"",IF(AND(B25=Results!B13,Results!B13&lt;&gt;Games!$C$109),1,0))</f>
        <v/>
      </c>
      <c r="AJ25" s="13" t="str">
        <f>IF(OR(C25="",Results!C13=""),"",IF(AND(C25=Results!C13,Results!C13&lt;&gt;Games!$C$110),1,0))</f>
        <v/>
      </c>
      <c r="AK25" s="13" t="str">
        <f>IF(OR(D25="",Results!D13=""),"",IF(AND(D25=Results!D13,Results!D13&lt;&gt;Games!$C$111),1,0))</f>
        <v/>
      </c>
      <c r="AL25" s="13" t="str">
        <f>IF(OR(E25="",Results!E13=""),"",IF(AND(E25=Results!E13,Results!E13&lt;&gt;Games!$C$112),1,0))</f>
        <v/>
      </c>
      <c r="AM25" s="13" t="str">
        <f>IF(OR(F25="",Results!F13=""),"",IF(AND(F25=Results!F13,Results!F13&lt;&gt;Games!$C$113),1,0))</f>
        <v/>
      </c>
      <c r="AN25" s="13" t="str">
        <f>IF(OR(G25="",Results!G13=""),"",IF(AND(G25=Results!G13,Results!G13&lt;&gt;Games!$C$114),1,0))</f>
        <v/>
      </c>
      <c r="AO25" s="13" t="str">
        <f>IF(OR(H25="",Results!H13=""),"",IF(AND(H25=Results!H13,Results!H13&lt;&gt;Games!$C$115),1,0))</f>
        <v/>
      </c>
      <c r="AP25" s="13" t="str">
        <f>IF(OR(I25="",Results!I13=""),"",IF(AND(I25=Results!I13,Results!I13&lt;&gt;Games!$C$116),1,0))</f>
        <v/>
      </c>
      <c r="AQ25" s="13" t="str">
        <f>IF(OR(J25="",Results!J13=""),"",IF(AND(J25=Results!J13,Results!J13&lt;&gt;Games!$C$117),1,0))</f>
        <v/>
      </c>
      <c r="AR25" s="13" t="str">
        <f>IF(OR(K25="",Results!K13=""),"",IF(AND(K25=Results!K13,Results!K13&lt;&gt;Games!$C$118),1,0))</f>
        <v/>
      </c>
      <c r="AS25" s="13" t="str">
        <f>IF(OR(L25="",Results!L13=""),"",IF(AND(L25=Results!L13,Results!L13&lt;&gt;Games!$C$119),1,0))</f>
        <v/>
      </c>
      <c r="AT25" s="13" t="str">
        <f>IF(OR(M25="",Results!M13=""),"",IF(AND(M25=Results!M13,Results!M13&lt;&gt;Games!$C$120),1,0))</f>
        <v/>
      </c>
      <c r="AU25" s="13" t="str">
        <f>IF(OR(N25="",Results!N13=""),"",IF(AND(N25=Results!N13,Results!N13&lt;&gt;Games!$C$121),1,0))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tr">
        <f>IF(OR(B26="",Results!B13=""),"",IF(B26=Results!B13,1+IF(OR($O26=1,$P26=1,$Q26=1),1,0),0))</f>
        <v/>
      </c>
      <c r="T26" s="4" t="str">
        <f>IF(OR(C26="",Results!C13=""),"",IF(C26=Results!C13,1+IF(OR($O26=2,$P26=2,$Q26=2),1,0),0))</f>
        <v/>
      </c>
      <c r="U26" s="4" t="str">
        <f>IF(OR(D26="",Results!D13=""),"",IF(D26=Results!D13,1+IF(OR($O26=3,$P26=3,$Q26=3),1,0),0))</f>
        <v/>
      </c>
      <c r="V26" s="4" t="str">
        <f>IF(OR(E26="",Results!E13=""),"",IF(E26=Results!E13,1+IF(OR($O26=4,$P26=4,$Q26=4),1,0),0))</f>
        <v/>
      </c>
      <c r="W26" s="4" t="str">
        <f>IF(OR(F26="",Results!F13=""),"",IF(F26=Results!F13,1+IF(OR($O26=5,$P26=5,$Q26=5),1,0),0))</f>
        <v/>
      </c>
      <c r="X26" s="4" t="str">
        <f>IF(OR(G26="",Results!G13=""),"",IF(G26=Results!G13,1+IF(OR($O26=6,$P26=6,$Q26=6),1,0),0))</f>
        <v/>
      </c>
      <c r="Y26" s="4" t="str">
        <f>IF(OR(H26="",Results!H13=""),"",IF(H26=Results!H13,1+IF(OR($O26=7,$P26=7,$Q26=7),1,0),0))</f>
        <v/>
      </c>
      <c r="Z26" s="4" t="str">
        <f>IF(OR(I26="",Results!I13=""),"",IF(I26=Results!I13,1+IF(OR($O26=8,$P26=8,$Q26=8),1,0),0))</f>
        <v/>
      </c>
      <c r="AA26" s="4" t="str">
        <f>IF(OR(J26="",Results!J13=""),"",IF(J26=Results!J13,1+IF(OR($O26=9,$P26=9,$Q26=9),1,0),0))</f>
        <v/>
      </c>
      <c r="AB26" s="4" t="str">
        <f>IF(OR(K26="",Results!K13=""),"",IF(K26=Results!K13,1+IF(OR($O26=10,$P26=10,$Q26=10),1,0),0))</f>
        <v/>
      </c>
      <c r="AC26" s="4" t="str">
        <f>IF(OR(L26="",Results!L13=""),"",IF(L26=Results!L13,1+IF(OR($O26=11,$P26=11,$Q26=11),1,0),0))</f>
        <v/>
      </c>
      <c r="AD26" s="4" t="str">
        <f>IF(OR(M26="",Results!M13=""),"",IF(M26=Results!M13,1+IF(OR($O26=12,$P26=12,$Q26=12),1,0),0))</f>
        <v/>
      </c>
      <c r="AE26" s="4" t="str">
        <f>IF(OR(N26="",Results!N13=""),"",IF(N26=Results!N13,1+IF(OR($O26=13,$P26=13,$Q26=13),1,0),0))</f>
        <v/>
      </c>
      <c r="AF26" s="11">
        <f t="shared" si="0"/>
        <v>0</v>
      </c>
      <c r="AG26" s="4" t="str">
        <f>IF(OR($R26="",Results!O13=""),"",ABS($R26-Results!O13))</f>
        <v/>
      </c>
      <c r="AH26" s="12">
        <v>48</v>
      </c>
      <c r="AI26" s="13" t="str">
        <f>IF(OR(B26="",Results!B13=""),"",IF(AND(B26=Results!B13,Results!B13&lt;&gt;Games!$C$109),1,0))</f>
        <v/>
      </c>
      <c r="AJ26" s="13" t="str">
        <f>IF(OR(C26="",Results!C13=""),"",IF(AND(C26=Results!C13,Results!C13&lt;&gt;Games!$C$110),1,0))</f>
        <v/>
      </c>
      <c r="AK26" s="13" t="str">
        <f>IF(OR(D26="",Results!D13=""),"",IF(AND(D26=Results!D13,Results!D13&lt;&gt;Games!$C$111),1,0))</f>
        <v/>
      </c>
      <c r="AL26" s="13" t="str">
        <f>IF(OR(E26="",Results!E13=""),"",IF(AND(E26=Results!E13,Results!E13&lt;&gt;Games!$C$112),1,0))</f>
        <v/>
      </c>
      <c r="AM26" s="13" t="str">
        <f>IF(OR(F26="",Results!F13=""),"",IF(AND(F26=Results!F13,Results!F13&lt;&gt;Games!$C$113),1,0))</f>
        <v/>
      </c>
      <c r="AN26" s="13" t="str">
        <f>IF(OR(G26="",Results!G13=""),"",IF(AND(G26=Results!G13,Results!G13&lt;&gt;Games!$C$114),1,0))</f>
        <v/>
      </c>
      <c r="AO26" s="13" t="str">
        <f>IF(OR(H26="",Results!H13=""),"",IF(AND(H26=Results!H13,Results!H13&lt;&gt;Games!$C$115),1,0))</f>
        <v/>
      </c>
      <c r="AP26" s="13" t="str">
        <f>IF(OR(I26="",Results!I13=""),"",IF(AND(I26=Results!I13,Results!I13&lt;&gt;Games!$C$116),1,0))</f>
        <v/>
      </c>
      <c r="AQ26" s="13" t="str">
        <f>IF(OR(J26="",Results!J13=""),"",IF(AND(J26=Results!J13,Results!J13&lt;&gt;Games!$C$117),1,0))</f>
        <v/>
      </c>
      <c r="AR26" s="13" t="str">
        <f>IF(OR(K26="",Results!K13=""),"",IF(AND(K26=Results!K13,Results!K13&lt;&gt;Games!$C$118),1,0))</f>
        <v/>
      </c>
      <c r="AS26" s="13" t="str">
        <f>IF(OR(L26="",Results!L13=""),"",IF(AND(L26=Results!L13,Results!L13&lt;&gt;Games!$C$119),1,0))</f>
        <v/>
      </c>
      <c r="AT26" s="13" t="str">
        <f>IF(OR(M26="",Results!M13=""),"",IF(AND(M26=Results!M13,Results!M13&lt;&gt;Games!$C$120),1,0))</f>
        <v/>
      </c>
      <c r="AU26" s="13" t="str">
        <f>IF(OR(N26="",Results!N13=""),"",IF(AND(N26=Results!N13,Results!N13&lt;&gt;Games!$C$121),1,0))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 t="str">
        <f>IF(OR(B27="",Results!B13=""),"",IF(B27=Results!B13,1+IF(OR($O27=1,$P27=1,$Q27=1),1,0),0))</f>
        <v/>
      </c>
      <c r="T27" s="4" t="str">
        <f>IF(OR(C27="",Results!C13=""),"",IF(C27=Results!C13,1+IF(OR($O27=2,$P27=2,$Q27=2),1,0),0))</f>
        <v/>
      </c>
      <c r="U27" s="4" t="str">
        <f>IF(OR(D27="",Results!D13=""),"",IF(D27=Results!D13,1+IF(OR($O27=3,$P27=3,$Q27=3),1,0),0))</f>
        <v/>
      </c>
      <c r="V27" s="4" t="str">
        <f>IF(OR(E27="",Results!E13=""),"",IF(E27=Results!E13,1+IF(OR($O27=4,$P27=4,$Q27=4),1,0),0))</f>
        <v/>
      </c>
      <c r="W27" s="4" t="str">
        <f>IF(OR(F27="",Results!F13=""),"",IF(F27=Results!F13,1+IF(OR($O27=5,$P27=5,$Q27=5),1,0),0))</f>
        <v/>
      </c>
      <c r="X27" s="4" t="str">
        <f>IF(OR(G27="",Results!G13=""),"",IF(G27=Results!G13,1+IF(OR($O27=6,$P27=6,$Q27=6),1,0),0))</f>
        <v/>
      </c>
      <c r="Y27" s="4" t="str">
        <f>IF(OR(H27="",Results!H13=""),"",IF(H27=Results!H13,1+IF(OR($O27=7,$P27=7,$Q27=7),1,0),0))</f>
        <v/>
      </c>
      <c r="Z27" s="4" t="str">
        <f>IF(OR(I27="",Results!I13=""),"",IF(I27=Results!I13,1+IF(OR($O27=8,$P27=8,$Q27=8),1,0),0))</f>
        <v/>
      </c>
      <c r="AA27" s="4" t="str">
        <f>IF(OR(J27="",Results!J13=""),"",IF(J27=Results!J13,1+IF(OR($O27=9,$P27=9,$Q27=9),1,0),0))</f>
        <v/>
      </c>
      <c r="AB27" s="4" t="str">
        <f>IF(OR(K27="",Results!K13=""),"",IF(K27=Results!K13,1+IF(OR($O27=10,$P27=10,$Q27=10),1,0),0))</f>
        <v/>
      </c>
      <c r="AC27" s="4" t="str">
        <f>IF(OR(L27="",Results!L13=""),"",IF(L27=Results!L13,1+IF(OR($O27=11,$P27=11,$Q27=11),1,0),0))</f>
        <v/>
      </c>
      <c r="AD27" s="4" t="str">
        <f>IF(OR(M27="",Results!M13=""),"",IF(M27=Results!M13,1+IF(OR($O27=12,$P27=12,$Q27=12),1,0),0))</f>
        <v/>
      </c>
      <c r="AE27" s="4" t="str">
        <f>IF(OR(N27="",Results!N13=""),"",IF(N27=Results!N13,1+IF(OR($O27=13,$P27=13,$Q27=13),1,0),0))</f>
        <v/>
      </c>
      <c r="AF27" s="11">
        <f t="shared" si="0"/>
        <v>0</v>
      </c>
      <c r="AG27" s="4" t="str">
        <f>IF(OR($R27="",Results!O13=""),"",ABS($R27-Results!O13))</f>
        <v/>
      </c>
      <c r="AH27" s="12">
        <v>38</v>
      </c>
      <c r="AI27" s="13" t="str">
        <f>IF(OR(B27="",Results!B13=""),"",IF(AND(B27=Results!B13,Results!B13&lt;&gt;Games!$C$109),1,0))</f>
        <v/>
      </c>
      <c r="AJ27" s="13" t="str">
        <f>IF(OR(C27="",Results!C13=""),"",IF(AND(C27=Results!C13,Results!C13&lt;&gt;Games!$C$110),1,0))</f>
        <v/>
      </c>
      <c r="AK27" s="13" t="str">
        <f>IF(OR(D27="",Results!D13=""),"",IF(AND(D27=Results!D13,Results!D13&lt;&gt;Games!$C$111),1,0))</f>
        <v/>
      </c>
      <c r="AL27" s="13" t="str">
        <f>IF(OR(E27="",Results!E13=""),"",IF(AND(E27=Results!E13,Results!E13&lt;&gt;Games!$C$112),1,0))</f>
        <v/>
      </c>
      <c r="AM27" s="13" t="str">
        <f>IF(OR(F27="",Results!F13=""),"",IF(AND(F27=Results!F13,Results!F13&lt;&gt;Games!$C$113),1,0))</f>
        <v/>
      </c>
      <c r="AN27" s="13" t="str">
        <f>IF(OR(G27="",Results!G13=""),"",IF(AND(G27=Results!G13,Results!G13&lt;&gt;Games!$C$114),1,0))</f>
        <v/>
      </c>
      <c r="AO27" s="13" t="str">
        <f>IF(OR(H27="",Results!H13=""),"",IF(AND(H27=Results!H13,Results!H13&lt;&gt;Games!$C$115),1,0))</f>
        <v/>
      </c>
      <c r="AP27" s="13" t="str">
        <f>IF(OR(I27="",Results!I13=""),"",IF(AND(I27=Results!I13,Results!I13&lt;&gt;Games!$C$116),1,0))</f>
        <v/>
      </c>
      <c r="AQ27" s="13" t="str">
        <f>IF(OR(J27="",Results!J13=""),"",IF(AND(J27=Results!J13,Results!J13&lt;&gt;Games!$C$117),1,0))</f>
        <v/>
      </c>
      <c r="AR27" s="13" t="str">
        <f>IF(OR(K27="",Results!K13=""),"",IF(AND(K27=Results!K13,Results!K13&lt;&gt;Games!$C$118),1,0))</f>
        <v/>
      </c>
      <c r="AS27" s="13" t="str">
        <f>IF(OR(L27="",Results!L13=""),"",IF(AND(L27=Results!L13,Results!L13&lt;&gt;Games!$C$119),1,0))</f>
        <v/>
      </c>
      <c r="AT27" s="13" t="str">
        <f>IF(OR(M27="",Results!M13=""),"",IF(AND(M27=Results!M13,Results!M13&lt;&gt;Games!$C$120),1,0))</f>
        <v/>
      </c>
      <c r="AU27" s="13" t="str">
        <f>IF(OR(N27="",Results!N13=""),"",IF(AND(N27=Results!N13,Results!N13&lt;&gt;Games!$C$121),1,0))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IF(OR(B28="",Results!B13=""),"",IF(B28=Results!B13,1+IF(OR($O28=1,$P28=1,$Q28=1),1,0),0))</f>
        <v/>
      </c>
      <c r="T28" s="4" t="str">
        <f>IF(OR(C28="",Results!C13=""),"",IF(C28=Results!C13,1+IF(OR($O28=2,$P28=2,$Q28=2),1,0),0))</f>
        <v/>
      </c>
      <c r="U28" s="4" t="str">
        <f>IF(OR(D28="",Results!D13=""),"",IF(D28=Results!D13,1+IF(OR($O28=3,$P28=3,$Q28=3),1,0),0))</f>
        <v/>
      </c>
      <c r="V28" s="4" t="str">
        <f>IF(OR(E28="",Results!E13=""),"",IF(E28=Results!E13,1+IF(OR($O28=4,$P28=4,$Q28=4),1,0),0))</f>
        <v/>
      </c>
      <c r="W28" s="4" t="str">
        <f>IF(OR(F28="",Results!F13=""),"",IF(F28=Results!F13,1+IF(OR($O28=5,$P28=5,$Q28=5),1,0),0))</f>
        <v/>
      </c>
      <c r="X28" s="4" t="str">
        <f>IF(OR(G28="",Results!G13=""),"",IF(G28=Results!G13,1+IF(OR($O28=6,$P28=6,$Q28=6),1,0),0))</f>
        <v/>
      </c>
      <c r="Y28" s="4" t="str">
        <f>IF(OR(H28="",Results!H13=""),"",IF(H28=Results!H13,1+IF(OR($O28=7,$P28=7,$Q28=7),1,0),0))</f>
        <v/>
      </c>
      <c r="Z28" s="4" t="str">
        <f>IF(OR(I28="",Results!I13=""),"",IF(I28=Results!I13,1+IF(OR($O28=8,$P28=8,$Q28=8),1,0),0))</f>
        <v/>
      </c>
      <c r="AA28" s="4" t="str">
        <f>IF(OR(J28="",Results!J13=""),"",IF(J28=Results!J13,1+IF(OR($O28=9,$P28=9,$Q28=9),1,0),0))</f>
        <v/>
      </c>
      <c r="AB28" s="4" t="str">
        <f>IF(OR(K28="",Results!K13=""),"",IF(K28=Results!K13,1+IF(OR($O28=10,$P28=10,$Q28=10),1,0),0))</f>
        <v/>
      </c>
      <c r="AC28" s="4" t="str">
        <f>IF(OR(L28="",Results!L13=""),"",IF(L28=Results!L13,1+IF(OR($O28=11,$P28=11,$Q28=11),1,0),0))</f>
        <v/>
      </c>
      <c r="AD28" s="4" t="str">
        <f>IF(OR(M28="",Results!M13=""),"",IF(M28=Results!M13,1+IF(OR($O28=12,$P28=12,$Q28=12),1,0),0))</f>
        <v/>
      </c>
      <c r="AE28" s="4" t="str">
        <f>IF(OR(N28="",Results!N13=""),"",IF(N28=Results!N13,1+IF(OR($O28=13,$P28=13,$Q28=13),1,0),0))</f>
        <v/>
      </c>
      <c r="AF28" s="11">
        <f t="shared" si="0"/>
        <v>0</v>
      </c>
      <c r="AG28" s="4" t="str">
        <f>IF(OR($R28="",Results!O13=""),"",ABS($R28-Results!O13))</f>
        <v/>
      </c>
      <c r="AH28" s="12">
        <v>60</v>
      </c>
      <c r="AI28" s="13" t="str">
        <f>IF(OR(B28="",Results!B13=""),"",IF(AND(B28=Results!B13,Results!B13&lt;&gt;Games!$C$109),1,0))</f>
        <v/>
      </c>
      <c r="AJ28" s="13" t="str">
        <f>IF(OR(C28="",Results!C13=""),"",IF(AND(C28=Results!C13,Results!C13&lt;&gt;Games!$C$110),1,0))</f>
        <v/>
      </c>
      <c r="AK28" s="13" t="str">
        <f>IF(OR(D28="",Results!D13=""),"",IF(AND(D28=Results!D13,Results!D13&lt;&gt;Games!$C$111),1,0))</f>
        <v/>
      </c>
      <c r="AL28" s="13" t="str">
        <f>IF(OR(E28="",Results!E13=""),"",IF(AND(E28=Results!E13,Results!E13&lt;&gt;Games!$C$112),1,0))</f>
        <v/>
      </c>
      <c r="AM28" s="13" t="str">
        <f>IF(OR(F28="",Results!F13=""),"",IF(AND(F28=Results!F13,Results!F13&lt;&gt;Games!$C$113),1,0))</f>
        <v/>
      </c>
      <c r="AN28" s="13" t="str">
        <f>IF(OR(G28="",Results!G13=""),"",IF(AND(G28=Results!G13,Results!G13&lt;&gt;Games!$C$114),1,0))</f>
        <v/>
      </c>
      <c r="AO28" s="13" t="str">
        <f>IF(OR(H28="",Results!H13=""),"",IF(AND(H28=Results!H13,Results!H13&lt;&gt;Games!$C$115),1,0))</f>
        <v/>
      </c>
      <c r="AP28" s="13" t="str">
        <f>IF(OR(I28="",Results!I13=""),"",IF(AND(I28=Results!I13,Results!I13&lt;&gt;Games!$C$116),1,0))</f>
        <v/>
      </c>
      <c r="AQ28" s="13" t="str">
        <f>IF(OR(J28="",Results!J13=""),"",IF(AND(J28=Results!J13,Results!J13&lt;&gt;Games!$C$117),1,0))</f>
        <v/>
      </c>
      <c r="AR28" s="13" t="str">
        <f>IF(OR(K28="",Results!K13=""),"",IF(AND(K28=Results!K13,Results!K13&lt;&gt;Games!$C$118),1,0))</f>
        <v/>
      </c>
      <c r="AS28" s="13" t="str">
        <f>IF(OR(L28="",Results!L13=""),"",IF(AND(L28=Results!L13,Results!L13&lt;&gt;Games!$C$119),1,0))</f>
        <v/>
      </c>
      <c r="AT28" s="13" t="str">
        <f>IF(OR(M28="",Results!M13=""),"",IF(AND(M28=Results!M13,Results!M13&lt;&gt;Games!$C$120),1,0))</f>
        <v/>
      </c>
      <c r="AU28" s="13" t="str">
        <f>IF(OR(N28="",Results!N13=""),"",IF(AND(N28=Results!N13,Results!N13&lt;&gt;Games!$C$121),1,0))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IF(OR(B29="",Results!B13=""),"",IF(B29=Results!B13,1+IF(OR($O29=1,$P29=1,$Q29=1),1,0),0))</f>
        <v/>
      </c>
      <c r="T29" s="4" t="str">
        <f>IF(OR(C29="",Results!C13=""),"",IF(C29=Results!C13,1+IF(OR($O29=2,$P29=2,$Q29=2),1,0),0))</f>
        <v/>
      </c>
      <c r="U29" s="4" t="str">
        <f>IF(OR(D29="",Results!D13=""),"",IF(D29=Results!D13,1+IF(OR($O29=3,$P29=3,$Q29=3),1,0),0))</f>
        <v/>
      </c>
      <c r="V29" s="4" t="str">
        <f>IF(OR(E29="",Results!E13=""),"",IF(E29=Results!E13,1+IF(OR($O29=4,$P29=4,$Q29=4),1,0),0))</f>
        <v/>
      </c>
      <c r="W29" s="4" t="str">
        <f>IF(OR(F29="",Results!F13=""),"",IF(F29=Results!F13,1+IF(OR($O29=5,$P29=5,$Q29=5),1,0),0))</f>
        <v/>
      </c>
      <c r="X29" s="4" t="str">
        <f>IF(OR(G29="",Results!G13=""),"",IF(G29=Results!G13,1+IF(OR($O29=6,$P29=6,$Q29=6),1,0),0))</f>
        <v/>
      </c>
      <c r="Y29" s="4" t="str">
        <f>IF(OR(H29="",Results!H13=""),"",IF(H29=Results!H13,1+IF(OR($O29=7,$P29=7,$Q29=7),1,0),0))</f>
        <v/>
      </c>
      <c r="Z29" s="4" t="str">
        <f>IF(OR(I29="",Results!I13=""),"",IF(I29=Results!I13,1+IF(OR($O29=8,$P29=8,$Q29=8),1,0),0))</f>
        <v/>
      </c>
      <c r="AA29" s="4" t="str">
        <f>IF(OR(J29="",Results!J13=""),"",IF(J29=Results!J13,1+IF(OR($O29=9,$P29=9,$Q29=9),1,0),0))</f>
        <v/>
      </c>
      <c r="AB29" s="4" t="str">
        <f>IF(OR(K29="",Results!K13=""),"",IF(K29=Results!K13,1+IF(OR($O29=10,$P29=10,$Q29=10),1,0),0))</f>
        <v/>
      </c>
      <c r="AC29" s="4" t="str">
        <f>IF(OR(L29="",Results!L13=""),"",IF(L29=Results!L13,1+IF(OR($O29=11,$P29=11,$Q29=11),1,0),0))</f>
        <v/>
      </c>
      <c r="AD29" s="4" t="str">
        <f>IF(OR(M29="",Results!M13=""),"",IF(M29=Results!M13,1+IF(OR($O29=12,$P29=12,$Q29=12),1,0),0))</f>
        <v/>
      </c>
      <c r="AE29" s="4" t="str">
        <f>IF(OR(N29="",Results!N13=""),"",IF(N29=Results!N13,1+IF(OR($O29=13,$P29=13,$Q29=13),1,0),0))</f>
        <v/>
      </c>
      <c r="AF29" s="11">
        <f t="shared" si="0"/>
        <v>0</v>
      </c>
      <c r="AG29" s="4" t="str">
        <f>IF(OR($R29="",Results!O13=""),"",ABS($R29-Results!O13))</f>
        <v/>
      </c>
      <c r="AH29" s="12">
        <v>11</v>
      </c>
      <c r="AI29" s="13" t="str">
        <f>IF(OR(B29="",Results!B13=""),"",IF(AND(B29=Results!B13,Results!B13&lt;&gt;Games!$C$109),1,0))</f>
        <v/>
      </c>
      <c r="AJ29" s="13" t="str">
        <f>IF(OR(C29="",Results!C13=""),"",IF(AND(C29=Results!C13,Results!C13&lt;&gt;Games!$C$110),1,0))</f>
        <v/>
      </c>
      <c r="AK29" s="13" t="str">
        <f>IF(OR(D29="",Results!D13=""),"",IF(AND(D29=Results!D13,Results!D13&lt;&gt;Games!$C$111),1,0))</f>
        <v/>
      </c>
      <c r="AL29" s="13" t="str">
        <f>IF(OR(E29="",Results!E13=""),"",IF(AND(E29=Results!E13,Results!E13&lt;&gt;Games!$C$112),1,0))</f>
        <v/>
      </c>
      <c r="AM29" s="13" t="str">
        <f>IF(OR(F29="",Results!F13=""),"",IF(AND(F29=Results!F13,Results!F13&lt;&gt;Games!$C$113),1,0))</f>
        <v/>
      </c>
      <c r="AN29" s="13" t="str">
        <f>IF(OR(G29="",Results!G13=""),"",IF(AND(G29=Results!G13,Results!G13&lt;&gt;Games!$C$114),1,0))</f>
        <v/>
      </c>
      <c r="AO29" s="13" t="str">
        <f>IF(OR(H29="",Results!H13=""),"",IF(AND(H29=Results!H13,Results!H13&lt;&gt;Games!$C$115),1,0))</f>
        <v/>
      </c>
      <c r="AP29" s="13" t="str">
        <f>IF(OR(I29="",Results!I13=""),"",IF(AND(I29=Results!I13,Results!I13&lt;&gt;Games!$C$116),1,0))</f>
        <v/>
      </c>
      <c r="AQ29" s="13" t="str">
        <f>IF(OR(J29="",Results!J13=""),"",IF(AND(J29=Results!J13,Results!J13&lt;&gt;Games!$C$117),1,0))</f>
        <v/>
      </c>
      <c r="AR29" s="13" t="str">
        <f>IF(OR(K29="",Results!K13=""),"",IF(AND(K29=Results!K13,Results!K13&lt;&gt;Games!$C$118),1,0))</f>
        <v/>
      </c>
      <c r="AS29" s="13" t="str">
        <f>IF(OR(L29="",Results!L13=""),"",IF(AND(L29=Results!L13,Results!L13&lt;&gt;Games!$C$119),1,0))</f>
        <v/>
      </c>
      <c r="AT29" s="13" t="str">
        <f>IF(OR(M29="",Results!M13=""),"",IF(AND(M29=Results!M13,Results!M13&lt;&gt;Games!$C$120),1,0))</f>
        <v/>
      </c>
      <c r="AU29" s="13" t="str">
        <f>IF(OR(N29="",Results!N13=""),"",IF(AND(N29=Results!N13,Results!N13&lt;&gt;Games!$C$121),1,0))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 t="str">
        <f>IF(OR(B30="",Results!B13=""),"",IF(B30=Results!B13,1+IF(OR($O30=1,$P30=1,$Q30=1),1,0),0))</f>
        <v/>
      </c>
      <c r="T30" s="4" t="str">
        <f>IF(OR(C30="",Results!C13=""),"",IF(C30=Results!C13,1+IF(OR($O30=2,$P30=2,$Q30=2),1,0),0))</f>
        <v/>
      </c>
      <c r="U30" s="4" t="str">
        <f>IF(OR(D30="",Results!D13=""),"",IF(D30=Results!D13,1+IF(OR($O30=3,$P30=3,$Q30=3),1,0),0))</f>
        <v/>
      </c>
      <c r="V30" s="4" t="str">
        <f>IF(OR(E30="",Results!E13=""),"",IF(E30=Results!E13,1+IF(OR($O30=4,$P30=4,$Q30=4),1,0),0))</f>
        <v/>
      </c>
      <c r="W30" s="4" t="str">
        <f>IF(OR(F30="",Results!F13=""),"",IF(F30=Results!F13,1+IF(OR($O30=5,$P30=5,$Q30=5),1,0),0))</f>
        <v/>
      </c>
      <c r="X30" s="4" t="str">
        <f>IF(OR(G30="",Results!G13=""),"",IF(G30=Results!G13,1+IF(OR($O30=6,$P30=6,$Q30=6),1,0),0))</f>
        <v/>
      </c>
      <c r="Y30" s="4" t="str">
        <f>IF(OR(H30="",Results!H13=""),"",IF(H30=Results!H13,1+IF(OR($O30=7,$P30=7,$Q30=7),1,0),0))</f>
        <v/>
      </c>
      <c r="Z30" s="4" t="str">
        <f>IF(OR(I30="",Results!I13=""),"",IF(I30=Results!I13,1+IF(OR($O30=8,$P30=8,$Q30=8),1,0),0))</f>
        <v/>
      </c>
      <c r="AA30" s="4" t="str">
        <f>IF(OR(J30="",Results!J13=""),"",IF(J30=Results!J13,1+IF(OR($O30=9,$P30=9,$Q30=9),1,0),0))</f>
        <v/>
      </c>
      <c r="AB30" s="4" t="str">
        <f>IF(OR(K30="",Results!K13=""),"",IF(K30=Results!K13,1+IF(OR($O30=10,$P30=10,$Q30=10),1,0),0))</f>
        <v/>
      </c>
      <c r="AC30" s="4" t="str">
        <f>IF(OR(L30="",Results!L13=""),"",IF(L30=Results!L13,1+IF(OR($O30=11,$P30=11,$Q30=11),1,0),0))</f>
        <v/>
      </c>
      <c r="AD30" s="4" t="str">
        <f>IF(OR(M30="",Results!M13=""),"",IF(M30=Results!M13,1+IF(OR($O30=12,$P30=12,$Q30=12),1,0),0))</f>
        <v/>
      </c>
      <c r="AE30" s="4" t="str">
        <f>IF(OR(N30="",Results!N13=""),"",IF(N30=Results!N13,1+IF(OR($O30=13,$P30=13,$Q30=13),1,0),0))</f>
        <v/>
      </c>
      <c r="AF30" s="11">
        <f t="shared" si="0"/>
        <v>0</v>
      </c>
      <c r="AG30" s="4" t="str">
        <f>IF(OR($R30="",Results!O13=""),"",ABS($R30-Results!O13))</f>
        <v/>
      </c>
      <c r="AH30" s="12">
        <v>12</v>
      </c>
      <c r="AI30" s="13" t="str">
        <f>IF(OR(B30="",Results!B13=""),"",IF(AND(B30=Results!B13,Results!B13&lt;&gt;Games!$C$109),1,0))</f>
        <v/>
      </c>
      <c r="AJ30" s="13" t="str">
        <f>IF(OR(C30="",Results!C13=""),"",IF(AND(C30=Results!C13,Results!C13&lt;&gt;Games!$C$110),1,0))</f>
        <v/>
      </c>
      <c r="AK30" s="13" t="str">
        <f>IF(OR(D30="",Results!D13=""),"",IF(AND(D30=Results!D13,Results!D13&lt;&gt;Games!$C$111),1,0))</f>
        <v/>
      </c>
      <c r="AL30" s="13" t="str">
        <f>IF(OR(E30="",Results!E13=""),"",IF(AND(E30=Results!E13,Results!E13&lt;&gt;Games!$C$112),1,0))</f>
        <v/>
      </c>
      <c r="AM30" s="13" t="str">
        <f>IF(OR(F30="",Results!F13=""),"",IF(AND(F30=Results!F13,Results!F13&lt;&gt;Games!$C$113),1,0))</f>
        <v/>
      </c>
      <c r="AN30" s="13" t="str">
        <f>IF(OR(G30="",Results!G13=""),"",IF(AND(G30=Results!G13,Results!G13&lt;&gt;Games!$C$114),1,0))</f>
        <v/>
      </c>
      <c r="AO30" s="13" t="str">
        <f>IF(OR(H30="",Results!H13=""),"",IF(AND(H30=Results!H13,Results!H13&lt;&gt;Games!$C$115),1,0))</f>
        <v/>
      </c>
      <c r="AP30" s="13" t="str">
        <f>IF(OR(I30="",Results!I13=""),"",IF(AND(I30=Results!I13,Results!I13&lt;&gt;Games!$C$116),1,0))</f>
        <v/>
      </c>
      <c r="AQ30" s="13" t="str">
        <f>IF(OR(J30="",Results!J13=""),"",IF(AND(J30=Results!J13,Results!J13&lt;&gt;Games!$C$117),1,0))</f>
        <v/>
      </c>
      <c r="AR30" s="13" t="str">
        <f>IF(OR(K30="",Results!K13=""),"",IF(AND(K30=Results!K13,Results!K13&lt;&gt;Games!$C$118),1,0))</f>
        <v/>
      </c>
      <c r="AS30" s="13" t="str">
        <f>IF(OR(L30="",Results!L13=""),"",IF(AND(L30=Results!L13,Results!L13&lt;&gt;Games!$C$119),1,0))</f>
        <v/>
      </c>
      <c r="AT30" s="13" t="str">
        <f>IF(OR(M30="",Results!M13=""),"",IF(AND(M30=Results!M13,Results!M13&lt;&gt;Games!$C$120),1,0))</f>
        <v/>
      </c>
      <c r="AU30" s="13" t="str">
        <f>IF(OR(N30="",Results!N13=""),"",IF(AND(N30=Results!N13,Results!N13&lt;&gt;Games!$C$121),1,0))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IF(OR(B31="",Results!B13=""),"",IF(B31=Results!B13,1+IF(OR($O31=1,$P31=1,$Q31=1),1,0),0))</f>
        <v/>
      </c>
      <c r="T31" s="4" t="str">
        <f>IF(OR(C31="",Results!C13=""),"",IF(C31=Results!C13,1+IF(OR($O31=2,$P31=2,$Q31=2),1,0),0))</f>
        <v/>
      </c>
      <c r="U31" s="4" t="str">
        <f>IF(OR(D31="",Results!D13=""),"",IF(D31=Results!D13,1+IF(OR($O31=3,$P31=3,$Q31=3),1,0),0))</f>
        <v/>
      </c>
      <c r="V31" s="4" t="str">
        <f>IF(OR(E31="",Results!E13=""),"",IF(E31=Results!E13,1+IF(OR($O31=4,$P31=4,$Q31=4),1,0),0))</f>
        <v/>
      </c>
      <c r="W31" s="4" t="str">
        <f>IF(OR(F31="",Results!F13=""),"",IF(F31=Results!F13,1+IF(OR($O31=5,$P31=5,$Q31=5),1,0),0))</f>
        <v/>
      </c>
      <c r="X31" s="4" t="str">
        <f>IF(OR(G31="",Results!G13=""),"",IF(G31=Results!G13,1+IF(OR($O31=6,$P31=6,$Q31=6),1,0),0))</f>
        <v/>
      </c>
      <c r="Y31" s="4" t="str">
        <f>IF(OR(H31="",Results!H13=""),"",IF(H31=Results!H13,1+IF(OR($O31=7,$P31=7,$Q31=7),1,0),0))</f>
        <v/>
      </c>
      <c r="Z31" s="4" t="str">
        <f>IF(OR(I31="",Results!I13=""),"",IF(I31=Results!I13,1+IF(OR($O31=8,$P31=8,$Q31=8),1,0),0))</f>
        <v/>
      </c>
      <c r="AA31" s="4" t="str">
        <f>IF(OR(J31="",Results!J13=""),"",IF(J31=Results!J13,1+IF(OR($O31=9,$P31=9,$Q31=9),1,0),0))</f>
        <v/>
      </c>
      <c r="AB31" s="4" t="str">
        <f>IF(OR(K31="",Results!K13=""),"",IF(K31=Results!K13,1+IF(OR($O31=10,$P31=10,$Q31=10),1,0),0))</f>
        <v/>
      </c>
      <c r="AC31" s="4" t="str">
        <f>IF(OR(L31="",Results!L13=""),"",IF(L31=Results!L13,1+IF(OR($O31=11,$P31=11,$Q31=11),1,0),0))</f>
        <v/>
      </c>
      <c r="AD31" s="4" t="str">
        <f>IF(OR(M31="",Results!M13=""),"",IF(M31=Results!M13,1+IF(OR($O31=12,$P31=12,$Q31=12),1,0),0))</f>
        <v/>
      </c>
      <c r="AE31" s="4" t="str">
        <f>IF(OR(N31="",Results!N13=""),"",IF(N31=Results!N13,1+IF(OR($O31=13,$P31=13,$Q31=13),1,0),0))</f>
        <v/>
      </c>
      <c r="AF31" s="11">
        <f t="shared" si="0"/>
        <v>0</v>
      </c>
      <c r="AG31" s="4" t="str">
        <f>IF(OR($R31="",Results!O13=""),"",ABS($R31-Results!O13))</f>
        <v/>
      </c>
      <c r="AH31" s="12">
        <v>13</v>
      </c>
      <c r="AI31" s="13" t="str">
        <f>IF(OR(B31="",Results!B13=""),"",IF(AND(B31=Results!B13,Results!B13&lt;&gt;Games!$C$109),1,0))</f>
        <v/>
      </c>
      <c r="AJ31" s="13" t="str">
        <f>IF(OR(C31="",Results!C13=""),"",IF(AND(C31=Results!C13,Results!C13&lt;&gt;Games!$C$110),1,0))</f>
        <v/>
      </c>
      <c r="AK31" s="13" t="str">
        <f>IF(OR(D31="",Results!D13=""),"",IF(AND(D31=Results!D13,Results!D13&lt;&gt;Games!$C$111),1,0))</f>
        <v/>
      </c>
      <c r="AL31" s="13" t="str">
        <f>IF(OR(E31="",Results!E13=""),"",IF(AND(E31=Results!E13,Results!E13&lt;&gt;Games!$C$112),1,0))</f>
        <v/>
      </c>
      <c r="AM31" s="13" t="str">
        <f>IF(OR(F31="",Results!F13=""),"",IF(AND(F31=Results!F13,Results!F13&lt;&gt;Games!$C$113),1,0))</f>
        <v/>
      </c>
      <c r="AN31" s="13" t="str">
        <f>IF(OR(G31="",Results!G13=""),"",IF(AND(G31=Results!G13,Results!G13&lt;&gt;Games!$C$114),1,0))</f>
        <v/>
      </c>
      <c r="AO31" s="13" t="str">
        <f>IF(OR(H31="",Results!H13=""),"",IF(AND(H31=Results!H13,Results!H13&lt;&gt;Games!$C$115),1,0))</f>
        <v/>
      </c>
      <c r="AP31" s="13" t="str">
        <f>IF(OR(I31="",Results!I13=""),"",IF(AND(I31=Results!I13,Results!I13&lt;&gt;Games!$C$116),1,0))</f>
        <v/>
      </c>
      <c r="AQ31" s="13" t="str">
        <f>IF(OR(J31="",Results!J13=""),"",IF(AND(J31=Results!J13,Results!J13&lt;&gt;Games!$C$117),1,0))</f>
        <v/>
      </c>
      <c r="AR31" s="13" t="str">
        <f>IF(OR(K31="",Results!K13=""),"",IF(AND(K31=Results!K13,Results!K13&lt;&gt;Games!$C$118),1,0))</f>
        <v/>
      </c>
      <c r="AS31" s="13" t="str">
        <f>IF(OR(L31="",Results!L13=""),"",IF(AND(L31=Results!L13,Results!L13&lt;&gt;Games!$C$119),1,0))</f>
        <v/>
      </c>
      <c r="AT31" s="13" t="str">
        <f>IF(OR(M31="",Results!M13=""),"",IF(AND(M31=Results!M13,Results!M13&lt;&gt;Games!$C$120),1,0))</f>
        <v/>
      </c>
      <c r="AU31" s="13" t="str">
        <f>IF(OR(N31="",Results!N13=""),"",IF(AND(N31=Results!N13,Results!N13&lt;&gt;Games!$C$121),1,0))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IF(OR(B32="",Results!B13=""),"",IF(B32=Results!B13,1+IF(OR($O32=1,$P32=1,$Q32=1),1,0),0))</f>
        <v/>
      </c>
      <c r="T32" s="4" t="str">
        <f>IF(OR(C32="",Results!C13=""),"",IF(C32=Results!C13,1+IF(OR($O32=2,$P32=2,$Q32=2),1,0),0))</f>
        <v/>
      </c>
      <c r="U32" s="4" t="str">
        <f>IF(OR(D32="",Results!D13=""),"",IF(D32=Results!D13,1+IF(OR($O32=3,$P32=3,$Q32=3),1,0),0))</f>
        <v/>
      </c>
      <c r="V32" s="4" t="str">
        <f>IF(OR(E32="",Results!E13=""),"",IF(E32=Results!E13,1+IF(OR($O32=4,$P32=4,$Q32=4),1,0),0))</f>
        <v/>
      </c>
      <c r="W32" s="4" t="str">
        <f>IF(OR(F32="",Results!F13=""),"",IF(F32=Results!F13,1+IF(OR($O32=5,$P32=5,$Q32=5),1,0),0))</f>
        <v/>
      </c>
      <c r="X32" s="4" t="str">
        <f>IF(OR(G32="",Results!G13=""),"",IF(G32=Results!G13,1+IF(OR($O32=6,$P32=6,$Q32=6),1,0),0))</f>
        <v/>
      </c>
      <c r="Y32" s="4" t="str">
        <f>IF(OR(H32="",Results!H13=""),"",IF(H32=Results!H13,1+IF(OR($O32=7,$P32=7,$Q32=7),1,0),0))</f>
        <v/>
      </c>
      <c r="Z32" s="4" t="str">
        <f>IF(OR(I32="",Results!I13=""),"",IF(I32=Results!I13,1+IF(OR($O32=8,$P32=8,$Q32=8),1,0),0))</f>
        <v/>
      </c>
      <c r="AA32" s="4" t="str">
        <f>IF(OR(J32="",Results!J13=""),"",IF(J32=Results!J13,1+IF(OR($O32=9,$P32=9,$Q32=9),1,0),0))</f>
        <v/>
      </c>
      <c r="AB32" s="4" t="str">
        <f>IF(OR(K32="",Results!K13=""),"",IF(K32=Results!K13,1+IF(OR($O32=10,$P32=10,$Q32=10),1,0),0))</f>
        <v/>
      </c>
      <c r="AC32" s="4" t="str">
        <f>IF(OR(L32="",Results!L13=""),"",IF(L32=Results!L13,1+IF(OR($O32=11,$P32=11,$Q32=11),1,0),0))</f>
        <v/>
      </c>
      <c r="AD32" s="4" t="str">
        <f>IF(OR(M32="",Results!M13=""),"",IF(M32=Results!M13,1+IF(OR($O32=12,$P32=12,$Q32=12),1,0),0))</f>
        <v/>
      </c>
      <c r="AE32" s="4" t="str">
        <f>IF(OR(N32="",Results!N13=""),"",IF(N32=Results!N13,1+IF(OR($O32=13,$P32=13,$Q32=13),1,0),0))</f>
        <v/>
      </c>
      <c r="AF32" s="11">
        <f t="shared" si="0"/>
        <v>0</v>
      </c>
      <c r="AG32" s="4" t="str">
        <f>IF(OR($R32="",Results!O13=""),"",ABS($R32-Results!O13))</f>
        <v/>
      </c>
      <c r="AH32" s="12">
        <v>14</v>
      </c>
      <c r="AI32" s="13" t="str">
        <f>IF(OR(B32="",Results!B13=""),"",IF(AND(B32=Results!B13,Results!B13&lt;&gt;Games!$C$109),1,0))</f>
        <v/>
      </c>
      <c r="AJ32" s="13" t="str">
        <f>IF(OR(C32="",Results!C13=""),"",IF(AND(C32=Results!C13,Results!C13&lt;&gt;Games!$C$110),1,0))</f>
        <v/>
      </c>
      <c r="AK32" s="13" t="str">
        <f>IF(OR(D32="",Results!D13=""),"",IF(AND(D32=Results!D13,Results!D13&lt;&gt;Games!$C$111),1,0))</f>
        <v/>
      </c>
      <c r="AL32" s="13" t="str">
        <f>IF(OR(E32="",Results!E13=""),"",IF(AND(E32=Results!E13,Results!E13&lt;&gt;Games!$C$112),1,0))</f>
        <v/>
      </c>
      <c r="AM32" s="13" t="str">
        <f>IF(OR(F32="",Results!F13=""),"",IF(AND(F32=Results!F13,Results!F13&lt;&gt;Games!$C$113),1,0))</f>
        <v/>
      </c>
      <c r="AN32" s="13" t="str">
        <f>IF(OR(G32="",Results!G13=""),"",IF(AND(G32=Results!G13,Results!G13&lt;&gt;Games!$C$114),1,0))</f>
        <v/>
      </c>
      <c r="AO32" s="13" t="str">
        <f>IF(OR(H32="",Results!H13=""),"",IF(AND(H32=Results!H13,Results!H13&lt;&gt;Games!$C$115),1,0))</f>
        <v/>
      </c>
      <c r="AP32" s="13" t="str">
        <f>IF(OR(I32="",Results!I13=""),"",IF(AND(I32=Results!I13,Results!I13&lt;&gt;Games!$C$116),1,0))</f>
        <v/>
      </c>
      <c r="AQ32" s="13" t="str">
        <f>IF(OR(J32="",Results!J13=""),"",IF(AND(J32=Results!J13,Results!J13&lt;&gt;Games!$C$117),1,0))</f>
        <v/>
      </c>
      <c r="AR32" s="13" t="str">
        <f>IF(OR(K32="",Results!K13=""),"",IF(AND(K32=Results!K13,Results!K13&lt;&gt;Games!$C$118),1,0))</f>
        <v/>
      </c>
      <c r="AS32" s="13" t="str">
        <f>IF(OR(L32="",Results!L13=""),"",IF(AND(L32=Results!L13,Results!L13&lt;&gt;Games!$C$119),1,0))</f>
        <v/>
      </c>
      <c r="AT32" s="13" t="str">
        <f>IF(OR(M32="",Results!M13=""),"",IF(AND(M32=Results!M13,Results!M13&lt;&gt;Games!$C$120),1,0))</f>
        <v/>
      </c>
      <c r="AU32" s="13" t="str">
        <f>IF(OR(N32="",Results!N13=""),"",IF(AND(N32=Results!N13,Results!N13&lt;&gt;Games!$C$121),1,0))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4" t="str">
        <f>IF(OR(B33="",Results!B13=""),"",IF(B33=Results!B13,1+IF(OR($O33=1,$P33=1,$Q33=1),1,0),0))</f>
        <v/>
      </c>
      <c r="T33" s="4" t="str">
        <f>IF(OR(C33="",Results!C13=""),"",IF(C33=Results!C13,1+IF(OR($O33=2,$P33=2,$Q33=2),1,0),0))</f>
        <v/>
      </c>
      <c r="U33" s="4" t="str">
        <f>IF(OR(D33="",Results!D13=""),"",IF(D33=Results!D13,1+IF(OR($O33=3,$P33=3,$Q33=3),1,0),0))</f>
        <v/>
      </c>
      <c r="V33" s="4" t="str">
        <f>IF(OR(E33="",Results!E13=""),"",IF(E33=Results!E13,1+IF(OR($O33=4,$P33=4,$Q33=4),1,0),0))</f>
        <v/>
      </c>
      <c r="W33" s="4" t="str">
        <f>IF(OR(F33="",Results!F13=""),"",IF(F33=Results!F13,1+IF(OR($O33=5,$P33=5,$Q33=5),1,0),0))</f>
        <v/>
      </c>
      <c r="X33" s="4" t="str">
        <f>IF(OR(G33="",Results!G13=""),"",IF(G33=Results!G13,1+IF(OR($O33=6,$P33=6,$Q33=6),1,0),0))</f>
        <v/>
      </c>
      <c r="Y33" s="4" t="str">
        <f>IF(OR(H33="",Results!H13=""),"",IF(H33=Results!H13,1+IF(OR($O33=7,$P33=7,$Q33=7),1,0),0))</f>
        <v/>
      </c>
      <c r="Z33" s="4" t="str">
        <f>IF(OR(I33="",Results!I13=""),"",IF(I33=Results!I13,1+IF(OR($O33=8,$P33=8,$Q33=8),1,0),0))</f>
        <v/>
      </c>
      <c r="AA33" s="4" t="str">
        <f>IF(OR(J33="",Results!J13=""),"",IF(J33=Results!J13,1+IF(OR($O33=9,$P33=9,$Q33=9),1,0),0))</f>
        <v/>
      </c>
      <c r="AB33" s="4" t="str">
        <f>IF(OR(K33="",Results!K13=""),"",IF(K33=Results!K13,1+IF(OR($O33=10,$P33=10,$Q33=10),1,0),0))</f>
        <v/>
      </c>
      <c r="AC33" s="4" t="str">
        <f>IF(OR(L33="",Results!L13=""),"",IF(L33=Results!L13,1+IF(OR($O33=11,$P33=11,$Q33=11),1,0),0))</f>
        <v/>
      </c>
      <c r="AD33" s="4" t="str">
        <f>IF(OR(M33="",Results!M13=""),"",IF(M33=Results!M13,1+IF(OR($O33=12,$P33=12,$Q33=12),1,0),0))</f>
        <v/>
      </c>
      <c r="AE33" s="4" t="str">
        <f>IF(OR(N33="",Results!N13=""),"",IF(N33=Results!N13,1+IF(OR($O33=13,$P33=13,$Q33=13),1,0),0))</f>
        <v/>
      </c>
      <c r="AF33" s="11">
        <f t="shared" si="0"/>
        <v>0</v>
      </c>
      <c r="AG33" s="4" t="str">
        <f>IF(OR($R33="",Results!O13=""),"",ABS($R33-Results!O13))</f>
        <v/>
      </c>
      <c r="AH33" s="12">
        <v>15</v>
      </c>
      <c r="AI33" s="13" t="str">
        <f>IF(OR(B33="",Results!B13=""),"",IF(AND(B33=Results!B13,Results!B13&lt;&gt;Games!$C$109),1,0))</f>
        <v/>
      </c>
      <c r="AJ33" s="13" t="str">
        <f>IF(OR(C33="",Results!C13=""),"",IF(AND(C33=Results!C13,Results!C13&lt;&gt;Games!$C$110),1,0))</f>
        <v/>
      </c>
      <c r="AK33" s="13" t="str">
        <f>IF(OR(D33="",Results!D13=""),"",IF(AND(D33=Results!D13,Results!D13&lt;&gt;Games!$C$111),1,0))</f>
        <v/>
      </c>
      <c r="AL33" s="13" t="str">
        <f>IF(OR(E33="",Results!E13=""),"",IF(AND(E33=Results!E13,Results!E13&lt;&gt;Games!$C$112),1,0))</f>
        <v/>
      </c>
      <c r="AM33" s="13" t="str">
        <f>IF(OR(F33="",Results!F13=""),"",IF(AND(F33=Results!F13,Results!F13&lt;&gt;Games!$C$113),1,0))</f>
        <v/>
      </c>
      <c r="AN33" s="13" t="str">
        <f>IF(OR(G33="",Results!G13=""),"",IF(AND(G33=Results!G13,Results!G13&lt;&gt;Games!$C$114),1,0))</f>
        <v/>
      </c>
      <c r="AO33" s="13" t="str">
        <f>IF(OR(H33="",Results!H13=""),"",IF(AND(H33=Results!H13,Results!H13&lt;&gt;Games!$C$115),1,0))</f>
        <v/>
      </c>
      <c r="AP33" s="13" t="str">
        <f>IF(OR(I33="",Results!I13=""),"",IF(AND(I33=Results!I13,Results!I13&lt;&gt;Games!$C$116),1,0))</f>
        <v/>
      </c>
      <c r="AQ33" s="13" t="str">
        <f>IF(OR(J33="",Results!J13=""),"",IF(AND(J33=Results!J13,Results!J13&lt;&gt;Games!$C$117),1,0))</f>
        <v/>
      </c>
      <c r="AR33" s="13" t="str">
        <f>IF(OR(K33="",Results!K13=""),"",IF(AND(K33=Results!K13,Results!K13&lt;&gt;Games!$C$118),1,0))</f>
        <v/>
      </c>
      <c r="AS33" s="13" t="str">
        <f>IF(OR(L33="",Results!L13=""),"",IF(AND(L33=Results!L13,Results!L13&lt;&gt;Games!$C$119),1,0))</f>
        <v/>
      </c>
      <c r="AT33" s="13" t="str">
        <f>IF(OR(M33="",Results!M13=""),"",IF(AND(M33=Results!M13,Results!M13&lt;&gt;Games!$C$120),1,0))</f>
        <v/>
      </c>
      <c r="AU33" s="13" t="str">
        <f>IF(OR(N33="",Results!N13=""),"",IF(AND(N33=Results!N13,Results!N13&lt;&gt;Games!$C$121),1,0))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IF(OR(B34="",Results!B13=""),"",IF(B34=Results!B13,1+IF(OR($O34=1,$P34=1,$Q34=1),1,0),0))</f>
        <v/>
      </c>
      <c r="T34" s="4" t="str">
        <f>IF(OR(C34="",Results!C13=""),"",IF(C34=Results!C13,1+IF(OR($O34=2,$P34=2,$Q34=2),1,0),0))</f>
        <v/>
      </c>
      <c r="U34" s="4" t="str">
        <f>IF(OR(D34="",Results!D13=""),"",IF(D34=Results!D13,1+IF(OR($O34=3,$P34=3,$Q34=3),1,0),0))</f>
        <v/>
      </c>
      <c r="V34" s="4" t="str">
        <f>IF(OR(E34="",Results!E13=""),"",IF(E34=Results!E13,1+IF(OR($O34=4,$P34=4,$Q34=4),1,0),0))</f>
        <v/>
      </c>
      <c r="W34" s="4" t="str">
        <f>IF(OR(F34="",Results!F13=""),"",IF(F34=Results!F13,1+IF(OR($O34=5,$P34=5,$Q34=5),1,0),0))</f>
        <v/>
      </c>
      <c r="X34" s="4" t="str">
        <f>IF(OR(G34="",Results!G13=""),"",IF(G34=Results!G13,1+IF(OR($O34=6,$P34=6,$Q34=6),1,0),0))</f>
        <v/>
      </c>
      <c r="Y34" s="4" t="str">
        <f>IF(OR(H34="",Results!H13=""),"",IF(H34=Results!H13,1+IF(OR($O34=7,$P34=7,$Q34=7),1,0),0))</f>
        <v/>
      </c>
      <c r="Z34" s="4" t="str">
        <f>IF(OR(I34="",Results!I13=""),"",IF(I34=Results!I13,1+IF(OR($O34=8,$P34=8,$Q34=8),1,0),0))</f>
        <v/>
      </c>
      <c r="AA34" s="4" t="str">
        <f>IF(OR(J34="",Results!J13=""),"",IF(J34=Results!J13,1+IF(OR($O34=9,$P34=9,$Q34=9),1,0),0))</f>
        <v/>
      </c>
      <c r="AB34" s="4" t="str">
        <f>IF(OR(K34="",Results!K13=""),"",IF(K34=Results!K13,1+IF(OR($O34=10,$P34=10,$Q34=10),1,0),0))</f>
        <v/>
      </c>
      <c r="AC34" s="4" t="str">
        <f>IF(OR(L34="",Results!L13=""),"",IF(L34=Results!L13,1+IF(OR($O34=11,$P34=11,$Q34=11),1,0),0))</f>
        <v/>
      </c>
      <c r="AD34" s="4" t="str">
        <f>IF(OR(M34="",Results!M13=""),"",IF(M34=Results!M13,1+IF(OR($O34=12,$P34=12,$Q34=12),1,0),0))</f>
        <v/>
      </c>
      <c r="AE34" s="4" t="str">
        <f>IF(OR(N34="",Results!N13=""),"",IF(N34=Results!N13,1+IF(OR($O34=13,$P34=13,$Q34=13),1,0),0))</f>
        <v/>
      </c>
      <c r="AF34" s="11">
        <f t="shared" si="0"/>
        <v>0</v>
      </c>
      <c r="AG34" s="4" t="str">
        <f>IF(OR($R34="",Results!O13=""),"",ABS($R34-Results!O13))</f>
        <v/>
      </c>
      <c r="AH34" s="12">
        <v>16</v>
      </c>
      <c r="AI34" s="13" t="str">
        <f>IF(OR(B34="",Results!B13=""),"",IF(AND(B34=Results!B13,Results!B13&lt;&gt;Games!$C$109),1,0))</f>
        <v/>
      </c>
      <c r="AJ34" s="13" t="str">
        <f>IF(OR(C34="",Results!C13=""),"",IF(AND(C34=Results!C13,Results!C13&lt;&gt;Games!$C$110),1,0))</f>
        <v/>
      </c>
      <c r="AK34" s="13" t="str">
        <f>IF(OR(D34="",Results!D13=""),"",IF(AND(D34=Results!D13,Results!D13&lt;&gt;Games!$C$111),1,0))</f>
        <v/>
      </c>
      <c r="AL34" s="13" t="str">
        <f>IF(OR(E34="",Results!E13=""),"",IF(AND(E34=Results!E13,Results!E13&lt;&gt;Games!$C$112),1,0))</f>
        <v/>
      </c>
      <c r="AM34" s="13" t="str">
        <f>IF(OR(F34="",Results!F13=""),"",IF(AND(F34=Results!F13,Results!F13&lt;&gt;Games!$C$113),1,0))</f>
        <v/>
      </c>
      <c r="AN34" s="13" t="str">
        <f>IF(OR(G34="",Results!G13=""),"",IF(AND(G34=Results!G13,Results!G13&lt;&gt;Games!$C$114),1,0))</f>
        <v/>
      </c>
      <c r="AO34" s="13" t="str">
        <f>IF(OR(H34="",Results!H13=""),"",IF(AND(H34=Results!H13,Results!H13&lt;&gt;Games!$C$115),1,0))</f>
        <v/>
      </c>
      <c r="AP34" s="13" t="str">
        <f>IF(OR(I34="",Results!I13=""),"",IF(AND(I34=Results!I13,Results!I13&lt;&gt;Games!$C$116),1,0))</f>
        <v/>
      </c>
      <c r="AQ34" s="13" t="str">
        <f>IF(OR(J34="",Results!J13=""),"",IF(AND(J34=Results!J13,Results!J13&lt;&gt;Games!$C$117),1,0))</f>
        <v/>
      </c>
      <c r="AR34" s="13" t="str">
        <f>IF(OR(K34="",Results!K13=""),"",IF(AND(K34=Results!K13,Results!K13&lt;&gt;Games!$C$118),1,0))</f>
        <v/>
      </c>
      <c r="AS34" s="13" t="str">
        <f>IF(OR(L34="",Results!L13=""),"",IF(AND(L34=Results!L13,Results!L13&lt;&gt;Games!$C$119),1,0))</f>
        <v/>
      </c>
      <c r="AT34" s="13" t="str">
        <f>IF(OR(M34="",Results!M13=""),"",IF(AND(M34=Results!M13,Results!M13&lt;&gt;Games!$C$120),1,0))</f>
        <v/>
      </c>
      <c r="AU34" s="13" t="str">
        <f>IF(OR(N34="",Results!N13=""),"",IF(AND(N34=Results!N13,Results!N13&lt;&gt;Games!$C$121),1,0))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IF(OR(B35="",Results!B13=""),"",IF(B35=Results!B13,1+IF(OR($O35=1,$P35=1,$Q35=1),1,0),0))</f>
        <v/>
      </c>
      <c r="T35" s="4" t="str">
        <f>IF(OR(C35="",Results!C13=""),"",IF(C35=Results!C13,1+IF(OR($O35=2,$P35=2,$Q35=2),1,0),0))</f>
        <v/>
      </c>
      <c r="U35" s="4" t="str">
        <f>IF(OR(D35="",Results!D13=""),"",IF(D35=Results!D13,1+IF(OR($O35=3,$P35=3,$Q35=3),1,0),0))</f>
        <v/>
      </c>
      <c r="V35" s="4" t="str">
        <f>IF(OR(E35="",Results!E13=""),"",IF(E35=Results!E13,1+IF(OR($O35=4,$P35=4,$Q35=4),1,0),0))</f>
        <v/>
      </c>
      <c r="W35" s="4" t="str">
        <f>IF(OR(F35="",Results!F13=""),"",IF(F35=Results!F13,1+IF(OR($O35=5,$P35=5,$Q35=5),1,0),0))</f>
        <v/>
      </c>
      <c r="X35" s="4" t="str">
        <f>IF(OR(G35="",Results!G13=""),"",IF(G35=Results!G13,1+IF(OR($O35=6,$P35=6,$Q35=6),1,0),0))</f>
        <v/>
      </c>
      <c r="Y35" s="4" t="str">
        <f>IF(OR(H35="",Results!H13=""),"",IF(H35=Results!H13,1+IF(OR($O35=7,$P35=7,$Q35=7),1,0),0))</f>
        <v/>
      </c>
      <c r="Z35" s="4" t="str">
        <f>IF(OR(I35="",Results!I13=""),"",IF(I35=Results!I13,1+IF(OR($O35=8,$P35=8,$Q35=8),1,0),0))</f>
        <v/>
      </c>
      <c r="AA35" s="4" t="str">
        <f>IF(OR(J35="",Results!J13=""),"",IF(J35=Results!J13,1+IF(OR($O35=9,$P35=9,$Q35=9),1,0),0))</f>
        <v/>
      </c>
      <c r="AB35" s="4" t="str">
        <f>IF(OR(K35="",Results!K13=""),"",IF(K35=Results!K13,1+IF(OR($O35=10,$P35=10,$Q35=10),1,0),0))</f>
        <v/>
      </c>
      <c r="AC35" s="4" t="str">
        <f>IF(OR(L35="",Results!L13=""),"",IF(L35=Results!L13,1+IF(OR($O35=11,$P35=11,$Q35=11),1,0),0))</f>
        <v/>
      </c>
      <c r="AD35" s="4" t="str">
        <f>IF(OR(M35="",Results!M13=""),"",IF(M35=Results!M13,1+IF(OR($O35=12,$P35=12,$Q35=12),1,0),0))</f>
        <v/>
      </c>
      <c r="AE35" s="4" t="str">
        <f>IF(OR(N35="",Results!N13=""),"",IF(N35=Results!N13,1+IF(OR($O35=13,$P35=13,$Q35=13),1,0),0))</f>
        <v/>
      </c>
      <c r="AF35" s="11">
        <f t="shared" si="0"/>
        <v>0</v>
      </c>
      <c r="AG35" s="4" t="str">
        <f>IF(OR($R35="",Results!O13=""),"",ABS($R35-Results!O13))</f>
        <v/>
      </c>
      <c r="AH35" s="12">
        <v>17</v>
      </c>
      <c r="AI35" s="13" t="str">
        <f>IF(OR(B35="",Results!B13=""),"",IF(AND(B35=Results!B13,Results!B13&lt;&gt;Games!$C$109),1,0))</f>
        <v/>
      </c>
      <c r="AJ35" s="13" t="str">
        <f>IF(OR(C35="",Results!C13=""),"",IF(AND(C35=Results!C13,Results!C13&lt;&gt;Games!$C$110),1,0))</f>
        <v/>
      </c>
      <c r="AK35" s="13" t="str">
        <f>IF(OR(D35="",Results!D13=""),"",IF(AND(D35=Results!D13,Results!D13&lt;&gt;Games!$C$111),1,0))</f>
        <v/>
      </c>
      <c r="AL35" s="13" t="str">
        <f>IF(OR(E35="",Results!E13=""),"",IF(AND(E35=Results!E13,Results!E13&lt;&gt;Games!$C$112),1,0))</f>
        <v/>
      </c>
      <c r="AM35" s="13" t="str">
        <f>IF(OR(F35="",Results!F13=""),"",IF(AND(F35=Results!F13,Results!F13&lt;&gt;Games!$C$113),1,0))</f>
        <v/>
      </c>
      <c r="AN35" s="13" t="str">
        <f>IF(OR(G35="",Results!G13=""),"",IF(AND(G35=Results!G13,Results!G13&lt;&gt;Games!$C$114),1,0))</f>
        <v/>
      </c>
      <c r="AO35" s="13" t="str">
        <f>IF(OR(H35="",Results!H13=""),"",IF(AND(H35=Results!H13,Results!H13&lt;&gt;Games!$C$115),1,0))</f>
        <v/>
      </c>
      <c r="AP35" s="13" t="str">
        <f>IF(OR(I35="",Results!I13=""),"",IF(AND(I35=Results!I13,Results!I13&lt;&gt;Games!$C$116),1,0))</f>
        <v/>
      </c>
      <c r="AQ35" s="13" t="str">
        <f>IF(OR(J35="",Results!J13=""),"",IF(AND(J35=Results!J13,Results!J13&lt;&gt;Games!$C$117),1,0))</f>
        <v/>
      </c>
      <c r="AR35" s="13" t="str">
        <f>IF(OR(K35="",Results!K13=""),"",IF(AND(K35=Results!K13,Results!K13&lt;&gt;Games!$C$118),1,0))</f>
        <v/>
      </c>
      <c r="AS35" s="13" t="str">
        <f>IF(OR(L35="",Results!L13=""),"",IF(AND(L35=Results!L13,Results!L13&lt;&gt;Games!$C$119),1,0))</f>
        <v/>
      </c>
      <c r="AT35" s="13" t="str">
        <f>IF(OR(M35="",Results!M13=""),"",IF(AND(M35=Results!M13,Results!M13&lt;&gt;Games!$C$120),1,0))</f>
        <v/>
      </c>
      <c r="AU35" s="13" t="str">
        <f>IF(OR(N35="",Results!N13=""),"",IF(AND(N35=Results!N13,Results!N13&lt;&gt;Games!$C$121),1,0))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IF(OR(B36="",Results!B13=""),"",IF(B36=Results!B13,1+IF(OR($O36=1,$P36=1,$Q36=1),1,0),0))</f>
        <v/>
      </c>
      <c r="T36" s="4" t="str">
        <f>IF(OR(C36="",Results!C13=""),"",IF(C36=Results!C13,1+IF(OR($O36=2,$P36=2,$Q36=2),1,0),0))</f>
        <v/>
      </c>
      <c r="U36" s="4" t="str">
        <f>IF(OR(D36="",Results!D13=""),"",IF(D36=Results!D13,1+IF(OR($O36=3,$P36=3,$Q36=3),1,0),0))</f>
        <v/>
      </c>
      <c r="V36" s="4" t="str">
        <f>IF(OR(E36="",Results!E13=""),"",IF(E36=Results!E13,1+IF(OR($O36=4,$P36=4,$Q36=4),1,0),0))</f>
        <v/>
      </c>
      <c r="W36" s="4" t="str">
        <f>IF(OR(F36="",Results!F13=""),"",IF(F36=Results!F13,1+IF(OR($O36=5,$P36=5,$Q36=5),1,0),0))</f>
        <v/>
      </c>
      <c r="X36" s="4" t="str">
        <f>IF(OR(G36="",Results!G13=""),"",IF(G36=Results!G13,1+IF(OR($O36=6,$P36=6,$Q36=6),1,0),0))</f>
        <v/>
      </c>
      <c r="Y36" s="4" t="str">
        <f>IF(OR(H36="",Results!H13=""),"",IF(H36=Results!H13,1+IF(OR($O36=7,$P36=7,$Q36=7),1,0),0))</f>
        <v/>
      </c>
      <c r="Z36" s="4" t="str">
        <f>IF(OR(I36="",Results!I13=""),"",IF(I36=Results!I13,1+IF(OR($O36=8,$P36=8,$Q36=8),1,0),0))</f>
        <v/>
      </c>
      <c r="AA36" s="4" t="str">
        <f>IF(OR(J36="",Results!J13=""),"",IF(J36=Results!J13,1+IF(OR($O36=9,$P36=9,$Q36=9),1,0),0))</f>
        <v/>
      </c>
      <c r="AB36" s="4" t="str">
        <f>IF(OR(K36="",Results!K13=""),"",IF(K36=Results!K13,1+IF(OR($O36=10,$P36=10,$Q36=10),1,0),0))</f>
        <v/>
      </c>
      <c r="AC36" s="4" t="str">
        <f>IF(OR(L36="",Results!L13=""),"",IF(L36=Results!L13,1+IF(OR($O36=11,$P36=11,$Q36=11),1,0),0))</f>
        <v/>
      </c>
      <c r="AD36" s="4" t="str">
        <f>IF(OR(M36="",Results!M13=""),"",IF(M36=Results!M13,1+IF(OR($O36=12,$P36=12,$Q36=12),1,0),0))</f>
        <v/>
      </c>
      <c r="AE36" s="4" t="str">
        <f>IF(OR(N36="",Results!N13=""),"",IF(N36=Results!N13,1+IF(OR($O36=13,$P36=13,$Q36=13),1,0),0))</f>
        <v/>
      </c>
      <c r="AF36" s="11">
        <f t="shared" si="0"/>
        <v>0</v>
      </c>
      <c r="AG36" s="4" t="str">
        <f>IF(OR($R36="",Results!O13=""),"",ABS($R36-Results!O13))</f>
        <v/>
      </c>
      <c r="AH36" s="12">
        <v>39</v>
      </c>
      <c r="AI36" s="13" t="str">
        <f>IF(OR(B36="",Results!B13=""),"",IF(AND(B36=Results!B13,Results!B13&lt;&gt;Games!$C$109),1,0))</f>
        <v/>
      </c>
      <c r="AJ36" s="13" t="str">
        <f>IF(OR(C36="",Results!C13=""),"",IF(AND(C36=Results!C13,Results!C13&lt;&gt;Games!$C$110),1,0))</f>
        <v/>
      </c>
      <c r="AK36" s="13" t="str">
        <f>IF(OR(D36="",Results!D13=""),"",IF(AND(D36=Results!D13,Results!D13&lt;&gt;Games!$C$111),1,0))</f>
        <v/>
      </c>
      <c r="AL36" s="13" t="str">
        <f>IF(OR(E36="",Results!E13=""),"",IF(AND(E36=Results!E13,Results!E13&lt;&gt;Games!$C$112),1,0))</f>
        <v/>
      </c>
      <c r="AM36" s="13" t="str">
        <f>IF(OR(F36="",Results!F13=""),"",IF(AND(F36=Results!F13,Results!F13&lt;&gt;Games!$C$113),1,0))</f>
        <v/>
      </c>
      <c r="AN36" s="13" t="str">
        <f>IF(OR(G36="",Results!G13=""),"",IF(AND(G36=Results!G13,Results!G13&lt;&gt;Games!$C$114),1,0))</f>
        <v/>
      </c>
      <c r="AO36" s="13" t="str">
        <f>IF(OR(H36="",Results!H13=""),"",IF(AND(H36=Results!H13,Results!H13&lt;&gt;Games!$C$115),1,0))</f>
        <v/>
      </c>
      <c r="AP36" s="13" t="str">
        <f>IF(OR(I36="",Results!I13=""),"",IF(AND(I36=Results!I13,Results!I13&lt;&gt;Games!$C$116),1,0))</f>
        <v/>
      </c>
      <c r="AQ36" s="13" t="str">
        <f>IF(OR(J36="",Results!J13=""),"",IF(AND(J36=Results!J13,Results!J13&lt;&gt;Games!$C$117),1,0))</f>
        <v/>
      </c>
      <c r="AR36" s="13" t="str">
        <f>IF(OR(K36="",Results!K13=""),"",IF(AND(K36=Results!K13,Results!K13&lt;&gt;Games!$C$118),1,0))</f>
        <v/>
      </c>
      <c r="AS36" s="13" t="str">
        <f>IF(OR(L36="",Results!L13=""),"",IF(AND(L36=Results!L13,Results!L13&lt;&gt;Games!$C$119),1,0))</f>
        <v/>
      </c>
      <c r="AT36" s="13" t="str">
        <f>IF(OR(M36="",Results!M13=""),"",IF(AND(M36=Results!M13,Results!M13&lt;&gt;Games!$C$120),1,0))</f>
        <v/>
      </c>
      <c r="AU36" s="13" t="str">
        <f>IF(OR(N36="",Results!N13=""),"",IF(AND(N36=Results!N13,Results!N13&lt;&gt;Games!$C$121),1,0))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IF(OR(B37="",Results!B13=""),"",IF(B37=Results!B13,1+IF(OR($O37=1,$P37=1,$Q37=1),1,0),0))</f>
        <v/>
      </c>
      <c r="T37" s="4" t="str">
        <f>IF(OR(C37="",Results!C13=""),"",IF(C37=Results!C13,1+IF(OR($O37=2,$P37=2,$Q37=2),1,0),0))</f>
        <v/>
      </c>
      <c r="U37" s="4" t="str">
        <f>IF(OR(D37="",Results!D13=""),"",IF(D37=Results!D13,1+IF(OR($O37=3,$P37=3,$Q37=3),1,0),0))</f>
        <v/>
      </c>
      <c r="V37" s="4" t="str">
        <f>IF(OR(E37="",Results!E13=""),"",IF(E37=Results!E13,1+IF(OR($O37=4,$P37=4,$Q37=4),1,0),0))</f>
        <v/>
      </c>
      <c r="W37" s="4" t="str">
        <f>IF(OR(F37="",Results!F13=""),"",IF(F37=Results!F13,1+IF(OR($O37=5,$P37=5,$Q37=5),1,0),0))</f>
        <v/>
      </c>
      <c r="X37" s="4" t="str">
        <f>IF(OR(G37="",Results!G13=""),"",IF(G37=Results!G13,1+IF(OR($O37=6,$P37=6,$Q37=6),1,0),0))</f>
        <v/>
      </c>
      <c r="Y37" s="4" t="str">
        <f>IF(OR(H37="",Results!H13=""),"",IF(H37=Results!H13,1+IF(OR($O37=7,$P37=7,$Q37=7),1,0),0))</f>
        <v/>
      </c>
      <c r="Z37" s="4" t="str">
        <f>IF(OR(I37="",Results!I13=""),"",IF(I37=Results!I13,1+IF(OR($O37=8,$P37=8,$Q37=8),1,0),0))</f>
        <v/>
      </c>
      <c r="AA37" s="4" t="str">
        <f>IF(OR(J37="",Results!J13=""),"",IF(J37=Results!J13,1+IF(OR($O37=9,$P37=9,$Q37=9),1,0),0))</f>
        <v/>
      </c>
      <c r="AB37" s="4" t="str">
        <f>IF(OR(K37="",Results!K13=""),"",IF(K37=Results!K13,1+IF(OR($O37=10,$P37=10,$Q37=10),1,0),0))</f>
        <v/>
      </c>
      <c r="AC37" s="4" t="str">
        <f>IF(OR(L37="",Results!L13=""),"",IF(L37=Results!L13,1+IF(OR($O37=11,$P37=11,$Q37=11),1,0),0))</f>
        <v/>
      </c>
      <c r="AD37" s="4" t="str">
        <f>IF(OR(M37="",Results!M13=""),"",IF(M37=Results!M13,1+IF(OR($O37=12,$P37=12,$Q37=12),1,0),0))</f>
        <v/>
      </c>
      <c r="AE37" s="4" t="str">
        <f>IF(OR(N37="",Results!N13=""),"",IF(N37=Results!N13,1+IF(OR($O37=13,$P37=13,$Q37=13),1,0),0))</f>
        <v/>
      </c>
      <c r="AF37" s="11">
        <f t="shared" si="0"/>
        <v>0</v>
      </c>
      <c r="AG37" s="4" t="str">
        <f>IF(OR($R37="",Results!O13=""),"",ABS($R37-Results!O13))</f>
        <v/>
      </c>
      <c r="AH37" s="12">
        <v>49</v>
      </c>
      <c r="AI37" s="13" t="str">
        <f>IF(OR(B37="",Results!B13=""),"",IF(AND(B37=Results!B13,Results!B13&lt;&gt;Games!$C$109),1,0))</f>
        <v/>
      </c>
      <c r="AJ37" s="13" t="str">
        <f>IF(OR(C37="",Results!C13=""),"",IF(AND(C37=Results!C13,Results!C13&lt;&gt;Games!$C$110),1,0))</f>
        <v/>
      </c>
      <c r="AK37" s="13" t="str">
        <f>IF(OR(D37="",Results!D13=""),"",IF(AND(D37=Results!D13,Results!D13&lt;&gt;Games!$C$111),1,0))</f>
        <v/>
      </c>
      <c r="AL37" s="13" t="str">
        <f>IF(OR(E37="",Results!E13=""),"",IF(AND(E37=Results!E13,Results!E13&lt;&gt;Games!$C$112),1,0))</f>
        <v/>
      </c>
      <c r="AM37" s="13" t="str">
        <f>IF(OR(F37="",Results!F13=""),"",IF(AND(F37=Results!F13,Results!F13&lt;&gt;Games!$C$113),1,0))</f>
        <v/>
      </c>
      <c r="AN37" s="13" t="str">
        <f>IF(OR(G37="",Results!G13=""),"",IF(AND(G37=Results!G13,Results!G13&lt;&gt;Games!$C$114),1,0))</f>
        <v/>
      </c>
      <c r="AO37" s="13" t="str">
        <f>IF(OR(H37="",Results!H13=""),"",IF(AND(H37=Results!H13,Results!H13&lt;&gt;Games!$C$115),1,0))</f>
        <v/>
      </c>
      <c r="AP37" s="13" t="str">
        <f>IF(OR(I37="",Results!I13=""),"",IF(AND(I37=Results!I13,Results!I13&lt;&gt;Games!$C$116),1,0))</f>
        <v/>
      </c>
      <c r="AQ37" s="13" t="str">
        <f>IF(OR(J37="",Results!J13=""),"",IF(AND(J37=Results!J13,Results!J13&lt;&gt;Games!$C$117),1,0))</f>
        <v/>
      </c>
      <c r="AR37" s="13" t="str">
        <f>IF(OR(K37="",Results!K13=""),"",IF(AND(K37=Results!K13,Results!K13&lt;&gt;Games!$C$118),1,0))</f>
        <v/>
      </c>
      <c r="AS37" s="13" t="str">
        <f>IF(OR(L37="",Results!L13=""),"",IF(AND(L37=Results!L13,Results!L13&lt;&gt;Games!$C$119),1,0))</f>
        <v/>
      </c>
      <c r="AT37" s="13" t="str">
        <f>IF(OR(M37="",Results!M13=""),"",IF(AND(M37=Results!M13,Results!M13&lt;&gt;Games!$C$120),1,0))</f>
        <v/>
      </c>
      <c r="AU37" s="13" t="str">
        <f>IF(OR(N37="",Results!N13=""),"",IF(AND(N37=Results!N13,Results!N13&lt;&gt;Games!$C$121),1,0))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tr">
        <f>IF(OR(B38="",Results!B13=""),"",IF(B38=Results!B13,1+IF(OR($O38=1,$P38=1,$Q38=1),1,0),0))</f>
        <v/>
      </c>
      <c r="T38" s="4" t="str">
        <f>IF(OR(C38="",Results!C13=""),"",IF(C38=Results!C13,1+IF(OR($O38=2,$P38=2,$Q38=2),1,0),0))</f>
        <v/>
      </c>
      <c r="U38" s="4" t="str">
        <f>IF(OR(D38="",Results!D13=""),"",IF(D38=Results!D13,1+IF(OR($O38=3,$P38=3,$Q38=3),1,0),0))</f>
        <v/>
      </c>
      <c r="V38" s="4" t="str">
        <f>IF(OR(E38="",Results!E13=""),"",IF(E38=Results!E13,1+IF(OR($O38=4,$P38=4,$Q38=4),1,0),0))</f>
        <v/>
      </c>
      <c r="W38" s="4" t="str">
        <f>IF(OR(F38="",Results!F13=""),"",IF(F38=Results!F13,1+IF(OR($O38=5,$P38=5,$Q38=5),1,0),0))</f>
        <v/>
      </c>
      <c r="X38" s="4" t="str">
        <f>IF(OR(G38="",Results!G13=""),"",IF(G38=Results!G13,1+IF(OR($O38=6,$P38=6,$Q38=6),1,0),0))</f>
        <v/>
      </c>
      <c r="Y38" s="4" t="str">
        <f>IF(OR(H38="",Results!H13=""),"",IF(H38=Results!H13,1+IF(OR($O38=7,$P38=7,$Q38=7),1,0),0))</f>
        <v/>
      </c>
      <c r="Z38" s="4" t="str">
        <f>IF(OR(I38="",Results!I13=""),"",IF(I38=Results!I13,1+IF(OR($O38=8,$P38=8,$Q38=8),1,0),0))</f>
        <v/>
      </c>
      <c r="AA38" s="4" t="str">
        <f>IF(OR(J38="",Results!J13=""),"",IF(J38=Results!J13,1+IF(OR($O38=9,$P38=9,$Q38=9),1,0),0))</f>
        <v/>
      </c>
      <c r="AB38" s="4" t="str">
        <f>IF(OR(K38="",Results!K13=""),"",IF(K38=Results!K13,1+IF(OR($O38=10,$P38=10,$Q38=10),1,0),0))</f>
        <v/>
      </c>
      <c r="AC38" s="4" t="str">
        <f>IF(OR(L38="",Results!L13=""),"",IF(L38=Results!L13,1+IF(OR($O38=11,$P38=11,$Q38=11),1,0),0))</f>
        <v/>
      </c>
      <c r="AD38" s="4" t="str">
        <f>IF(OR(M38="",Results!M13=""),"",IF(M38=Results!M13,1+IF(OR($O38=12,$P38=12,$Q38=12),1,0),0))</f>
        <v/>
      </c>
      <c r="AE38" s="4" t="str">
        <f>IF(OR(N38="",Results!N13=""),"",IF(N38=Results!N13,1+IF(OR($O38=13,$P38=13,$Q38=13),1,0),0))</f>
        <v/>
      </c>
      <c r="AF38" s="11">
        <f t="shared" ref="AF38:AF65" si="2">SUM(S38:AE38)</f>
        <v>0</v>
      </c>
      <c r="AG38" s="4" t="str">
        <f>IF(OR($R38="",Results!O13=""),"",ABS($R38-Results!O13))</f>
        <v/>
      </c>
      <c r="AH38" s="12">
        <v>18</v>
      </c>
      <c r="AI38" s="13" t="str">
        <f>IF(OR(B38="",Results!B13=""),"",IF(AND(B38=Results!B13,Results!B13&lt;&gt;Games!$C$109),1,0))</f>
        <v/>
      </c>
      <c r="AJ38" s="13" t="str">
        <f>IF(OR(C38="",Results!C13=""),"",IF(AND(C38=Results!C13,Results!C13&lt;&gt;Games!$C$110),1,0))</f>
        <v/>
      </c>
      <c r="AK38" s="13" t="str">
        <f>IF(OR(D38="",Results!D13=""),"",IF(AND(D38=Results!D13,Results!D13&lt;&gt;Games!$C$111),1,0))</f>
        <v/>
      </c>
      <c r="AL38" s="13" t="str">
        <f>IF(OR(E38="",Results!E13=""),"",IF(AND(E38=Results!E13,Results!E13&lt;&gt;Games!$C$112),1,0))</f>
        <v/>
      </c>
      <c r="AM38" s="13" t="str">
        <f>IF(OR(F38="",Results!F13=""),"",IF(AND(F38=Results!F13,Results!F13&lt;&gt;Games!$C$113),1,0))</f>
        <v/>
      </c>
      <c r="AN38" s="13" t="str">
        <f>IF(OR(G38="",Results!G13=""),"",IF(AND(G38=Results!G13,Results!G13&lt;&gt;Games!$C$114),1,0))</f>
        <v/>
      </c>
      <c r="AO38" s="13" t="str">
        <f>IF(OR(H38="",Results!H13=""),"",IF(AND(H38=Results!H13,Results!H13&lt;&gt;Games!$C$115),1,0))</f>
        <v/>
      </c>
      <c r="AP38" s="13" t="str">
        <f>IF(OR(I38="",Results!I13=""),"",IF(AND(I38=Results!I13,Results!I13&lt;&gt;Games!$C$116),1,0))</f>
        <v/>
      </c>
      <c r="AQ38" s="13" t="str">
        <f>IF(OR(J38="",Results!J13=""),"",IF(AND(J38=Results!J13,Results!J13&lt;&gt;Games!$C$117),1,0))</f>
        <v/>
      </c>
      <c r="AR38" s="13" t="str">
        <f>IF(OR(K38="",Results!K13=""),"",IF(AND(K38=Results!K13,Results!K13&lt;&gt;Games!$C$118),1,0))</f>
        <v/>
      </c>
      <c r="AS38" s="13" t="str">
        <f>IF(OR(L38="",Results!L13=""),"",IF(AND(L38=Results!L13,Results!L13&lt;&gt;Games!$C$119),1,0))</f>
        <v/>
      </c>
      <c r="AT38" s="13" t="str">
        <f>IF(OR(M38="",Results!M13=""),"",IF(AND(M38=Results!M13,Results!M13&lt;&gt;Games!$C$120),1,0))</f>
        <v/>
      </c>
      <c r="AU38" s="13" t="str">
        <f>IF(OR(N38="",Results!N13=""),"",IF(AND(N38=Results!N13,Results!N13&lt;&gt;Games!$C$121),1,0))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IF(OR(B39="",Results!B13=""),"",IF(B39=Results!B13,1+IF(OR($O39=1,$P39=1,$Q39=1),1,0),0))</f>
        <v/>
      </c>
      <c r="T39" s="4" t="str">
        <f>IF(OR(C39="",Results!C13=""),"",IF(C39=Results!C13,1+IF(OR($O39=2,$P39=2,$Q39=2),1,0),0))</f>
        <v/>
      </c>
      <c r="U39" s="4" t="str">
        <f>IF(OR(D39="",Results!D13=""),"",IF(D39=Results!D13,1+IF(OR($O39=3,$P39=3,$Q39=3),1,0),0))</f>
        <v/>
      </c>
      <c r="V39" s="4" t="str">
        <f>IF(OR(E39="",Results!E13=""),"",IF(E39=Results!E13,1+IF(OR($O39=4,$P39=4,$Q39=4),1,0),0))</f>
        <v/>
      </c>
      <c r="W39" s="4" t="str">
        <f>IF(OR(F39="",Results!F13=""),"",IF(F39=Results!F13,1+IF(OR($O39=5,$P39=5,$Q39=5),1,0),0))</f>
        <v/>
      </c>
      <c r="X39" s="4" t="str">
        <f>IF(OR(G39="",Results!G13=""),"",IF(G39=Results!G13,1+IF(OR($O39=6,$P39=6,$Q39=6),1,0),0))</f>
        <v/>
      </c>
      <c r="Y39" s="4" t="str">
        <f>IF(OR(H39="",Results!H13=""),"",IF(H39=Results!H13,1+IF(OR($O39=7,$P39=7,$Q39=7),1,0),0))</f>
        <v/>
      </c>
      <c r="Z39" s="4" t="str">
        <f>IF(OR(I39="",Results!I13=""),"",IF(I39=Results!I13,1+IF(OR($O39=8,$P39=8,$Q39=8),1,0),0))</f>
        <v/>
      </c>
      <c r="AA39" s="4" t="str">
        <f>IF(OR(J39="",Results!J13=""),"",IF(J39=Results!J13,1+IF(OR($O39=9,$P39=9,$Q39=9),1,0),0))</f>
        <v/>
      </c>
      <c r="AB39" s="4" t="str">
        <f>IF(OR(K39="",Results!K13=""),"",IF(K39=Results!K13,1+IF(OR($O39=10,$P39=10,$Q39=10),1,0),0))</f>
        <v/>
      </c>
      <c r="AC39" s="4" t="str">
        <f>IF(OR(L39="",Results!L13=""),"",IF(L39=Results!L13,1+IF(OR($O39=11,$P39=11,$Q39=11),1,0),0))</f>
        <v/>
      </c>
      <c r="AD39" s="4" t="str">
        <f>IF(OR(M39="",Results!M13=""),"",IF(M39=Results!M13,1+IF(OR($O39=12,$P39=12,$Q39=12),1,0),0))</f>
        <v/>
      </c>
      <c r="AE39" s="4" t="str">
        <f>IF(OR(N39="",Results!N13=""),"",IF(N39=Results!N13,1+IF(OR($O39=13,$P39=13,$Q39=13),1,0),0))</f>
        <v/>
      </c>
      <c r="AF39" s="11">
        <f t="shared" si="2"/>
        <v>0</v>
      </c>
      <c r="AG39" s="4" t="str">
        <f>IF(OR($R39="",Results!O13=""),"",ABS($R39-Results!O13))</f>
        <v/>
      </c>
      <c r="AH39" s="12">
        <v>50</v>
      </c>
      <c r="AI39" s="13" t="str">
        <f>IF(OR(B39="",Results!B13=""),"",IF(AND(B39=Results!B13,Results!B13&lt;&gt;Games!$C$109),1,0))</f>
        <v/>
      </c>
      <c r="AJ39" s="13" t="str">
        <f>IF(OR(C39="",Results!C13=""),"",IF(AND(C39=Results!C13,Results!C13&lt;&gt;Games!$C$110),1,0))</f>
        <v/>
      </c>
      <c r="AK39" s="13" t="str">
        <f>IF(OR(D39="",Results!D13=""),"",IF(AND(D39=Results!D13,Results!D13&lt;&gt;Games!$C$111),1,0))</f>
        <v/>
      </c>
      <c r="AL39" s="13" t="str">
        <f>IF(OR(E39="",Results!E13=""),"",IF(AND(E39=Results!E13,Results!E13&lt;&gt;Games!$C$112),1,0))</f>
        <v/>
      </c>
      <c r="AM39" s="13" t="str">
        <f>IF(OR(F39="",Results!F13=""),"",IF(AND(F39=Results!F13,Results!F13&lt;&gt;Games!$C$113),1,0))</f>
        <v/>
      </c>
      <c r="AN39" s="13" t="str">
        <f>IF(OR(G39="",Results!G13=""),"",IF(AND(G39=Results!G13,Results!G13&lt;&gt;Games!$C$114),1,0))</f>
        <v/>
      </c>
      <c r="AO39" s="13" t="str">
        <f>IF(OR(H39="",Results!H13=""),"",IF(AND(H39=Results!H13,Results!H13&lt;&gt;Games!$C$115),1,0))</f>
        <v/>
      </c>
      <c r="AP39" s="13" t="str">
        <f>IF(OR(I39="",Results!I13=""),"",IF(AND(I39=Results!I13,Results!I13&lt;&gt;Games!$C$116),1,0))</f>
        <v/>
      </c>
      <c r="AQ39" s="13" t="str">
        <f>IF(OR(J39="",Results!J13=""),"",IF(AND(J39=Results!J13,Results!J13&lt;&gt;Games!$C$117),1,0))</f>
        <v/>
      </c>
      <c r="AR39" s="13" t="str">
        <f>IF(OR(K39="",Results!K13=""),"",IF(AND(K39=Results!K13,Results!K13&lt;&gt;Games!$C$118),1,0))</f>
        <v/>
      </c>
      <c r="AS39" s="13" t="str">
        <f>IF(OR(L39="",Results!L13=""),"",IF(AND(L39=Results!L13,Results!L13&lt;&gt;Games!$C$119),1,0))</f>
        <v/>
      </c>
      <c r="AT39" s="13" t="str">
        <f>IF(OR(M39="",Results!M13=""),"",IF(AND(M39=Results!M13,Results!M13&lt;&gt;Games!$C$120),1,0))</f>
        <v/>
      </c>
      <c r="AU39" s="13" t="str">
        <f>IF(OR(N39="",Results!N13=""),"",IF(AND(N39=Results!N13,Results!N13&lt;&gt;Games!$C$121),1,0))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4" t="str">
        <f>IF(OR(B40="",Results!B13=""),"",IF(B40=Results!B13,1+IF(OR($O40=1,$P40=1,$Q40=1),1,0),0))</f>
        <v/>
      </c>
      <c r="T40" s="4" t="str">
        <f>IF(OR(C40="",Results!C13=""),"",IF(C40=Results!C13,1+IF(OR($O40=2,$P40=2,$Q40=2),1,0),0))</f>
        <v/>
      </c>
      <c r="U40" s="4" t="str">
        <f>IF(OR(D40="",Results!D13=""),"",IF(D40=Results!D13,1+IF(OR($O40=3,$P40=3,$Q40=3),1,0),0))</f>
        <v/>
      </c>
      <c r="V40" s="4" t="str">
        <f>IF(OR(E40="",Results!E13=""),"",IF(E40=Results!E13,1+IF(OR($O40=4,$P40=4,$Q40=4),1,0),0))</f>
        <v/>
      </c>
      <c r="W40" s="4" t="str">
        <f>IF(OR(F40="",Results!F13=""),"",IF(F40=Results!F13,1+IF(OR($O40=5,$P40=5,$Q40=5),1,0),0))</f>
        <v/>
      </c>
      <c r="X40" s="4" t="str">
        <f>IF(OR(G40="",Results!G13=""),"",IF(G40=Results!G13,1+IF(OR($O40=6,$P40=6,$Q40=6),1,0),0))</f>
        <v/>
      </c>
      <c r="Y40" s="4" t="str">
        <f>IF(OR(H40="",Results!H13=""),"",IF(H40=Results!H13,1+IF(OR($O40=7,$P40=7,$Q40=7),1,0),0))</f>
        <v/>
      </c>
      <c r="Z40" s="4" t="str">
        <f>IF(OR(I40="",Results!I13=""),"",IF(I40=Results!I13,1+IF(OR($O40=8,$P40=8,$Q40=8),1,0),0))</f>
        <v/>
      </c>
      <c r="AA40" s="4" t="str">
        <f>IF(OR(J40="",Results!J13=""),"",IF(J40=Results!J13,1+IF(OR($O40=9,$P40=9,$Q40=9),1,0),0))</f>
        <v/>
      </c>
      <c r="AB40" s="4" t="str">
        <f>IF(OR(K40="",Results!K13=""),"",IF(K40=Results!K13,1+IF(OR($O40=10,$P40=10,$Q40=10),1,0),0))</f>
        <v/>
      </c>
      <c r="AC40" s="4" t="str">
        <f>IF(OR(L40="",Results!L13=""),"",IF(L40=Results!L13,1+IF(OR($O40=11,$P40=11,$Q40=11),1,0),0))</f>
        <v/>
      </c>
      <c r="AD40" s="4" t="str">
        <f>IF(OR(M40="",Results!M13=""),"",IF(M40=Results!M13,1+IF(OR($O40=12,$P40=12,$Q40=12),1,0),0))</f>
        <v/>
      </c>
      <c r="AE40" s="4" t="str">
        <f>IF(OR(N40="",Results!N13=""),"",IF(N40=Results!N13,1+IF(OR($O40=13,$P40=13,$Q40=13),1,0),0))</f>
        <v/>
      </c>
      <c r="AF40" s="11">
        <f t="shared" si="2"/>
        <v>0</v>
      </c>
      <c r="AG40" s="4" t="str">
        <f>IF(OR($R40="",Results!O13=""),"",ABS($R40-Results!O13))</f>
        <v/>
      </c>
      <c r="AH40" s="12">
        <v>19</v>
      </c>
      <c r="AI40" s="13" t="str">
        <f>IF(OR(B40="",Results!B13=""),"",IF(AND(B40=Results!B13,Results!B13&lt;&gt;Games!$C$109),1,0))</f>
        <v/>
      </c>
      <c r="AJ40" s="13" t="str">
        <f>IF(OR(C40="",Results!C13=""),"",IF(AND(C40=Results!C13,Results!C13&lt;&gt;Games!$C$110),1,0))</f>
        <v/>
      </c>
      <c r="AK40" s="13" t="str">
        <f>IF(OR(D40="",Results!D13=""),"",IF(AND(D40=Results!D13,Results!D13&lt;&gt;Games!$C$111),1,0))</f>
        <v/>
      </c>
      <c r="AL40" s="13" t="str">
        <f>IF(OR(E40="",Results!E13=""),"",IF(AND(E40=Results!E13,Results!E13&lt;&gt;Games!$C$112),1,0))</f>
        <v/>
      </c>
      <c r="AM40" s="13" t="str">
        <f>IF(OR(F40="",Results!F13=""),"",IF(AND(F40=Results!F13,Results!F13&lt;&gt;Games!$C$113),1,0))</f>
        <v/>
      </c>
      <c r="AN40" s="13" t="str">
        <f>IF(OR(G40="",Results!G13=""),"",IF(AND(G40=Results!G13,Results!G13&lt;&gt;Games!$C$114),1,0))</f>
        <v/>
      </c>
      <c r="AO40" s="13" t="str">
        <f>IF(OR(H40="",Results!H13=""),"",IF(AND(H40=Results!H13,Results!H13&lt;&gt;Games!$C$115),1,0))</f>
        <v/>
      </c>
      <c r="AP40" s="13" t="str">
        <f>IF(OR(I40="",Results!I13=""),"",IF(AND(I40=Results!I13,Results!I13&lt;&gt;Games!$C$116),1,0))</f>
        <v/>
      </c>
      <c r="AQ40" s="13" t="str">
        <f>IF(OR(J40="",Results!J13=""),"",IF(AND(J40=Results!J13,Results!J13&lt;&gt;Games!$C$117),1,0))</f>
        <v/>
      </c>
      <c r="AR40" s="13" t="str">
        <f>IF(OR(K40="",Results!K13=""),"",IF(AND(K40=Results!K13,Results!K13&lt;&gt;Games!$C$118),1,0))</f>
        <v/>
      </c>
      <c r="AS40" s="13" t="str">
        <f>IF(OR(L40="",Results!L13=""),"",IF(AND(L40=Results!L13,Results!L13&lt;&gt;Games!$C$119),1,0))</f>
        <v/>
      </c>
      <c r="AT40" s="13" t="str">
        <f>IF(OR(M40="",Results!M13=""),"",IF(AND(M40=Results!M13,Results!M13&lt;&gt;Games!$C$120),1,0))</f>
        <v/>
      </c>
      <c r="AU40" s="13" t="str">
        <f>IF(OR(N40="",Results!N13=""),"",IF(AND(N40=Results!N13,Results!N13&lt;&gt;Games!$C$121),1,0))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IF(OR(B41="",Results!B13=""),"",IF(B41=Results!B13,1+IF(OR($O41=1,$P41=1,$Q41=1),1,0),0))</f>
        <v/>
      </c>
      <c r="T41" s="4" t="str">
        <f>IF(OR(C41="",Results!C13=""),"",IF(C41=Results!C13,1+IF(OR($O41=2,$P41=2,$Q41=2),1,0),0))</f>
        <v/>
      </c>
      <c r="U41" s="4" t="str">
        <f>IF(OR(D41="",Results!D13=""),"",IF(D41=Results!D13,1+IF(OR($O41=3,$P41=3,$Q41=3),1,0),0))</f>
        <v/>
      </c>
      <c r="V41" s="4" t="str">
        <f>IF(OR(E41="",Results!E13=""),"",IF(E41=Results!E13,1+IF(OR($O41=4,$P41=4,$Q41=4),1,0),0))</f>
        <v/>
      </c>
      <c r="W41" s="4" t="str">
        <f>IF(OR(F41="",Results!F13=""),"",IF(F41=Results!F13,1+IF(OR($O41=5,$P41=5,$Q41=5),1,0),0))</f>
        <v/>
      </c>
      <c r="X41" s="4" t="str">
        <f>IF(OR(G41="",Results!G13=""),"",IF(G41=Results!G13,1+IF(OR($O41=6,$P41=6,$Q41=6),1,0),0))</f>
        <v/>
      </c>
      <c r="Y41" s="4" t="str">
        <f>IF(OR(H41="",Results!H13=""),"",IF(H41=Results!H13,1+IF(OR($O41=7,$P41=7,$Q41=7),1,0),0))</f>
        <v/>
      </c>
      <c r="Z41" s="4" t="str">
        <f>IF(OR(I41="",Results!I13=""),"",IF(I41=Results!I13,1+IF(OR($O41=8,$P41=8,$Q41=8),1,0),0))</f>
        <v/>
      </c>
      <c r="AA41" s="4" t="str">
        <f>IF(OR(J41="",Results!J13=""),"",IF(J41=Results!J13,1+IF(OR($O41=9,$P41=9,$Q41=9),1,0),0))</f>
        <v/>
      </c>
      <c r="AB41" s="4" t="str">
        <f>IF(OR(K41="",Results!K13=""),"",IF(K41=Results!K13,1+IF(OR($O41=10,$P41=10,$Q41=10),1,0),0))</f>
        <v/>
      </c>
      <c r="AC41" s="4" t="str">
        <f>IF(OR(L41="",Results!L13=""),"",IF(L41=Results!L13,1+IF(OR($O41=11,$P41=11,$Q41=11),1,0),0))</f>
        <v/>
      </c>
      <c r="AD41" s="4" t="str">
        <f>IF(OR(M41="",Results!M13=""),"",IF(M41=Results!M13,1+IF(OR($O41=12,$P41=12,$Q41=12),1,0),0))</f>
        <v/>
      </c>
      <c r="AE41" s="4" t="str">
        <f>IF(OR(N41="",Results!N13=""),"",IF(N41=Results!N13,1+IF(OR($O41=13,$P41=13,$Q41=13),1,0),0))</f>
        <v/>
      </c>
      <c r="AF41" s="11">
        <f t="shared" si="2"/>
        <v>0</v>
      </c>
      <c r="AG41" s="4" t="str">
        <f>IF(OR($R41="",Results!O13=""),"",ABS($R41-Results!O13))</f>
        <v/>
      </c>
      <c r="AH41" s="12">
        <v>20</v>
      </c>
      <c r="AI41" s="13" t="str">
        <f>IF(OR(B41="",Results!B13=""),"",IF(AND(B41=Results!B13,Results!B13&lt;&gt;Games!$C$109),1,0))</f>
        <v/>
      </c>
      <c r="AJ41" s="13" t="str">
        <f>IF(OR(C41="",Results!C13=""),"",IF(AND(C41=Results!C13,Results!C13&lt;&gt;Games!$C$110),1,0))</f>
        <v/>
      </c>
      <c r="AK41" s="13" t="str">
        <f>IF(OR(D41="",Results!D13=""),"",IF(AND(D41=Results!D13,Results!D13&lt;&gt;Games!$C$111),1,0))</f>
        <v/>
      </c>
      <c r="AL41" s="13" t="str">
        <f>IF(OR(E41="",Results!E13=""),"",IF(AND(E41=Results!E13,Results!E13&lt;&gt;Games!$C$112),1,0))</f>
        <v/>
      </c>
      <c r="AM41" s="13" t="str">
        <f>IF(OR(F41="",Results!F13=""),"",IF(AND(F41=Results!F13,Results!F13&lt;&gt;Games!$C$113),1,0))</f>
        <v/>
      </c>
      <c r="AN41" s="13" t="str">
        <f>IF(OR(G41="",Results!G13=""),"",IF(AND(G41=Results!G13,Results!G13&lt;&gt;Games!$C$114),1,0))</f>
        <v/>
      </c>
      <c r="AO41" s="13" t="str">
        <f>IF(OR(H41="",Results!H13=""),"",IF(AND(H41=Results!H13,Results!H13&lt;&gt;Games!$C$115),1,0))</f>
        <v/>
      </c>
      <c r="AP41" s="13" t="str">
        <f>IF(OR(I41="",Results!I13=""),"",IF(AND(I41=Results!I13,Results!I13&lt;&gt;Games!$C$116),1,0))</f>
        <v/>
      </c>
      <c r="AQ41" s="13" t="str">
        <f>IF(OR(J41="",Results!J13=""),"",IF(AND(J41=Results!J13,Results!J13&lt;&gt;Games!$C$117),1,0))</f>
        <v/>
      </c>
      <c r="AR41" s="13" t="str">
        <f>IF(OR(K41="",Results!K13=""),"",IF(AND(K41=Results!K13,Results!K13&lt;&gt;Games!$C$118),1,0))</f>
        <v/>
      </c>
      <c r="AS41" s="13" t="str">
        <f>IF(OR(L41="",Results!L13=""),"",IF(AND(L41=Results!L13,Results!L13&lt;&gt;Games!$C$119),1,0))</f>
        <v/>
      </c>
      <c r="AT41" s="13" t="str">
        <f>IF(OR(M41="",Results!M13=""),"",IF(AND(M41=Results!M13,Results!M13&lt;&gt;Games!$C$120),1,0))</f>
        <v/>
      </c>
      <c r="AU41" s="13" t="str">
        <f>IF(OR(N41="",Results!N13=""),"",IF(AND(N41=Results!N13,Results!N13&lt;&gt;Games!$C$121),1,0))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4" t="str">
        <f>IF(OR(B42="",Results!B13=""),"",IF(B42=Results!B13,1+IF(OR($O42=1,$P42=1,$Q42=1),1,0),0))</f>
        <v/>
      </c>
      <c r="T42" s="4" t="str">
        <f>IF(OR(C42="",Results!C13=""),"",IF(C42=Results!C13,1+IF(OR($O42=2,$P42=2,$Q42=2),1,0),0))</f>
        <v/>
      </c>
      <c r="U42" s="4" t="str">
        <f>IF(OR(D42="",Results!D13=""),"",IF(D42=Results!D13,1+IF(OR($O42=3,$P42=3,$Q42=3),1,0),0))</f>
        <v/>
      </c>
      <c r="V42" s="4" t="str">
        <f>IF(OR(E42="",Results!E13=""),"",IF(E42=Results!E13,1+IF(OR($O42=4,$P42=4,$Q42=4),1,0),0))</f>
        <v/>
      </c>
      <c r="W42" s="4" t="str">
        <f>IF(OR(F42="",Results!F13=""),"",IF(F42=Results!F13,1+IF(OR($O42=5,$P42=5,$Q42=5),1,0),0))</f>
        <v/>
      </c>
      <c r="X42" s="4" t="str">
        <f>IF(OR(G42="",Results!G13=""),"",IF(G42=Results!G13,1+IF(OR($O42=6,$P42=6,$Q42=6),1,0),0))</f>
        <v/>
      </c>
      <c r="Y42" s="4" t="str">
        <f>IF(OR(H42="",Results!H13=""),"",IF(H42=Results!H13,1+IF(OR($O42=7,$P42=7,$Q42=7),1,0),0))</f>
        <v/>
      </c>
      <c r="Z42" s="4" t="str">
        <f>IF(OR(I42="",Results!I13=""),"",IF(I42=Results!I13,1+IF(OR($O42=8,$P42=8,$Q42=8),1,0),0))</f>
        <v/>
      </c>
      <c r="AA42" s="4" t="str">
        <f>IF(OR(J42="",Results!J13=""),"",IF(J42=Results!J13,1+IF(OR($O42=9,$P42=9,$Q42=9),1,0),0))</f>
        <v/>
      </c>
      <c r="AB42" s="4" t="str">
        <f>IF(OR(K42="",Results!K13=""),"",IF(K42=Results!K13,1+IF(OR($O42=10,$P42=10,$Q42=10),1,0),0))</f>
        <v/>
      </c>
      <c r="AC42" s="4" t="str">
        <f>IF(OR(L42="",Results!L13=""),"",IF(L42=Results!L13,1+IF(OR($O42=11,$P42=11,$Q42=11),1,0),0))</f>
        <v/>
      </c>
      <c r="AD42" s="4" t="str">
        <f>IF(OR(M42="",Results!M13=""),"",IF(M42=Results!M13,1+IF(OR($O42=12,$P42=12,$Q42=12),1,0),0))</f>
        <v/>
      </c>
      <c r="AE42" s="4" t="str">
        <f>IF(OR(N42="",Results!N13=""),"",IF(N42=Results!N13,1+IF(OR($O42=13,$P42=13,$Q42=13),1,0),0))</f>
        <v/>
      </c>
      <c r="AF42" s="11">
        <f t="shared" si="2"/>
        <v>0</v>
      </c>
      <c r="AG42" s="4" t="str">
        <f>IF(OR($R42="",Results!O13=""),"",ABS($R42-Results!O13))</f>
        <v/>
      </c>
      <c r="AH42" s="12">
        <v>21</v>
      </c>
      <c r="AI42" s="13" t="str">
        <f>IF(OR(B42="",Results!B13=""),"",IF(AND(B42=Results!B13,Results!B13&lt;&gt;Games!$C$109),1,0))</f>
        <v/>
      </c>
      <c r="AJ42" s="13" t="str">
        <f>IF(OR(C42="",Results!C13=""),"",IF(AND(C42=Results!C13,Results!C13&lt;&gt;Games!$C$110),1,0))</f>
        <v/>
      </c>
      <c r="AK42" s="13" t="str">
        <f>IF(OR(D42="",Results!D13=""),"",IF(AND(D42=Results!D13,Results!D13&lt;&gt;Games!$C$111),1,0))</f>
        <v/>
      </c>
      <c r="AL42" s="13" t="str">
        <f>IF(OR(E42="",Results!E13=""),"",IF(AND(E42=Results!E13,Results!E13&lt;&gt;Games!$C$112),1,0))</f>
        <v/>
      </c>
      <c r="AM42" s="13" t="str">
        <f>IF(OR(F42="",Results!F13=""),"",IF(AND(F42=Results!F13,Results!F13&lt;&gt;Games!$C$113),1,0))</f>
        <v/>
      </c>
      <c r="AN42" s="13" t="str">
        <f>IF(OR(G42="",Results!G13=""),"",IF(AND(G42=Results!G13,Results!G13&lt;&gt;Games!$C$114),1,0))</f>
        <v/>
      </c>
      <c r="AO42" s="13" t="str">
        <f>IF(OR(H42="",Results!H13=""),"",IF(AND(H42=Results!H13,Results!H13&lt;&gt;Games!$C$115),1,0))</f>
        <v/>
      </c>
      <c r="AP42" s="13" t="str">
        <f>IF(OR(I42="",Results!I13=""),"",IF(AND(I42=Results!I13,Results!I13&lt;&gt;Games!$C$116),1,0))</f>
        <v/>
      </c>
      <c r="AQ42" s="13" t="str">
        <f>IF(OR(J42="",Results!J13=""),"",IF(AND(J42=Results!J13,Results!J13&lt;&gt;Games!$C$117),1,0))</f>
        <v/>
      </c>
      <c r="AR42" s="13" t="str">
        <f>IF(OR(K42="",Results!K13=""),"",IF(AND(K42=Results!K13,Results!K13&lt;&gt;Games!$C$118),1,0))</f>
        <v/>
      </c>
      <c r="AS42" s="13" t="str">
        <f>IF(OR(L42="",Results!L13=""),"",IF(AND(L42=Results!L13,Results!L13&lt;&gt;Games!$C$119),1,0))</f>
        <v/>
      </c>
      <c r="AT42" s="13" t="str">
        <f>IF(OR(M42="",Results!M13=""),"",IF(AND(M42=Results!M13,Results!M13&lt;&gt;Games!$C$120),1,0))</f>
        <v/>
      </c>
      <c r="AU42" s="13" t="str">
        <f>IF(OR(N42="",Results!N13=""),"",IF(AND(N42=Results!N13,Results!N13&lt;&gt;Games!$C$121),1,0))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4" t="str">
        <f>IF(OR(B43="",Results!B13=""),"",IF(B43=Results!B13,1+IF(OR($O43=1,$P43=1,$Q43=1),1,0),0))</f>
        <v/>
      </c>
      <c r="T43" s="4" t="str">
        <f>IF(OR(C43="",Results!C13=""),"",IF(C43=Results!C13,1+IF(OR($O43=2,$P43=2,$Q43=2),1,0),0))</f>
        <v/>
      </c>
      <c r="U43" s="4" t="str">
        <f>IF(OR(D43="",Results!D13=""),"",IF(D43=Results!D13,1+IF(OR($O43=3,$P43=3,$Q43=3),1,0),0))</f>
        <v/>
      </c>
      <c r="V43" s="4" t="str">
        <f>IF(OR(E43="",Results!E13=""),"",IF(E43=Results!E13,1+IF(OR($O43=4,$P43=4,$Q43=4),1,0),0))</f>
        <v/>
      </c>
      <c r="W43" s="4" t="str">
        <f>IF(OR(F43="",Results!F13=""),"",IF(F43=Results!F13,1+IF(OR($O43=5,$P43=5,$Q43=5),1,0),0))</f>
        <v/>
      </c>
      <c r="X43" s="4" t="str">
        <f>IF(OR(G43="",Results!G13=""),"",IF(G43=Results!G13,1+IF(OR($O43=6,$P43=6,$Q43=6),1,0),0))</f>
        <v/>
      </c>
      <c r="Y43" s="4" t="str">
        <f>IF(OR(H43="",Results!H13=""),"",IF(H43=Results!H13,1+IF(OR($O43=7,$P43=7,$Q43=7),1,0),0))</f>
        <v/>
      </c>
      <c r="Z43" s="4" t="str">
        <f>IF(OR(I43="",Results!I13=""),"",IF(I43=Results!I13,1+IF(OR($O43=8,$P43=8,$Q43=8),1,0),0))</f>
        <v/>
      </c>
      <c r="AA43" s="4" t="str">
        <f>IF(OR(J43="",Results!J13=""),"",IF(J43=Results!J13,1+IF(OR($O43=9,$P43=9,$Q43=9),1,0),0))</f>
        <v/>
      </c>
      <c r="AB43" s="4" t="str">
        <f>IF(OR(K43="",Results!K13=""),"",IF(K43=Results!K13,1+IF(OR($O43=10,$P43=10,$Q43=10),1,0),0))</f>
        <v/>
      </c>
      <c r="AC43" s="4" t="str">
        <f>IF(OR(L43="",Results!L13=""),"",IF(L43=Results!L13,1+IF(OR($O43=11,$P43=11,$Q43=11),1,0),0))</f>
        <v/>
      </c>
      <c r="AD43" s="4" t="str">
        <f>IF(OR(M43="",Results!M13=""),"",IF(M43=Results!M13,1+IF(OR($O43=12,$P43=12,$Q43=12),1,0),0))</f>
        <v/>
      </c>
      <c r="AE43" s="4" t="str">
        <f>IF(OR(N43="",Results!N13=""),"",IF(N43=Results!N13,1+IF(OR($O43=13,$P43=13,$Q43=13),1,0),0))</f>
        <v/>
      </c>
      <c r="AF43" s="11">
        <f t="shared" si="2"/>
        <v>0</v>
      </c>
      <c r="AG43" s="4" t="str">
        <f>IF(OR($R43="",Results!O13=""),"",ABS($R43-Results!O13))</f>
        <v/>
      </c>
      <c r="AH43" s="12">
        <v>22</v>
      </c>
      <c r="AI43" s="13" t="str">
        <f>IF(OR(B43="",Results!B13=""),"",IF(AND(B43=Results!B13,Results!B13&lt;&gt;Games!$C$109),1,0))</f>
        <v/>
      </c>
      <c r="AJ43" s="13" t="str">
        <f>IF(OR(C43="",Results!C13=""),"",IF(AND(C43=Results!C13,Results!C13&lt;&gt;Games!$C$110),1,0))</f>
        <v/>
      </c>
      <c r="AK43" s="13" t="str">
        <f>IF(OR(D43="",Results!D13=""),"",IF(AND(D43=Results!D13,Results!D13&lt;&gt;Games!$C$111),1,0))</f>
        <v/>
      </c>
      <c r="AL43" s="13" t="str">
        <f>IF(OR(E43="",Results!E13=""),"",IF(AND(E43=Results!E13,Results!E13&lt;&gt;Games!$C$112),1,0))</f>
        <v/>
      </c>
      <c r="AM43" s="13" t="str">
        <f>IF(OR(F43="",Results!F13=""),"",IF(AND(F43=Results!F13,Results!F13&lt;&gt;Games!$C$113),1,0))</f>
        <v/>
      </c>
      <c r="AN43" s="13" t="str">
        <f>IF(OR(G43="",Results!G13=""),"",IF(AND(G43=Results!G13,Results!G13&lt;&gt;Games!$C$114),1,0))</f>
        <v/>
      </c>
      <c r="AO43" s="13" t="str">
        <f>IF(OR(H43="",Results!H13=""),"",IF(AND(H43=Results!H13,Results!H13&lt;&gt;Games!$C$115),1,0))</f>
        <v/>
      </c>
      <c r="AP43" s="13" t="str">
        <f>IF(OR(I43="",Results!I13=""),"",IF(AND(I43=Results!I13,Results!I13&lt;&gt;Games!$C$116),1,0))</f>
        <v/>
      </c>
      <c r="AQ43" s="13" t="str">
        <f>IF(OR(J43="",Results!J13=""),"",IF(AND(J43=Results!J13,Results!J13&lt;&gt;Games!$C$117),1,0))</f>
        <v/>
      </c>
      <c r="AR43" s="13" t="str">
        <f>IF(OR(K43="",Results!K13=""),"",IF(AND(K43=Results!K13,Results!K13&lt;&gt;Games!$C$118),1,0))</f>
        <v/>
      </c>
      <c r="AS43" s="13" t="str">
        <f>IF(OR(L43="",Results!L13=""),"",IF(AND(L43=Results!L13,Results!L13&lt;&gt;Games!$C$119),1,0))</f>
        <v/>
      </c>
      <c r="AT43" s="13" t="str">
        <f>IF(OR(M43="",Results!M13=""),"",IF(AND(M43=Results!M13,Results!M13&lt;&gt;Games!$C$120),1,0))</f>
        <v/>
      </c>
      <c r="AU43" s="13" t="str">
        <f>IF(OR(N43="",Results!N13=""),"",IF(AND(N43=Results!N13,Results!N13&lt;&gt;Games!$C$121),1,0))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tr">
        <f>IF(OR(B44="",Results!B13=""),"",IF(B44=Results!B13,1+IF(OR($O44=1,$P44=1,$Q44=1),1,0),0))</f>
        <v/>
      </c>
      <c r="T44" s="4" t="str">
        <f>IF(OR(C44="",Results!C13=""),"",IF(C44=Results!C13,1+IF(OR($O44=2,$P44=2,$Q44=2),1,0),0))</f>
        <v/>
      </c>
      <c r="U44" s="4" t="str">
        <f>IF(OR(D44="",Results!D13=""),"",IF(D44=Results!D13,1+IF(OR($O44=3,$P44=3,$Q44=3),1,0),0))</f>
        <v/>
      </c>
      <c r="V44" s="4" t="str">
        <f>IF(OR(E44="",Results!E13=""),"",IF(E44=Results!E13,1+IF(OR($O44=4,$P44=4,$Q44=4),1,0),0))</f>
        <v/>
      </c>
      <c r="W44" s="4" t="str">
        <f>IF(OR(F44="",Results!F13=""),"",IF(F44=Results!F13,1+IF(OR($O44=5,$P44=5,$Q44=5),1,0),0))</f>
        <v/>
      </c>
      <c r="X44" s="4" t="str">
        <f>IF(OR(G44="",Results!G13=""),"",IF(G44=Results!G13,1+IF(OR($O44=6,$P44=6,$Q44=6),1,0),0))</f>
        <v/>
      </c>
      <c r="Y44" s="4" t="str">
        <f>IF(OR(H44="",Results!H13=""),"",IF(H44=Results!H13,1+IF(OR($O44=7,$P44=7,$Q44=7),1,0),0))</f>
        <v/>
      </c>
      <c r="Z44" s="4" t="str">
        <f>IF(OR(I44="",Results!I13=""),"",IF(I44=Results!I13,1+IF(OR($O44=8,$P44=8,$Q44=8),1,0),0))</f>
        <v/>
      </c>
      <c r="AA44" s="4" t="str">
        <f>IF(OR(J44="",Results!J13=""),"",IF(J44=Results!J13,1+IF(OR($O44=9,$P44=9,$Q44=9),1,0),0))</f>
        <v/>
      </c>
      <c r="AB44" s="4" t="str">
        <f>IF(OR(K44="",Results!K13=""),"",IF(K44=Results!K13,1+IF(OR($O44=10,$P44=10,$Q44=10),1,0),0))</f>
        <v/>
      </c>
      <c r="AC44" s="4" t="str">
        <f>IF(OR(L44="",Results!L13=""),"",IF(L44=Results!L13,1+IF(OR($O44=11,$P44=11,$Q44=11),1,0),0))</f>
        <v/>
      </c>
      <c r="AD44" s="4" t="str">
        <f>IF(OR(M44="",Results!M13=""),"",IF(M44=Results!M13,1+IF(OR($O44=12,$P44=12,$Q44=12),1,0),0))</f>
        <v/>
      </c>
      <c r="AE44" s="4" t="str">
        <f>IF(OR(N44="",Results!N13=""),"",IF(N44=Results!N13,1+IF(OR($O44=13,$P44=13,$Q44=13),1,0),0))</f>
        <v/>
      </c>
      <c r="AF44" s="11">
        <f t="shared" si="2"/>
        <v>0</v>
      </c>
      <c r="AG44" s="4" t="str">
        <f>IF(OR($R44="",Results!O13=""),"",ABS($R44-Results!O13))</f>
        <v/>
      </c>
      <c r="AH44" s="12">
        <v>23</v>
      </c>
      <c r="AI44" s="13" t="str">
        <f>IF(OR(B44="",Results!B13=""),"",IF(AND(B44=Results!B13,Results!B13&lt;&gt;Games!$C$109),1,0))</f>
        <v/>
      </c>
      <c r="AJ44" s="13" t="str">
        <f>IF(OR(C44="",Results!C13=""),"",IF(AND(C44=Results!C13,Results!C13&lt;&gt;Games!$C$110),1,0))</f>
        <v/>
      </c>
      <c r="AK44" s="13" t="str">
        <f>IF(OR(D44="",Results!D13=""),"",IF(AND(D44=Results!D13,Results!D13&lt;&gt;Games!$C$111),1,0))</f>
        <v/>
      </c>
      <c r="AL44" s="13" t="str">
        <f>IF(OR(E44="",Results!E13=""),"",IF(AND(E44=Results!E13,Results!E13&lt;&gt;Games!$C$112),1,0))</f>
        <v/>
      </c>
      <c r="AM44" s="13" t="str">
        <f>IF(OR(F44="",Results!F13=""),"",IF(AND(F44=Results!F13,Results!F13&lt;&gt;Games!$C$113),1,0))</f>
        <v/>
      </c>
      <c r="AN44" s="13" t="str">
        <f>IF(OR(G44="",Results!G13=""),"",IF(AND(G44=Results!G13,Results!G13&lt;&gt;Games!$C$114),1,0))</f>
        <v/>
      </c>
      <c r="AO44" s="13" t="str">
        <f>IF(OR(H44="",Results!H13=""),"",IF(AND(H44=Results!H13,Results!H13&lt;&gt;Games!$C$115),1,0))</f>
        <v/>
      </c>
      <c r="AP44" s="13" t="str">
        <f>IF(OR(I44="",Results!I13=""),"",IF(AND(I44=Results!I13,Results!I13&lt;&gt;Games!$C$116),1,0))</f>
        <v/>
      </c>
      <c r="AQ44" s="13" t="str">
        <f>IF(OR(J44="",Results!J13=""),"",IF(AND(J44=Results!J13,Results!J13&lt;&gt;Games!$C$117),1,0))</f>
        <v/>
      </c>
      <c r="AR44" s="13" t="str">
        <f>IF(OR(K44="",Results!K13=""),"",IF(AND(K44=Results!K13,Results!K13&lt;&gt;Games!$C$118),1,0))</f>
        <v/>
      </c>
      <c r="AS44" s="13" t="str">
        <f>IF(OR(L44="",Results!L13=""),"",IF(AND(L44=Results!L13,Results!L13&lt;&gt;Games!$C$119),1,0))</f>
        <v/>
      </c>
      <c r="AT44" s="13" t="str">
        <f>IF(OR(M44="",Results!M13=""),"",IF(AND(M44=Results!M13,Results!M13&lt;&gt;Games!$C$120),1,0))</f>
        <v/>
      </c>
      <c r="AU44" s="13" t="str">
        <f>IF(OR(N44="",Results!N13=""),"",IF(AND(N44=Results!N13,Results!N13&lt;&gt;Games!$C$121),1,0))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IF(OR(B45="",Results!B13=""),"",IF(B45=Results!B13,1+IF(OR($O45=1,$P45=1,$Q45=1),1,0),0))</f>
        <v/>
      </c>
      <c r="T45" s="4" t="str">
        <f>IF(OR(C45="",Results!C13=""),"",IF(C45=Results!C13,1+IF(OR($O45=2,$P45=2,$Q45=2),1,0),0))</f>
        <v/>
      </c>
      <c r="U45" s="4" t="str">
        <f>IF(OR(D45="",Results!D13=""),"",IF(D45=Results!D13,1+IF(OR($O45=3,$P45=3,$Q45=3),1,0),0))</f>
        <v/>
      </c>
      <c r="V45" s="4" t="str">
        <f>IF(OR(E45="",Results!E13=""),"",IF(E45=Results!E13,1+IF(OR($O45=4,$P45=4,$Q45=4),1,0),0))</f>
        <v/>
      </c>
      <c r="W45" s="4" t="str">
        <f>IF(OR(F45="",Results!F13=""),"",IF(F45=Results!F13,1+IF(OR($O45=5,$P45=5,$Q45=5),1,0),0))</f>
        <v/>
      </c>
      <c r="X45" s="4" t="str">
        <f>IF(OR(G45="",Results!G13=""),"",IF(G45=Results!G13,1+IF(OR($O45=6,$P45=6,$Q45=6),1,0),0))</f>
        <v/>
      </c>
      <c r="Y45" s="4" t="str">
        <f>IF(OR(H45="",Results!H13=""),"",IF(H45=Results!H13,1+IF(OR($O45=7,$P45=7,$Q45=7),1,0),0))</f>
        <v/>
      </c>
      <c r="Z45" s="4" t="str">
        <f>IF(OR(I45="",Results!I13=""),"",IF(I45=Results!I13,1+IF(OR($O45=8,$P45=8,$Q45=8),1,0),0))</f>
        <v/>
      </c>
      <c r="AA45" s="4" t="str">
        <f>IF(OR(J45="",Results!J13=""),"",IF(J45=Results!J13,1+IF(OR($O45=9,$P45=9,$Q45=9),1,0),0))</f>
        <v/>
      </c>
      <c r="AB45" s="4" t="str">
        <f>IF(OR(K45="",Results!K13=""),"",IF(K45=Results!K13,1+IF(OR($O45=10,$P45=10,$Q45=10),1,0),0))</f>
        <v/>
      </c>
      <c r="AC45" s="4" t="str">
        <f>IF(OR(L45="",Results!L13=""),"",IF(L45=Results!L13,1+IF(OR($O45=11,$P45=11,$Q45=11),1,0),0))</f>
        <v/>
      </c>
      <c r="AD45" s="4" t="str">
        <f>IF(OR(M45="",Results!M13=""),"",IF(M45=Results!M13,1+IF(OR($O45=12,$P45=12,$Q45=12),1,0),0))</f>
        <v/>
      </c>
      <c r="AE45" s="4" t="str">
        <f>IF(OR(N45="",Results!N13=""),"",IF(N45=Results!N13,1+IF(OR($O45=13,$P45=13,$Q45=13),1,0),0))</f>
        <v/>
      </c>
      <c r="AF45" s="11">
        <f t="shared" si="2"/>
        <v>0</v>
      </c>
      <c r="AG45" s="4" t="str">
        <f>IF(OR($R45="",Results!O13=""),"",ABS($R45-Results!O13))</f>
        <v/>
      </c>
      <c r="AH45" s="12">
        <v>24</v>
      </c>
      <c r="AI45" s="13" t="str">
        <f>IF(OR(B45="",Results!B13=""),"",IF(AND(B45=Results!B13,Results!B13&lt;&gt;Games!$C$109),1,0))</f>
        <v/>
      </c>
      <c r="AJ45" s="13" t="str">
        <f>IF(OR(C45="",Results!C13=""),"",IF(AND(C45=Results!C13,Results!C13&lt;&gt;Games!$C$110),1,0))</f>
        <v/>
      </c>
      <c r="AK45" s="13" t="str">
        <f>IF(OR(D45="",Results!D13=""),"",IF(AND(D45=Results!D13,Results!D13&lt;&gt;Games!$C$111),1,0))</f>
        <v/>
      </c>
      <c r="AL45" s="13" t="str">
        <f>IF(OR(E45="",Results!E13=""),"",IF(AND(E45=Results!E13,Results!E13&lt;&gt;Games!$C$112),1,0))</f>
        <v/>
      </c>
      <c r="AM45" s="13" t="str">
        <f>IF(OR(F45="",Results!F13=""),"",IF(AND(F45=Results!F13,Results!F13&lt;&gt;Games!$C$113),1,0))</f>
        <v/>
      </c>
      <c r="AN45" s="13" t="str">
        <f>IF(OR(G45="",Results!G13=""),"",IF(AND(G45=Results!G13,Results!G13&lt;&gt;Games!$C$114),1,0))</f>
        <v/>
      </c>
      <c r="AO45" s="13" t="str">
        <f>IF(OR(H45="",Results!H13=""),"",IF(AND(H45=Results!H13,Results!H13&lt;&gt;Games!$C$115),1,0))</f>
        <v/>
      </c>
      <c r="AP45" s="13" t="str">
        <f>IF(OR(I45="",Results!I13=""),"",IF(AND(I45=Results!I13,Results!I13&lt;&gt;Games!$C$116),1,0))</f>
        <v/>
      </c>
      <c r="AQ45" s="13" t="str">
        <f>IF(OR(J45="",Results!J13=""),"",IF(AND(J45=Results!J13,Results!J13&lt;&gt;Games!$C$117),1,0))</f>
        <v/>
      </c>
      <c r="AR45" s="13" t="str">
        <f>IF(OR(K45="",Results!K13=""),"",IF(AND(K45=Results!K13,Results!K13&lt;&gt;Games!$C$118),1,0))</f>
        <v/>
      </c>
      <c r="AS45" s="13" t="str">
        <f>IF(OR(L45="",Results!L13=""),"",IF(AND(L45=Results!L13,Results!L13&lt;&gt;Games!$C$119),1,0))</f>
        <v/>
      </c>
      <c r="AT45" s="13" t="str">
        <f>IF(OR(M45="",Results!M13=""),"",IF(AND(M45=Results!M13,Results!M13&lt;&gt;Games!$C$120),1,0))</f>
        <v/>
      </c>
      <c r="AU45" s="13" t="str">
        <f>IF(OR(N45="",Results!N13=""),"",IF(AND(N45=Results!N13,Results!N13&lt;&gt;Games!$C$121),1,0))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IF(OR(B46="",Results!B13=""),"",IF(B46=Results!B13,1+IF(OR($O46=1,$P46=1,$Q46=1),1,0),0))</f>
        <v/>
      </c>
      <c r="T46" s="4" t="str">
        <f>IF(OR(C46="",Results!C13=""),"",IF(C46=Results!C13,1+IF(OR($O46=2,$P46=2,$Q46=2),1,0),0))</f>
        <v/>
      </c>
      <c r="U46" s="4" t="str">
        <f>IF(OR(D46="",Results!D13=""),"",IF(D46=Results!D13,1+IF(OR($O46=3,$P46=3,$Q46=3),1,0),0))</f>
        <v/>
      </c>
      <c r="V46" s="4" t="str">
        <f>IF(OR(E46="",Results!E13=""),"",IF(E46=Results!E13,1+IF(OR($O46=4,$P46=4,$Q46=4),1,0),0))</f>
        <v/>
      </c>
      <c r="W46" s="4" t="str">
        <f>IF(OR(F46="",Results!F13=""),"",IF(F46=Results!F13,1+IF(OR($O46=5,$P46=5,$Q46=5),1,0),0))</f>
        <v/>
      </c>
      <c r="X46" s="4" t="str">
        <f>IF(OR(G46="",Results!G13=""),"",IF(G46=Results!G13,1+IF(OR($O46=6,$P46=6,$Q46=6),1,0),0))</f>
        <v/>
      </c>
      <c r="Y46" s="4" t="str">
        <f>IF(OR(H46="",Results!H13=""),"",IF(H46=Results!H13,1+IF(OR($O46=7,$P46=7,$Q46=7),1,0),0))</f>
        <v/>
      </c>
      <c r="Z46" s="4" t="str">
        <f>IF(OR(I46="",Results!I13=""),"",IF(I46=Results!I13,1+IF(OR($O46=8,$P46=8,$Q46=8),1,0),0))</f>
        <v/>
      </c>
      <c r="AA46" s="4" t="str">
        <f>IF(OR(J46="",Results!J13=""),"",IF(J46=Results!J13,1+IF(OR($O46=9,$P46=9,$Q46=9),1,0),0))</f>
        <v/>
      </c>
      <c r="AB46" s="4" t="str">
        <f>IF(OR(K46="",Results!K13=""),"",IF(K46=Results!K13,1+IF(OR($O46=10,$P46=10,$Q46=10),1,0),0))</f>
        <v/>
      </c>
      <c r="AC46" s="4" t="str">
        <f>IF(OR(L46="",Results!L13=""),"",IF(L46=Results!L13,1+IF(OR($O46=11,$P46=11,$Q46=11),1,0),0))</f>
        <v/>
      </c>
      <c r="AD46" s="4" t="str">
        <f>IF(OR(M46="",Results!M13=""),"",IF(M46=Results!M13,1+IF(OR($O46=12,$P46=12,$Q46=12),1,0),0))</f>
        <v/>
      </c>
      <c r="AE46" s="4" t="str">
        <f>IF(OR(N46="",Results!N13=""),"",IF(N46=Results!N13,1+IF(OR($O46=13,$P46=13,$Q46=13),1,0),0))</f>
        <v/>
      </c>
      <c r="AF46" s="11">
        <f t="shared" si="2"/>
        <v>0</v>
      </c>
      <c r="AG46" s="4" t="str">
        <f>IF(OR($R46="",Results!O13=""),"",ABS($R46-Results!O13))</f>
        <v/>
      </c>
      <c r="AH46" s="12">
        <v>36</v>
      </c>
      <c r="AI46" s="13" t="str">
        <f>IF(OR(B46="",Results!B13=""),"",IF(AND(B46=Results!B13,Results!B13&lt;&gt;Games!$C$109),1,0))</f>
        <v/>
      </c>
      <c r="AJ46" s="13" t="str">
        <f>IF(OR(C46="",Results!C13=""),"",IF(AND(C46=Results!C13,Results!C13&lt;&gt;Games!$C$110),1,0))</f>
        <v/>
      </c>
      <c r="AK46" s="13" t="str">
        <f>IF(OR(D46="",Results!D13=""),"",IF(AND(D46=Results!D13,Results!D13&lt;&gt;Games!$C$111),1,0))</f>
        <v/>
      </c>
      <c r="AL46" s="13" t="str">
        <f>IF(OR(E46="",Results!E13=""),"",IF(AND(E46=Results!E13,Results!E13&lt;&gt;Games!$C$112),1,0))</f>
        <v/>
      </c>
      <c r="AM46" s="13" t="str">
        <f>IF(OR(F46="",Results!F13=""),"",IF(AND(F46=Results!F13,Results!F13&lt;&gt;Games!$C$113),1,0))</f>
        <v/>
      </c>
      <c r="AN46" s="13" t="str">
        <f>IF(OR(G46="",Results!G13=""),"",IF(AND(G46=Results!G13,Results!G13&lt;&gt;Games!$C$114),1,0))</f>
        <v/>
      </c>
      <c r="AO46" s="13" t="str">
        <f>IF(OR(H46="",Results!H13=""),"",IF(AND(H46=Results!H13,Results!H13&lt;&gt;Games!$C$115),1,0))</f>
        <v/>
      </c>
      <c r="AP46" s="13" t="str">
        <f>IF(OR(I46="",Results!I13=""),"",IF(AND(I46=Results!I13,Results!I13&lt;&gt;Games!$C$116),1,0))</f>
        <v/>
      </c>
      <c r="AQ46" s="13" t="str">
        <f>IF(OR(J46="",Results!J13=""),"",IF(AND(J46=Results!J13,Results!J13&lt;&gt;Games!$C$117),1,0))</f>
        <v/>
      </c>
      <c r="AR46" s="13" t="str">
        <f>IF(OR(K46="",Results!K13=""),"",IF(AND(K46=Results!K13,Results!K13&lt;&gt;Games!$C$118),1,0))</f>
        <v/>
      </c>
      <c r="AS46" s="13" t="str">
        <f>IF(OR(L46="",Results!L13=""),"",IF(AND(L46=Results!L13,Results!L13&lt;&gt;Games!$C$119),1,0))</f>
        <v/>
      </c>
      <c r="AT46" s="13" t="str">
        <f>IF(OR(M46="",Results!M13=""),"",IF(AND(M46=Results!M13,Results!M13&lt;&gt;Games!$C$120),1,0))</f>
        <v/>
      </c>
      <c r="AU46" s="13" t="str">
        <f>IF(OR(N46="",Results!N13=""),"",IF(AND(N46=Results!N13,Results!N13&lt;&gt;Games!$C$121),1,0))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 t="str">
        <f>IF(OR(B47="",Results!B13=""),"",IF(B47=Results!B13,1+IF(OR($O47=1,$P47=1,$Q47=1),1,0),0))</f>
        <v/>
      </c>
      <c r="T47" s="4" t="str">
        <f>IF(OR(C47="",Results!C13=""),"",IF(C47=Results!C13,1+IF(OR($O47=2,$P47=2,$Q47=2),1,0),0))</f>
        <v/>
      </c>
      <c r="U47" s="4" t="str">
        <f>IF(OR(D47="",Results!D13=""),"",IF(D47=Results!D13,1+IF(OR($O47=3,$P47=3,$Q47=3),1,0),0))</f>
        <v/>
      </c>
      <c r="V47" s="4" t="str">
        <f>IF(OR(E47="",Results!E13=""),"",IF(E47=Results!E13,1+IF(OR($O47=4,$P47=4,$Q47=4),1,0),0))</f>
        <v/>
      </c>
      <c r="W47" s="4" t="str">
        <f>IF(OR(F47="",Results!F13=""),"",IF(F47=Results!F13,1+IF(OR($O47=5,$P47=5,$Q47=5),1,0),0))</f>
        <v/>
      </c>
      <c r="X47" s="4" t="str">
        <f>IF(OR(G47="",Results!G13=""),"",IF(G47=Results!G13,1+IF(OR($O47=6,$P47=6,$Q47=6),1,0),0))</f>
        <v/>
      </c>
      <c r="Y47" s="4" t="str">
        <f>IF(OR(H47="",Results!H13=""),"",IF(H47=Results!H13,1+IF(OR($O47=7,$P47=7,$Q47=7),1,0),0))</f>
        <v/>
      </c>
      <c r="Z47" s="4" t="str">
        <f>IF(OR(I47="",Results!I13=""),"",IF(I47=Results!I13,1+IF(OR($O47=8,$P47=8,$Q47=8),1,0),0))</f>
        <v/>
      </c>
      <c r="AA47" s="4" t="str">
        <f>IF(OR(J47="",Results!J13=""),"",IF(J47=Results!J13,1+IF(OR($O47=9,$P47=9,$Q47=9),1,0),0))</f>
        <v/>
      </c>
      <c r="AB47" s="4" t="str">
        <f>IF(OR(K47="",Results!K13=""),"",IF(K47=Results!K13,1+IF(OR($O47=10,$P47=10,$Q47=10),1,0),0))</f>
        <v/>
      </c>
      <c r="AC47" s="4" t="str">
        <f>IF(OR(L47="",Results!L13=""),"",IF(L47=Results!L13,1+IF(OR($O47=11,$P47=11,$Q47=11),1,0),0))</f>
        <v/>
      </c>
      <c r="AD47" s="4" t="str">
        <f>IF(OR(M47="",Results!M13=""),"",IF(M47=Results!M13,1+IF(OR($O47=12,$P47=12,$Q47=12),1,0),0))</f>
        <v/>
      </c>
      <c r="AE47" s="4" t="str">
        <f>IF(OR(N47="",Results!N13=""),"",IF(N47=Results!N13,1+IF(OR($O47=13,$P47=13,$Q47=13),1,0),0))</f>
        <v/>
      </c>
      <c r="AF47" s="11">
        <f t="shared" si="2"/>
        <v>0</v>
      </c>
      <c r="AG47" s="4" t="str">
        <f>IF(OR($R47="",Results!O13=""),"",ABS($R47-Results!O13))</f>
        <v/>
      </c>
      <c r="AH47" s="12">
        <v>25</v>
      </c>
      <c r="AI47" s="13" t="str">
        <f>IF(OR(B47="",Results!B13=""),"",IF(AND(B47=Results!B13,Results!B13&lt;&gt;Games!$C$109),1,0))</f>
        <v/>
      </c>
      <c r="AJ47" s="13" t="str">
        <f>IF(OR(C47="",Results!C13=""),"",IF(AND(C47=Results!C13,Results!C13&lt;&gt;Games!$C$110),1,0))</f>
        <v/>
      </c>
      <c r="AK47" s="13" t="str">
        <f>IF(OR(D47="",Results!D13=""),"",IF(AND(D47=Results!D13,Results!D13&lt;&gt;Games!$C$111),1,0))</f>
        <v/>
      </c>
      <c r="AL47" s="13" t="str">
        <f>IF(OR(E47="",Results!E13=""),"",IF(AND(E47=Results!E13,Results!E13&lt;&gt;Games!$C$112),1,0))</f>
        <v/>
      </c>
      <c r="AM47" s="13" t="str">
        <f>IF(OR(F47="",Results!F13=""),"",IF(AND(F47=Results!F13,Results!F13&lt;&gt;Games!$C$113),1,0))</f>
        <v/>
      </c>
      <c r="AN47" s="13" t="str">
        <f>IF(OR(G47="",Results!G13=""),"",IF(AND(G47=Results!G13,Results!G13&lt;&gt;Games!$C$114),1,0))</f>
        <v/>
      </c>
      <c r="AO47" s="13" t="str">
        <f>IF(OR(H47="",Results!H13=""),"",IF(AND(H47=Results!H13,Results!H13&lt;&gt;Games!$C$115),1,0))</f>
        <v/>
      </c>
      <c r="AP47" s="13" t="str">
        <f>IF(OR(I47="",Results!I13=""),"",IF(AND(I47=Results!I13,Results!I13&lt;&gt;Games!$C$116),1,0))</f>
        <v/>
      </c>
      <c r="AQ47" s="13" t="str">
        <f>IF(OR(J47="",Results!J13=""),"",IF(AND(J47=Results!J13,Results!J13&lt;&gt;Games!$C$117),1,0))</f>
        <v/>
      </c>
      <c r="AR47" s="13" t="str">
        <f>IF(OR(K47="",Results!K13=""),"",IF(AND(K47=Results!K13,Results!K13&lt;&gt;Games!$C$118),1,0))</f>
        <v/>
      </c>
      <c r="AS47" s="13" t="str">
        <f>IF(OR(L47="",Results!L13=""),"",IF(AND(L47=Results!L13,Results!L13&lt;&gt;Games!$C$119),1,0))</f>
        <v/>
      </c>
      <c r="AT47" s="13" t="str">
        <f>IF(OR(M47="",Results!M13=""),"",IF(AND(M47=Results!M13,Results!M13&lt;&gt;Games!$C$120),1,0))</f>
        <v/>
      </c>
      <c r="AU47" s="13" t="str">
        <f>IF(OR(N47="",Results!N13=""),"",IF(AND(N47=Results!N13,Results!N13&lt;&gt;Games!$C$121),1,0))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IF(OR(B48="",Results!B13=""),"",IF(B48=Results!B13,1+IF(OR($O48=1,$P48=1,$Q48=1),1,0),0))</f>
        <v/>
      </c>
      <c r="T48" s="4" t="str">
        <f>IF(OR(C48="",Results!C13=""),"",IF(C48=Results!C13,1+IF(OR($O48=2,$P48=2,$Q48=2),1,0),0))</f>
        <v/>
      </c>
      <c r="U48" s="4" t="str">
        <f>IF(OR(D48="",Results!D13=""),"",IF(D48=Results!D13,1+IF(OR($O48=3,$P48=3,$Q48=3),1,0),0))</f>
        <v/>
      </c>
      <c r="V48" s="4" t="str">
        <f>IF(OR(E48="",Results!E13=""),"",IF(E48=Results!E13,1+IF(OR($O48=4,$P48=4,$Q48=4),1,0),0))</f>
        <v/>
      </c>
      <c r="W48" s="4" t="str">
        <f>IF(OR(F48="",Results!F13=""),"",IF(F48=Results!F13,1+IF(OR($O48=5,$P48=5,$Q48=5),1,0),0))</f>
        <v/>
      </c>
      <c r="X48" s="4" t="str">
        <f>IF(OR(G48="",Results!G13=""),"",IF(G48=Results!G13,1+IF(OR($O48=6,$P48=6,$Q48=6),1,0),0))</f>
        <v/>
      </c>
      <c r="Y48" s="4" t="str">
        <f>IF(OR(H48="",Results!H13=""),"",IF(H48=Results!H13,1+IF(OR($O48=7,$P48=7,$Q48=7),1,0),0))</f>
        <v/>
      </c>
      <c r="Z48" s="4" t="str">
        <f>IF(OR(I48="",Results!I13=""),"",IF(I48=Results!I13,1+IF(OR($O48=8,$P48=8,$Q48=8),1,0),0))</f>
        <v/>
      </c>
      <c r="AA48" s="4" t="str">
        <f>IF(OR(J48="",Results!J13=""),"",IF(J48=Results!J13,1+IF(OR($O48=9,$P48=9,$Q48=9),1,0),0))</f>
        <v/>
      </c>
      <c r="AB48" s="4" t="str">
        <f>IF(OR(K48="",Results!K13=""),"",IF(K48=Results!K13,1+IF(OR($O48=10,$P48=10,$Q48=10),1,0),0))</f>
        <v/>
      </c>
      <c r="AC48" s="4" t="str">
        <f>IF(OR(L48="",Results!L13=""),"",IF(L48=Results!L13,1+IF(OR($O48=11,$P48=11,$Q48=11),1,0),0))</f>
        <v/>
      </c>
      <c r="AD48" s="4" t="str">
        <f>IF(OR(M48="",Results!M13=""),"",IF(M48=Results!M13,1+IF(OR($O48=12,$P48=12,$Q48=12),1,0),0))</f>
        <v/>
      </c>
      <c r="AE48" s="4" t="str">
        <f>IF(OR(N48="",Results!N13=""),"",IF(N48=Results!N13,1+IF(OR($O48=13,$P48=13,$Q48=13),1,0),0))</f>
        <v/>
      </c>
      <c r="AF48" s="11">
        <f t="shared" si="2"/>
        <v>0</v>
      </c>
      <c r="AG48" s="4" t="str">
        <f>IF(OR($R48="",Results!O13=""),"",ABS($R48-Results!O13))</f>
        <v/>
      </c>
      <c r="AH48" s="12">
        <v>56</v>
      </c>
      <c r="AI48" s="13" t="str">
        <f>IF(OR(B48="",Results!B13=""),"",IF(AND(B48=Results!B13,Results!B13&lt;&gt;Games!$C$109),1,0))</f>
        <v/>
      </c>
      <c r="AJ48" s="13" t="str">
        <f>IF(OR(C48="",Results!C13=""),"",IF(AND(C48=Results!C13,Results!C13&lt;&gt;Games!$C$110),1,0))</f>
        <v/>
      </c>
      <c r="AK48" s="13" t="str">
        <f>IF(OR(D48="",Results!D13=""),"",IF(AND(D48=Results!D13,Results!D13&lt;&gt;Games!$C$111),1,0))</f>
        <v/>
      </c>
      <c r="AL48" s="13" t="str">
        <f>IF(OR(E48="",Results!E13=""),"",IF(AND(E48=Results!E13,Results!E13&lt;&gt;Games!$C$112),1,0))</f>
        <v/>
      </c>
      <c r="AM48" s="13" t="str">
        <f>IF(OR(F48="",Results!F13=""),"",IF(AND(F48=Results!F13,Results!F13&lt;&gt;Games!$C$113),1,0))</f>
        <v/>
      </c>
      <c r="AN48" s="13" t="str">
        <f>IF(OR(G48="",Results!G13=""),"",IF(AND(G48=Results!G13,Results!G13&lt;&gt;Games!$C$114),1,0))</f>
        <v/>
      </c>
      <c r="AO48" s="13" t="str">
        <f>IF(OR(H48="",Results!H13=""),"",IF(AND(H48=Results!H13,Results!H13&lt;&gt;Games!$C$115),1,0))</f>
        <v/>
      </c>
      <c r="AP48" s="13" t="str">
        <f>IF(OR(I48="",Results!I13=""),"",IF(AND(I48=Results!I13,Results!I13&lt;&gt;Games!$C$116),1,0))</f>
        <v/>
      </c>
      <c r="AQ48" s="13" t="str">
        <f>IF(OR(J48="",Results!J13=""),"",IF(AND(J48=Results!J13,Results!J13&lt;&gt;Games!$C$117),1,0))</f>
        <v/>
      </c>
      <c r="AR48" s="13" t="str">
        <f>IF(OR(K48="",Results!K13=""),"",IF(AND(K48=Results!K13,Results!K13&lt;&gt;Games!$C$118),1,0))</f>
        <v/>
      </c>
      <c r="AS48" s="13" t="str">
        <f>IF(OR(L48="",Results!L13=""),"",IF(AND(L48=Results!L13,Results!L13&lt;&gt;Games!$C$119),1,0))</f>
        <v/>
      </c>
      <c r="AT48" s="13" t="str">
        <f>IF(OR(M48="",Results!M13=""),"",IF(AND(M48=Results!M13,Results!M13&lt;&gt;Games!$C$120),1,0))</f>
        <v/>
      </c>
      <c r="AU48" s="13" t="str">
        <f>IF(OR(N48="",Results!N13=""),"",IF(AND(N48=Results!N13,Results!N13&lt;&gt;Games!$C$121),1,0))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 t="str">
        <f>IF(OR(B49="",Results!B13=""),"",IF(B49=Results!B13,1+IF(OR($O49=1,$P49=1,$Q49=1),1,0),0))</f>
        <v/>
      </c>
      <c r="T49" s="4" t="str">
        <f>IF(OR(C49="",Results!C13=""),"",IF(C49=Results!C13,1+IF(OR($O49=2,$P49=2,$Q49=2),1,0),0))</f>
        <v/>
      </c>
      <c r="U49" s="4" t="str">
        <f>IF(OR(D49="",Results!D13=""),"",IF(D49=Results!D13,1+IF(OR($O49=3,$P49=3,$Q49=3),1,0),0))</f>
        <v/>
      </c>
      <c r="V49" s="4" t="str">
        <f>IF(OR(E49="",Results!E13=""),"",IF(E49=Results!E13,1+IF(OR($O49=4,$P49=4,$Q49=4),1,0),0))</f>
        <v/>
      </c>
      <c r="W49" s="4" t="str">
        <f>IF(OR(F49="",Results!F13=""),"",IF(F49=Results!F13,1+IF(OR($O49=5,$P49=5,$Q49=5),1,0),0))</f>
        <v/>
      </c>
      <c r="X49" s="4" t="str">
        <f>IF(OR(G49="",Results!G13=""),"",IF(G49=Results!G13,1+IF(OR($O49=6,$P49=6,$Q49=6),1,0),0))</f>
        <v/>
      </c>
      <c r="Y49" s="4" t="str">
        <f>IF(OR(H49="",Results!H13=""),"",IF(H49=Results!H13,1+IF(OR($O49=7,$P49=7,$Q49=7),1,0),0))</f>
        <v/>
      </c>
      <c r="Z49" s="4" t="str">
        <f>IF(OR(I49="",Results!I13=""),"",IF(I49=Results!I13,1+IF(OR($O49=8,$P49=8,$Q49=8),1,0),0))</f>
        <v/>
      </c>
      <c r="AA49" s="4" t="str">
        <f>IF(OR(J49="",Results!J13=""),"",IF(J49=Results!J13,1+IF(OR($O49=9,$P49=9,$Q49=9),1,0),0))</f>
        <v/>
      </c>
      <c r="AB49" s="4" t="str">
        <f>IF(OR(K49="",Results!K13=""),"",IF(K49=Results!K13,1+IF(OR($O49=10,$P49=10,$Q49=10),1,0),0))</f>
        <v/>
      </c>
      <c r="AC49" s="4" t="str">
        <f>IF(OR(L49="",Results!L13=""),"",IF(L49=Results!L13,1+IF(OR($O49=11,$P49=11,$Q49=11),1,0),0))</f>
        <v/>
      </c>
      <c r="AD49" s="4" t="str">
        <f>IF(OR(M49="",Results!M13=""),"",IF(M49=Results!M13,1+IF(OR($O49=12,$P49=12,$Q49=12),1,0),0))</f>
        <v/>
      </c>
      <c r="AE49" s="4" t="str">
        <f>IF(OR(N49="",Results!N13=""),"",IF(N49=Results!N13,1+IF(OR($O49=13,$P49=13,$Q49=13),1,0),0))</f>
        <v/>
      </c>
      <c r="AF49" s="11">
        <f t="shared" si="2"/>
        <v>0</v>
      </c>
      <c r="AG49" s="4" t="str">
        <f>IF(OR($R49="",Results!O13=""),"",ABS($R49-Results!O13))</f>
        <v/>
      </c>
      <c r="AH49" s="12">
        <v>34</v>
      </c>
      <c r="AI49" s="13" t="str">
        <f>IF(OR(B49="",Results!B13=""),"",IF(AND(B49=Results!B13,Results!B13&lt;&gt;Games!$C$109),1,0))</f>
        <v/>
      </c>
      <c r="AJ49" s="13" t="str">
        <f>IF(OR(C49="",Results!C13=""),"",IF(AND(C49=Results!C13,Results!C13&lt;&gt;Games!$C$110),1,0))</f>
        <v/>
      </c>
      <c r="AK49" s="13" t="str">
        <f>IF(OR(D49="",Results!D13=""),"",IF(AND(D49=Results!D13,Results!D13&lt;&gt;Games!$C$111),1,0))</f>
        <v/>
      </c>
      <c r="AL49" s="13" t="str">
        <f>IF(OR(E49="",Results!E13=""),"",IF(AND(E49=Results!E13,Results!E13&lt;&gt;Games!$C$112),1,0))</f>
        <v/>
      </c>
      <c r="AM49" s="13" t="str">
        <f>IF(OR(F49="",Results!F13=""),"",IF(AND(F49=Results!F13,Results!F13&lt;&gt;Games!$C$113),1,0))</f>
        <v/>
      </c>
      <c r="AN49" s="13" t="str">
        <f>IF(OR(G49="",Results!G13=""),"",IF(AND(G49=Results!G13,Results!G13&lt;&gt;Games!$C$114),1,0))</f>
        <v/>
      </c>
      <c r="AO49" s="13" t="str">
        <f>IF(OR(H49="",Results!H13=""),"",IF(AND(H49=Results!H13,Results!H13&lt;&gt;Games!$C$115),1,0))</f>
        <v/>
      </c>
      <c r="AP49" s="13" t="str">
        <f>IF(OR(I49="",Results!I13=""),"",IF(AND(I49=Results!I13,Results!I13&lt;&gt;Games!$C$116),1,0))</f>
        <v/>
      </c>
      <c r="AQ49" s="13" t="str">
        <f>IF(OR(J49="",Results!J13=""),"",IF(AND(J49=Results!J13,Results!J13&lt;&gt;Games!$C$117),1,0))</f>
        <v/>
      </c>
      <c r="AR49" s="13" t="str">
        <f>IF(OR(K49="",Results!K13=""),"",IF(AND(K49=Results!K13,Results!K13&lt;&gt;Games!$C$118),1,0))</f>
        <v/>
      </c>
      <c r="AS49" s="13" t="str">
        <f>IF(OR(L49="",Results!L13=""),"",IF(AND(L49=Results!L13,Results!L13&lt;&gt;Games!$C$119),1,0))</f>
        <v/>
      </c>
      <c r="AT49" s="13" t="str">
        <f>IF(OR(M49="",Results!M13=""),"",IF(AND(M49=Results!M13,Results!M13&lt;&gt;Games!$C$120),1,0))</f>
        <v/>
      </c>
      <c r="AU49" s="13" t="str">
        <f>IF(OR(N49="",Results!N13=""),"",IF(AND(N49=Results!N13,Results!N13&lt;&gt;Games!$C$121),1,0))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IF(OR(B50="",Results!B13=""),"",IF(B50=Results!B13,1+IF(OR($O50=1,$P50=1,$Q50=1),1,0),0))</f>
        <v/>
      </c>
      <c r="T50" s="4" t="str">
        <f>IF(OR(C50="",Results!C13=""),"",IF(C50=Results!C13,1+IF(OR($O50=2,$P50=2,$Q50=2),1,0),0))</f>
        <v/>
      </c>
      <c r="U50" s="4" t="str">
        <f>IF(OR(D50="",Results!D13=""),"",IF(D50=Results!D13,1+IF(OR($O50=3,$P50=3,$Q50=3),1,0),0))</f>
        <v/>
      </c>
      <c r="V50" s="4" t="str">
        <f>IF(OR(E50="",Results!E13=""),"",IF(E50=Results!E13,1+IF(OR($O50=4,$P50=4,$Q50=4),1,0),0))</f>
        <v/>
      </c>
      <c r="W50" s="4" t="str">
        <f>IF(OR(F50="",Results!F13=""),"",IF(F50=Results!F13,1+IF(OR($O50=5,$P50=5,$Q50=5),1,0),0))</f>
        <v/>
      </c>
      <c r="X50" s="4" t="str">
        <f>IF(OR(G50="",Results!G13=""),"",IF(G50=Results!G13,1+IF(OR($O50=6,$P50=6,$Q50=6),1,0),0))</f>
        <v/>
      </c>
      <c r="Y50" s="4" t="str">
        <f>IF(OR(H50="",Results!H13=""),"",IF(H50=Results!H13,1+IF(OR($O50=7,$P50=7,$Q50=7),1,0),0))</f>
        <v/>
      </c>
      <c r="Z50" s="4" t="str">
        <f>IF(OR(I50="",Results!I13=""),"",IF(I50=Results!I13,1+IF(OR($O50=8,$P50=8,$Q50=8),1,0),0))</f>
        <v/>
      </c>
      <c r="AA50" s="4" t="str">
        <f>IF(OR(J50="",Results!J13=""),"",IF(J50=Results!J13,1+IF(OR($O50=9,$P50=9,$Q50=9),1,0),0))</f>
        <v/>
      </c>
      <c r="AB50" s="4" t="str">
        <f>IF(OR(K50="",Results!K13=""),"",IF(K50=Results!K13,1+IF(OR($O50=10,$P50=10,$Q50=10),1,0),0))</f>
        <v/>
      </c>
      <c r="AC50" s="4" t="str">
        <f>IF(OR(L50="",Results!L13=""),"",IF(L50=Results!L13,1+IF(OR($O50=11,$P50=11,$Q50=11),1,0),0))</f>
        <v/>
      </c>
      <c r="AD50" s="4" t="str">
        <f>IF(OR(M50="",Results!M13=""),"",IF(M50=Results!M13,1+IF(OR($O50=12,$P50=12,$Q50=12),1,0),0))</f>
        <v/>
      </c>
      <c r="AE50" s="4" t="str">
        <f>IF(OR(N50="",Results!N13=""),"",IF(N50=Results!N13,1+IF(OR($O50=13,$P50=13,$Q50=13),1,0),0))</f>
        <v/>
      </c>
      <c r="AF50" s="11">
        <f t="shared" si="2"/>
        <v>0</v>
      </c>
      <c r="AG50" s="4" t="str">
        <f>IF(OR($R50="",Results!O13=""),"",ABS($R50-Results!O13))</f>
        <v/>
      </c>
      <c r="AH50" s="12">
        <v>40</v>
      </c>
      <c r="AI50" s="13" t="str">
        <f>IF(OR(B50="",Results!B13=""),"",IF(AND(B50=Results!B13,Results!B13&lt;&gt;Games!$C$109),1,0))</f>
        <v/>
      </c>
      <c r="AJ50" s="13" t="str">
        <f>IF(OR(C50="",Results!C13=""),"",IF(AND(C50=Results!C13,Results!C13&lt;&gt;Games!$C$110),1,0))</f>
        <v/>
      </c>
      <c r="AK50" s="13" t="str">
        <f>IF(OR(D50="",Results!D13=""),"",IF(AND(D50=Results!D13,Results!D13&lt;&gt;Games!$C$111),1,0))</f>
        <v/>
      </c>
      <c r="AL50" s="13" t="str">
        <f>IF(OR(E50="",Results!E13=""),"",IF(AND(E50=Results!E13,Results!E13&lt;&gt;Games!$C$112),1,0))</f>
        <v/>
      </c>
      <c r="AM50" s="13" t="str">
        <f>IF(OR(F50="",Results!F13=""),"",IF(AND(F50=Results!F13,Results!F13&lt;&gt;Games!$C$113),1,0))</f>
        <v/>
      </c>
      <c r="AN50" s="13" t="str">
        <f>IF(OR(G50="",Results!G13=""),"",IF(AND(G50=Results!G13,Results!G13&lt;&gt;Games!$C$114),1,0))</f>
        <v/>
      </c>
      <c r="AO50" s="13" t="str">
        <f>IF(OR(H50="",Results!H13=""),"",IF(AND(H50=Results!H13,Results!H13&lt;&gt;Games!$C$115),1,0))</f>
        <v/>
      </c>
      <c r="AP50" s="13" t="str">
        <f>IF(OR(I50="",Results!I13=""),"",IF(AND(I50=Results!I13,Results!I13&lt;&gt;Games!$C$116),1,0))</f>
        <v/>
      </c>
      <c r="AQ50" s="13" t="str">
        <f>IF(OR(J50="",Results!J13=""),"",IF(AND(J50=Results!J13,Results!J13&lt;&gt;Games!$C$117),1,0))</f>
        <v/>
      </c>
      <c r="AR50" s="13" t="str">
        <f>IF(OR(K50="",Results!K13=""),"",IF(AND(K50=Results!K13,Results!K13&lt;&gt;Games!$C$118),1,0))</f>
        <v/>
      </c>
      <c r="AS50" s="13" t="str">
        <f>IF(OR(L50="",Results!L13=""),"",IF(AND(L50=Results!L13,Results!L13&lt;&gt;Games!$C$119),1,0))</f>
        <v/>
      </c>
      <c r="AT50" s="13" t="str">
        <f>IF(OR(M50="",Results!M13=""),"",IF(AND(M50=Results!M13,Results!M13&lt;&gt;Games!$C$120),1,0))</f>
        <v/>
      </c>
      <c r="AU50" s="13" t="str">
        <f>IF(OR(N50="",Results!N13=""),"",IF(AND(N50=Results!N13,Results!N13&lt;&gt;Games!$C$121),1,0))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IF(OR(B51="",Results!B13=""),"",IF(B51=Results!B13,1+IF(OR($O51=1,$P51=1,$Q51=1),1,0),0))</f>
        <v/>
      </c>
      <c r="T51" s="4" t="str">
        <f>IF(OR(C51="",Results!C13=""),"",IF(C51=Results!C13,1+IF(OR($O51=2,$P51=2,$Q51=2),1,0),0))</f>
        <v/>
      </c>
      <c r="U51" s="4" t="str">
        <f>IF(OR(D51="",Results!D13=""),"",IF(D51=Results!D13,1+IF(OR($O51=3,$P51=3,$Q51=3),1,0),0))</f>
        <v/>
      </c>
      <c r="V51" s="4" t="str">
        <f>IF(OR(E51="",Results!E13=""),"",IF(E51=Results!E13,1+IF(OR($O51=4,$P51=4,$Q51=4),1,0),0))</f>
        <v/>
      </c>
      <c r="W51" s="4" t="str">
        <f>IF(OR(F51="",Results!F13=""),"",IF(F51=Results!F13,1+IF(OR($O51=5,$P51=5,$Q51=5),1,0),0))</f>
        <v/>
      </c>
      <c r="X51" s="4" t="str">
        <f>IF(OR(G51="",Results!G13=""),"",IF(G51=Results!G13,1+IF(OR($O51=6,$P51=6,$Q51=6),1,0),0))</f>
        <v/>
      </c>
      <c r="Y51" s="4" t="str">
        <f>IF(OR(H51="",Results!H13=""),"",IF(H51=Results!H13,1+IF(OR($O51=7,$P51=7,$Q51=7),1,0),0))</f>
        <v/>
      </c>
      <c r="Z51" s="4" t="str">
        <f>IF(OR(I51="",Results!I13=""),"",IF(I51=Results!I13,1+IF(OR($O51=8,$P51=8,$Q51=8),1,0),0))</f>
        <v/>
      </c>
      <c r="AA51" s="4" t="str">
        <f>IF(OR(J51="",Results!J13=""),"",IF(J51=Results!J13,1+IF(OR($O51=9,$P51=9,$Q51=9),1,0),0))</f>
        <v/>
      </c>
      <c r="AB51" s="4" t="str">
        <f>IF(OR(K51="",Results!K13=""),"",IF(K51=Results!K13,1+IF(OR($O51=10,$P51=10,$Q51=10),1,0),0))</f>
        <v/>
      </c>
      <c r="AC51" s="4" t="str">
        <f>IF(OR(L51="",Results!L13=""),"",IF(L51=Results!L13,1+IF(OR($O51=11,$P51=11,$Q51=11),1,0),0))</f>
        <v/>
      </c>
      <c r="AD51" s="4" t="str">
        <f>IF(OR(M51="",Results!M13=""),"",IF(M51=Results!M13,1+IF(OR($O51=12,$P51=12,$Q51=12),1,0),0))</f>
        <v/>
      </c>
      <c r="AE51" s="4" t="str">
        <f>IF(OR(N51="",Results!N13=""),"",IF(N51=Results!N13,1+IF(OR($O51=13,$P51=13,$Q51=13),1,0),0))</f>
        <v/>
      </c>
      <c r="AF51" s="11">
        <f t="shared" si="2"/>
        <v>0</v>
      </c>
      <c r="AG51" s="4" t="str">
        <f>IF(OR($R51="",Results!O13=""),"",ABS($R51-Results!O13))</f>
        <v/>
      </c>
      <c r="AH51" s="12">
        <v>42</v>
      </c>
      <c r="AI51" s="13" t="str">
        <f>IF(OR(B51="",Results!B13=""),"",IF(AND(B51=Results!B13,Results!B13&lt;&gt;Games!$C$109),1,0))</f>
        <v/>
      </c>
      <c r="AJ51" s="13" t="str">
        <f>IF(OR(C51="",Results!C13=""),"",IF(AND(C51=Results!C13,Results!C13&lt;&gt;Games!$C$110),1,0))</f>
        <v/>
      </c>
      <c r="AK51" s="13" t="str">
        <f>IF(OR(D51="",Results!D13=""),"",IF(AND(D51=Results!D13,Results!D13&lt;&gt;Games!$C$111),1,0))</f>
        <v/>
      </c>
      <c r="AL51" s="13" t="str">
        <f>IF(OR(E51="",Results!E13=""),"",IF(AND(E51=Results!E13,Results!E13&lt;&gt;Games!$C$112),1,0))</f>
        <v/>
      </c>
      <c r="AM51" s="13" t="str">
        <f>IF(OR(F51="",Results!F13=""),"",IF(AND(F51=Results!F13,Results!F13&lt;&gt;Games!$C$113),1,0))</f>
        <v/>
      </c>
      <c r="AN51" s="13" t="str">
        <f>IF(OR(G51="",Results!G13=""),"",IF(AND(G51=Results!G13,Results!G13&lt;&gt;Games!$C$114),1,0))</f>
        <v/>
      </c>
      <c r="AO51" s="13" t="str">
        <f>IF(OR(H51="",Results!H13=""),"",IF(AND(H51=Results!H13,Results!H13&lt;&gt;Games!$C$115),1,0))</f>
        <v/>
      </c>
      <c r="AP51" s="13" t="str">
        <f>IF(OR(I51="",Results!I13=""),"",IF(AND(I51=Results!I13,Results!I13&lt;&gt;Games!$C$116),1,0))</f>
        <v/>
      </c>
      <c r="AQ51" s="13" t="str">
        <f>IF(OR(J51="",Results!J13=""),"",IF(AND(J51=Results!J13,Results!J13&lt;&gt;Games!$C$117),1,0))</f>
        <v/>
      </c>
      <c r="AR51" s="13" t="str">
        <f>IF(OR(K51="",Results!K13=""),"",IF(AND(K51=Results!K13,Results!K13&lt;&gt;Games!$C$118),1,0))</f>
        <v/>
      </c>
      <c r="AS51" s="13" t="str">
        <f>IF(OR(L51="",Results!L13=""),"",IF(AND(L51=Results!L13,Results!L13&lt;&gt;Games!$C$119),1,0))</f>
        <v/>
      </c>
      <c r="AT51" s="13" t="str">
        <f>IF(OR(M51="",Results!M13=""),"",IF(AND(M51=Results!M13,Results!M13&lt;&gt;Games!$C$120),1,0))</f>
        <v/>
      </c>
      <c r="AU51" s="13" t="str">
        <f>IF(OR(N51="",Results!N13=""),"",IF(AND(N51=Results!N13,Results!N13&lt;&gt;Games!$C$121),1,0))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 t="str">
        <f>IF(OR(B52="",Results!B13=""),"",IF(B52=Results!B13,1+IF(OR($O52=1,$P52=1,$Q52=1),1,0),0))</f>
        <v/>
      </c>
      <c r="T52" s="4" t="str">
        <f>IF(OR(C52="",Results!C13=""),"",IF(C52=Results!C13,1+IF(OR($O52=2,$P52=2,$Q52=2),1,0),0))</f>
        <v/>
      </c>
      <c r="U52" s="4" t="str">
        <f>IF(OR(D52="",Results!D13=""),"",IF(D52=Results!D13,1+IF(OR($O52=3,$P52=3,$Q52=3),1,0),0))</f>
        <v/>
      </c>
      <c r="V52" s="4" t="str">
        <f>IF(OR(E52="",Results!E13=""),"",IF(E52=Results!E13,1+IF(OR($O52=4,$P52=4,$Q52=4),1,0),0))</f>
        <v/>
      </c>
      <c r="W52" s="4" t="str">
        <f>IF(OR(F52="",Results!F13=""),"",IF(F52=Results!F13,1+IF(OR($O52=5,$P52=5,$Q52=5),1,0),0))</f>
        <v/>
      </c>
      <c r="X52" s="4" t="str">
        <f>IF(OR(G52="",Results!G13=""),"",IF(G52=Results!G13,1+IF(OR($O52=6,$P52=6,$Q52=6),1,0),0))</f>
        <v/>
      </c>
      <c r="Y52" s="4" t="str">
        <f>IF(OR(H52="",Results!H13=""),"",IF(H52=Results!H13,1+IF(OR($O52=7,$P52=7,$Q52=7),1,0),0))</f>
        <v/>
      </c>
      <c r="Z52" s="4" t="str">
        <f>IF(OR(I52="",Results!I13=""),"",IF(I52=Results!I13,1+IF(OR($O52=8,$P52=8,$Q52=8),1,0),0))</f>
        <v/>
      </c>
      <c r="AA52" s="4" t="str">
        <f>IF(OR(J52="",Results!J13=""),"",IF(J52=Results!J13,1+IF(OR($O52=9,$P52=9,$Q52=9),1,0),0))</f>
        <v/>
      </c>
      <c r="AB52" s="4" t="str">
        <f>IF(OR(K52="",Results!K13=""),"",IF(K52=Results!K13,1+IF(OR($O52=10,$P52=10,$Q52=10),1,0),0))</f>
        <v/>
      </c>
      <c r="AC52" s="4" t="str">
        <f>IF(OR(L52="",Results!L13=""),"",IF(L52=Results!L13,1+IF(OR($O52=11,$P52=11,$Q52=11),1,0),0))</f>
        <v/>
      </c>
      <c r="AD52" s="4" t="str">
        <f>IF(OR(M52="",Results!M13=""),"",IF(M52=Results!M13,1+IF(OR($O52=12,$P52=12,$Q52=12),1,0),0))</f>
        <v/>
      </c>
      <c r="AE52" s="4" t="str">
        <f>IF(OR(N52="",Results!N13=""),"",IF(N52=Results!N13,1+IF(OR($O52=13,$P52=13,$Q52=13),1,0),0))</f>
        <v/>
      </c>
      <c r="AF52" s="11">
        <f t="shared" si="2"/>
        <v>0</v>
      </c>
      <c r="AG52" s="4" t="str">
        <f>IF(OR($R52="",Results!O13=""),"",ABS($R52-Results!O13))</f>
        <v/>
      </c>
      <c r="AH52" s="12">
        <v>27</v>
      </c>
      <c r="AI52" s="13" t="str">
        <f>IF(OR(B52="",Results!B13=""),"",IF(AND(B52=Results!B13,Results!B13&lt;&gt;Games!$C$109),1,0))</f>
        <v/>
      </c>
      <c r="AJ52" s="13" t="str">
        <f>IF(OR(C52="",Results!C13=""),"",IF(AND(C52=Results!C13,Results!C13&lt;&gt;Games!$C$110),1,0))</f>
        <v/>
      </c>
      <c r="AK52" s="13" t="str">
        <f>IF(OR(D52="",Results!D13=""),"",IF(AND(D52=Results!D13,Results!D13&lt;&gt;Games!$C$111),1,0))</f>
        <v/>
      </c>
      <c r="AL52" s="13" t="str">
        <f>IF(OR(E52="",Results!E13=""),"",IF(AND(E52=Results!E13,Results!E13&lt;&gt;Games!$C$112),1,0))</f>
        <v/>
      </c>
      <c r="AM52" s="13" t="str">
        <f>IF(OR(F52="",Results!F13=""),"",IF(AND(F52=Results!F13,Results!F13&lt;&gt;Games!$C$113),1,0))</f>
        <v/>
      </c>
      <c r="AN52" s="13" t="str">
        <f>IF(OR(G52="",Results!G13=""),"",IF(AND(G52=Results!G13,Results!G13&lt;&gt;Games!$C$114),1,0))</f>
        <v/>
      </c>
      <c r="AO52" s="13" t="str">
        <f>IF(OR(H52="",Results!H13=""),"",IF(AND(H52=Results!H13,Results!H13&lt;&gt;Games!$C$115),1,0))</f>
        <v/>
      </c>
      <c r="AP52" s="13" t="str">
        <f>IF(OR(I52="",Results!I13=""),"",IF(AND(I52=Results!I13,Results!I13&lt;&gt;Games!$C$116),1,0))</f>
        <v/>
      </c>
      <c r="AQ52" s="13" t="str">
        <f>IF(OR(J52="",Results!J13=""),"",IF(AND(J52=Results!J13,Results!J13&lt;&gt;Games!$C$117),1,0))</f>
        <v/>
      </c>
      <c r="AR52" s="13" t="str">
        <f>IF(OR(K52="",Results!K13=""),"",IF(AND(K52=Results!K13,Results!K13&lt;&gt;Games!$C$118),1,0))</f>
        <v/>
      </c>
      <c r="AS52" s="13" t="str">
        <f>IF(OR(L52="",Results!L13=""),"",IF(AND(L52=Results!L13,Results!L13&lt;&gt;Games!$C$119),1,0))</f>
        <v/>
      </c>
      <c r="AT52" s="13" t="str">
        <f>IF(OR(M52="",Results!M13=""),"",IF(AND(M52=Results!M13,Results!M13&lt;&gt;Games!$C$120),1,0))</f>
        <v/>
      </c>
      <c r="AU52" s="13" t="str">
        <f>IF(OR(N52="",Results!N13=""),"",IF(AND(N52=Results!N13,Results!N13&lt;&gt;Games!$C$121),1,0))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IF(OR(B53="",Results!B13=""),"",IF(B53=Results!B13,1+IF(OR($O53=1,$P53=1,$Q53=1),1,0),0))</f>
        <v/>
      </c>
      <c r="T53" s="4" t="str">
        <f>IF(OR(C53="",Results!C13=""),"",IF(C53=Results!C13,1+IF(OR($O53=2,$P53=2,$Q53=2),1,0),0))</f>
        <v/>
      </c>
      <c r="U53" s="4" t="str">
        <f>IF(OR(D53="",Results!D13=""),"",IF(D53=Results!D13,1+IF(OR($O53=3,$P53=3,$Q53=3),1,0),0))</f>
        <v/>
      </c>
      <c r="V53" s="4" t="str">
        <f>IF(OR(E53="",Results!E13=""),"",IF(E53=Results!E13,1+IF(OR($O53=4,$P53=4,$Q53=4),1,0),0))</f>
        <v/>
      </c>
      <c r="W53" s="4" t="str">
        <f>IF(OR(F53="",Results!F13=""),"",IF(F53=Results!F13,1+IF(OR($O53=5,$P53=5,$Q53=5),1,0),0))</f>
        <v/>
      </c>
      <c r="X53" s="4" t="str">
        <f>IF(OR(G53="",Results!G13=""),"",IF(G53=Results!G13,1+IF(OR($O53=6,$P53=6,$Q53=6),1,0),0))</f>
        <v/>
      </c>
      <c r="Y53" s="4" t="str">
        <f>IF(OR(H53="",Results!H13=""),"",IF(H53=Results!H13,1+IF(OR($O53=7,$P53=7,$Q53=7),1,0),0))</f>
        <v/>
      </c>
      <c r="Z53" s="4" t="str">
        <f>IF(OR(I53="",Results!I13=""),"",IF(I53=Results!I13,1+IF(OR($O53=8,$P53=8,$Q53=8),1,0),0))</f>
        <v/>
      </c>
      <c r="AA53" s="4" t="str">
        <f>IF(OR(J53="",Results!J13=""),"",IF(J53=Results!J13,1+IF(OR($O53=9,$P53=9,$Q53=9),1,0),0))</f>
        <v/>
      </c>
      <c r="AB53" s="4" t="str">
        <f>IF(OR(K53="",Results!K13=""),"",IF(K53=Results!K13,1+IF(OR($O53=10,$P53=10,$Q53=10),1,0),0))</f>
        <v/>
      </c>
      <c r="AC53" s="4" t="str">
        <f>IF(OR(L53="",Results!L13=""),"",IF(L53=Results!L13,1+IF(OR($O53=11,$P53=11,$Q53=11),1,0),0))</f>
        <v/>
      </c>
      <c r="AD53" s="4" t="str">
        <f>IF(OR(M53="",Results!M13=""),"",IF(M53=Results!M13,1+IF(OR($O53=12,$P53=12,$Q53=12),1,0),0))</f>
        <v/>
      </c>
      <c r="AE53" s="4" t="str">
        <f>IF(OR(N53="",Results!N13=""),"",IF(N53=Results!N13,1+IF(OR($O53=13,$P53=13,$Q53=13),1,0),0))</f>
        <v/>
      </c>
      <c r="AF53" s="11">
        <f t="shared" si="2"/>
        <v>0</v>
      </c>
      <c r="AG53" s="4" t="str">
        <f>IF(OR($R53="",Results!O13=""),"",ABS($R53-Results!O13))</f>
        <v/>
      </c>
      <c r="AH53" s="12">
        <v>35</v>
      </c>
      <c r="AI53" s="13" t="str">
        <f>IF(OR(B53="",Results!B13=""),"",IF(AND(B53=Results!B13,Results!B13&lt;&gt;Games!$C$109),1,0))</f>
        <v/>
      </c>
      <c r="AJ53" s="13" t="str">
        <f>IF(OR(C53="",Results!C13=""),"",IF(AND(C53=Results!C13,Results!C13&lt;&gt;Games!$C$110),1,0))</f>
        <v/>
      </c>
      <c r="AK53" s="13" t="str">
        <f>IF(OR(D53="",Results!D13=""),"",IF(AND(D53=Results!D13,Results!D13&lt;&gt;Games!$C$111),1,0))</f>
        <v/>
      </c>
      <c r="AL53" s="13" t="str">
        <f>IF(OR(E53="",Results!E13=""),"",IF(AND(E53=Results!E13,Results!E13&lt;&gt;Games!$C$112),1,0))</f>
        <v/>
      </c>
      <c r="AM53" s="13" t="str">
        <f>IF(OR(F53="",Results!F13=""),"",IF(AND(F53=Results!F13,Results!F13&lt;&gt;Games!$C$113),1,0))</f>
        <v/>
      </c>
      <c r="AN53" s="13" t="str">
        <f>IF(OR(G53="",Results!G13=""),"",IF(AND(G53=Results!G13,Results!G13&lt;&gt;Games!$C$114),1,0))</f>
        <v/>
      </c>
      <c r="AO53" s="13" t="str">
        <f>IF(OR(H53="",Results!H13=""),"",IF(AND(H53=Results!H13,Results!H13&lt;&gt;Games!$C$115),1,0))</f>
        <v/>
      </c>
      <c r="AP53" s="13" t="str">
        <f>IF(OR(I53="",Results!I13=""),"",IF(AND(I53=Results!I13,Results!I13&lt;&gt;Games!$C$116),1,0))</f>
        <v/>
      </c>
      <c r="AQ53" s="13" t="str">
        <f>IF(OR(J53="",Results!J13=""),"",IF(AND(J53=Results!J13,Results!J13&lt;&gt;Games!$C$117),1,0))</f>
        <v/>
      </c>
      <c r="AR53" s="13" t="str">
        <f>IF(OR(K53="",Results!K13=""),"",IF(AND(K53=Results!K13,Results!K13&lt;&gt;Games!$C$118),1,0))</f>
        <v/>
      </c>
      <c r="AS53" s="13" t="str">
        <f>IF(OR(L53="",Results!L13=""),"",IF(AND(L53=Results!L13,Results!L13&lt;&gt;Games!$C$119),1,0))</f>
        <v/>
      </c>
      <c r="AT53" s="13" t="str">
        <f>IF(OR(M53="",Results!M13=""),"",IF(AND(M53=Results!M13,Results!M13&lt;&gt;Games!$C$120),1,0))</f>
        <v/>
      </c>
      <c r="AU53" s="13" t="str">
        <f>IF(OR(N53="",Results!N13=""),"",IF(AND(N53=Results!N13,Results!N13&lt;&gt;Games!$C$121),1,0))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 t="str">
        <f>IF(OR(B54="",Results!B13=""),"",IF(B54=Results!B13,1+IF(OR($O54=1,$P54=1,$Q54=1),1,0),0))</f>
        <v/>
      </c>
      <c r="T54" s="4" t="str">
        <f>IF(OR(C54="",Results!C13=""),"",IF(C54=Results!C13,1+IF(OR($O54=2,$P54=2,$Q54=2),1,0),0))</f>
        <v/>
      </c>
      <c r="U54" s="4" t="str">
        <f>IF(OR(D54="",Results!D13=""),"",IF(D54=Results!D13,1+IF(OR($O54=3,$P54=3,$Q54=3),1,0),0))</f>
        <v/>
      </c>
      <c r="V54" s="4" t="str">
        <f>IF(OR(E54="",Results!E13=""),"",IF(E54=Results!E13,1+IF(OR($O54=4,$P54=4,$Q54=4),1,0),0))</f>
        <v/>
      </c>
      <c r="W54" s="4" t="str">
        <f>IF(OR(F54="",Results!F13=""),"",IF(F54=Results!F13,1+IF(OR($O54=5,$P54=5,$Q54=5),1,0),0))</f>
        <v/>
      </c>
      <c r="X54" s="4" t="str">
        <f>IF(OR(G54="",Results!G13=""),"",IF(G54=Results!G13,1+IF(OR($O54=6,$P54=6,$Q54=6),1,0),0))</f>
        <v/>
      </c>
      <c r="Y54" s="4" t="str">
        <f>IF(OR(H54="",Results!H13=""),"",IF(H54=Results!H13,1+IF(OR($O54=7,$P54=7,$Q54=7),1,0),0))</f>
        <v/>
      </c>
      <c r="Z54" s="4" t="str">
        <f>IF(OR(I54="",Results!I13=""),"",IF(I54=Results!I13,1+IF(OR($O54=8,$P54=8,$Q54=8),1,0),0))</f>
        <v/>
      </c>
      <c r="AA54" s="4" t="str">
        <f>IF(OR(J54="",Results!J13=""),"",IF(J54=Results!J13,1+IF(OR($O54=9,$P54=9,$Q54=9),1,0),0))</f>
        <v/>
      </c>
      <c r="AB54" s="4" t="str">
        <f>IF(OR(K54="",Results!K13=""),"",IF(K54=Results!K13,1+IF(OR($O54=10,$P54=10,$Q54=10),1,0),0))</f>
        <v/>
      </c>
      <c r="AC54" s="4" t="str">
        <f>IF(OR(L54="",Results!L13=""),"",IF(L54=Results!L13,1+IF(OR($O54=11,$P54=11,$Q54=11),1,0),0))</f>
        <v/>
      </c>
      <c r="AD54" s="4" t="str">
        <f>IF(OR(M54="",Results!M13=""),"",IF(M54=Results!M13,1+IF(OR($O54=12,$P54=12,$Q54=12),1,0),0))</f>
        <v/>
      </c>
      <c r="AE54" s="4" t="str">
        <f>IF(OR(N54="",Results!N13=""),"",IF(N54=Results!N13,1+IF(OR($O54=13,$P54=13,$Q54=13),1,0),0))</f>
        <v/>
      </c>
      <c r="AF54" s="11">
        <f t="shared" si="2"/>
        <v>0</v>
      </c>
      <c r="AG54" s="4" t="str">
        <f>IF(OR($R54="",Results!O13=""),"",ABS($R54-Results!O13))</f>
        <v/>
      </c>
      <c r="AH54" s="12">
        <v>43</v>
      </c>
      <c r="AI54" s="13" t="str">
        <f>IF(OR(B54="",Results!B13=""),"",IF(AND(B54=Results!B13,Results!B13&lt;&gt;Games!$C$109),1,0))</f>
        <v/>
      </c>
      <c r="AJ54" s="13" t="str">
        <f>IF(OR(C54="",Results!C13=""),"",IF(AND(C54=Results!C13,Results!C13&lt;&gt;Games!$C$110),1,0))</f>
        <v/>
      </c>
      <c r="AK54" s="13" t="str">
        <f>IF(OR(D54="",Results!D13=""),"",IF(AND(D54=Results!D13,Results!D13&lt;&gt;Games!$C$111),1,0))</f>
        <v/>
      </c>
      <c r="AL54" s="13" t="str">
        <f>IF(OR(E54="",Results!E13=""),"",IF(AND(E54=Results!E13,Results!E13&lt;&gt;Games!$C$112),1,0))</f>
        <v/>
      </c>
      <c r="AM54" s="13" t="str">
        <f>IF(OR(F54="",Results!F13=""),"",IF(AND(F54=Results!F13,Results!F13&lt;&gt;Games!$C$113),1,0))</f>
        <v/>
      </c>
      <c r="AN54" s="13" t="str">
        <f>IF(OR(G54="",Results!G13=""),"",IF(AND(G54=Results!G13,Results!G13&lt;&gt;Games!$C$114),1,0))</f>
        <v/>
      </c>
      <c r="AO54" s="13" t="str">
        <f>IF(OR(H54="",Results!H13=""),"",IF(AND(H54=Results!H13,Results!H13&lt;&gt;Games!$C$115),1,0))</f>
        <v/>
      </c>
      <c r="AP54" s="13" t="str">
        <f>IF(OR(I54="",Results!I13=""),"",IF(AND(I54=Results!I13,Results!I13&lt;&gt;Games!$C$116),1,0))</f>
        <v/>
      </c>
      <c r="AQ54" s="13" t="str">
        <f>IF(OR(J54="",Results!J13=""),"",IF(AND(J54=Results!J13,Results!J13&lt;&gt;Games!$C$117),1,0))</f>
        <v/>
      </c>
      <c r="AR54" s="13" t="str">
        <f>IF(OR(K54="",Results!K13=""),"",IF(AND(K54=Results!K13,Results!K13&lt;&gt;Games!$C$118),1,0))</f>
        <v/>
      </c>
      <c r="AS54" s="13" t="str">
        <f>IF(OR(L54="",Results!L13=""),"",IF(AND(L54=Results!L13,Results!L13&lt;&gt;Games!$C$119),1,0))</f>
        <v/>
      </c>
      <c r="AT54" s="13" t="str">
        <f>IF(OR(M54="",Results!M13=""),"",IF(AND(M54=Results!M13,Results!M13&lt;&gt;Games!$C$120),1,0))</f>
        <v/>
      </c>
      <c r="AU54" s="13" t="str">
        <f>IF(OR(N54="",Results!N13=""),"",IF(AND(N54=Results!N13,Results!N13&lt;&gt;Games!$C$121),1,0))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IF(OR(B55="",Results!B13=""),"",IF(B55=Results!B13,1+IF(OR($O55=1,$P55=1,$Q55=1),1,0),0))</f>
        <v/>
      </c>
      <c r="T55" s="4" t="str">
        <f>IF(OR(C55="",Results!C13=""),"",IF(C55=Results!C13,1+IF(OR($O55=2,$P55=2,$Q55=2),1,0),0))</f>
        <v/>
      </c>
      <c r="U55" s="4" t="str">
        <f>IF(OR(D55="",Results!D13=""),"",IF(D55=Results!D13,1+IF(OR($O55=3,$P55=3,$Q55=3),1,0),0))</f>
        <v/>
      </c>
      <c r="V55" s="4" t="str">
        <f>IF(OR(E55="",Results!E13=""),"",IF(E55=Results!E13,1+IF(OR($O55=4,$P55=4,$Q55=4),1,0),0))</f>
        <v/>
      </c>
      <c r="W55" s="4" t="str">
        <f>IF(OR(F55="",Results!F13=""),"",IF(F55=Results!F13,1+IF(OR($O55=5,$P55=5,$Q55=5),1,0),0))</f>
        <v/>
      </c>
      <c r="X55" s="4" t="str">
        <f>IF(OR(G55="",Results!G13=""),"",IF(G55=Results!G13,1+IF(OR($O55=6,$P55=6,$Q55=6),1,0),0))</f>
        <v/>
      </c>
      <c r="Y55" s="4" t="str">
        <f>IF(OR(H55="",Results!H13=""),"",IF(H55=Results!H13,1+IF(OR($O55=7,$P55=7,$Q55=7),1,0),0))</f>
        <v/>
      </c>
      <c r="Z55" s="4" t="str">
        <f>IF(OR(I55="",Results!I13=""),"",IF(I55=Results!I13,1+IF(OR($O55=8,$P55=8,$Q55=8),1,0),0))</f>
        <v/>
      </c>
      <c r="AA55" s="4" t="str">
        <f>IF(OR(J55="",Results!J13=""),"",IF(J55=Results!J13,1+IF(OR($O55=9,$P55=9,$Q55=9),1,0),0))</f>
        <v/>
      </c>
      <c r="AB55" s="4" t="str">
        <f>IF(OR(K55="",Results!K13=""),"",IF(K55=Results!K13,1+IF(OR($O55=10,$P55=10,$Q55=10),1,0),0))</f>
        <v/>
      </c>
      <c r="AC55" s="4" t="str">
        <f>IF(OR(L55="",Results!L13=""),"",IF(L55=Results!L13,1+IF(OR($O55=11,$P55=11,$Q55=11),1,0),0))</f>
        <v/>
      </c>
      <c r="AD55" s="4" t="str">
        <f>IF(OR(M55="",Results!M13=""),"",IF(M55=Results!M13,1+IF(OR($O55=12,$P55=12,$Q55=12),1,0),0))</f>
        <v/>
      </c>
      <c r="AE55" s="4" t="str">
        <f>IF(OR(N55="",Results!N13=""),"",IF(N55=Results!N13,1+IF(OR($O55=13,$P55=13,$Q55=13),1,0),0))</f>
        <v/>
      </c>
      <c r="AF55" s="11">
        <f t="shared" si="2"/>
        <v>0</v>
      </c>
      <c r="AG55" s="4" t="str">
        <f>IF(OR($R55="",Results!O13=""),"",ABS($R55-Results!O13))</f>
        <v/>
      </c>
      <c r="AH55" s="12">
        <v>44</v>
      </c>
      <c r="AI55" s="13" t="str">
        <f>IF(OR(B55="",Results!B13=""),"",IF(AND(B55=Results!B13,Results!B13&lt;&gt;Games!$C$109),1,0))</f>
        <v/>
      </c>
      <c r="AJ55" s="13" t="str">
        <f>IF(OR(C55="",Results!C13=""),"",IF(AND(C55=Results!C13,Results!C13&lt;&gt;Games!$C$110),1,0))</f>
        <v/>
      </c>
      <c r="AK55" s="13" t="str">
        <f>IF(OR(D55="",Results!D13=""),"",IF(AND(D55=Results!D13,Results!D13&lt;&gt;Games!$C$111),1,0))</f>
        <v/>
      </c>
      <c r="AL55" s="13" t="str">
        <f>IF(OR(E55="",Results!E13=""),"",IF(AND(E55=Results!E13,Results!E13&lt;&gt;Games!$C$112),1,0))</f>
        <v/>
      </c>
      <c r="AM55" s="13" t="str">
        <f>IF(OR(F55="",Results!F13=""),"",IF(AND(F55=Results!F13,Results!F13&lt;&gt;Games!$C$113),1,0))</f>
        <v/>
      </c>
      <c r="AN55" s="13" t="str">
        <f>IF(OR(G55="",Results!G13=""),"",IF(AND(G55=Results!G13,Results!G13&lt;&gt;Games!$C$114),1,0))</f>
        <v/>
      </c>
      <c r="AO55" s="13" t="str">
        <f>IF(OR(H55="",Results!H13=""),"",IF(AND(H55=Results!H13,Results!H13&lt;&gt;Games!$C$115),1,0))</f>
        <v/>
      </c>
      <c r="AP55" s="13" t="str">
        <f>IF(OR(I55="",Results!I13=""),"",IF(AND(I55=Results!I13,Results!I13&lt;&gt;Games!$C$116),1,0))</f>
        <v/>
      </c>
      <c r="AQ55" s="13" t="str">
        <f>IF(OR(J55="",Results!J13=""),"",IF(AND(J55=Results!J13,Results!J13&lt;&gt;Games!$C$117),1,0))</f>
        <v/>
      </c>
      <c r="AR55" s="13" t="str">
        <f>IF(OR(K55="",Results!K13=""),"",IF(AND(K55=Results!K13,Results!K13&lt;&gt;Games!$C$118),1,0))</f>
        <v/>
      </c>
      <c r="AS55" s="13" t="str">
        <f>IF(OR(L55="",Results!L13=""),"",IF(AND(L55=Results!L13,Results!L13&lt;&gt;Games!$C$119),1,0))</f>
        <v/>
      </c>
      <c r="AT55" s="13" t="str">
        <f>IF(OR(M55="",Results!M13=""),"",IF(AND(M55=Results!M13,Results!M13&lt;&gt;Games!$C$120),1,0))</f>
        <v/>
      </c>
      <c r="AU55" s="13" t="str">
        <f>IF(OR(N55="",Results!N13=""),"",IF(AND(N55=Results!N13,Results!N13&lt;&gt;Games!$C$121),1,0))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IF(OR(B56="",Results!B13=""),"",IF(B56=Results!B13,1+IF(OR($O56=1,$P56=1,$Q56=1),1,0),0))</f>
        <v/>
      </c>
      <c r="T56" s="4" t="str">
        <f>IF(OR(C56="",Results!C13=""),"",IF(C56=Results!C13,1+IF(OR($O56=2,$P56=2,$Q56=2),1,0),0))</f>
        <v/>
      </c>
      <c r="U56" s="4" t="str">
        <f>IF(OR(D56="",Results!D13=""),"",IF(D56=Results!D13,1+IF(OR($O56=3,$P56=3,$Q56=3),1,0),0))</f>
        <v/>
      </c>
      <c r="V56" s="4" t="str">
        <f>IF(OR(E56="",Results!E13=""),"",IF(E56=Results!E13,1+IF(OR($O56=4,$P56=4,$Q56=4),1,0),0))</f>
        <v/>
      </c>
      <c r="W56" s="4" t="str">
        <f>IF(OR(F56="",Results!F13=""),"",IF(F56=Results!F13,1+IF(OR($O56=5,$P56=5,$Q56=5),1,0),0))</f>
        <v/>
      </c>
      <c r="X56" s="4" t="str">
        <f>IF(OR(G56="",Results!G13=""),"",IF(G56=Results!G13,1+IF(OR($O56=6,$P56=6,$Q56=6),1,0),0))</f>
        <v/>
      </c>
      <c r="Y56" s="4" t="str">
        <f>IF(OR(H56="",Results!H13=""),"",IF(H56=Results!H13,1+IF(OR($O56=7,$P56=7,$Q56=7),1,0),0))</f>
        <v/>
      </c>
      <c r="Z56" s="4" t="str">
        <f>IF(OR(I56="",Results!I13=""),"",IF(I56=Results!I13,1+IF(OR($O56=8,$P56=8,$Q56=8),1,0),0))</f>
        <v/>
      </c>
      <c r="AA56" s="4" t="str">
        <f>IF(OR(J56="",Results!J13=""),"",IF(J56=Results!J13,1+IF(OR($O56=9,$P56=9,$Q56=9),1,0),0))</f>
        <v/>
      </c>
      <c r="AB56" s="4" t="str">
        <f>IF(OR(K56="",Results!K13=""),"",IF(K56=Results!K13,1+IF(OR($O56=10,$P56=10,$Q56=10),1,0),0))</f>
        <v/>
      </c>
      <c r="AC56" s="4" t="str">
        <f>IF(OR(L56="",Results!L13=""),"",IF(L56=Results!L13,1+IF(OR($O56=11,$P56=11,$Q56=11),1,0),0))</f>
        <v/>
      </c>
      <c r="AD56" s="4" t="str">
        <f>IF(OR(M56="",Results!M13=""),"",IF(M56=Results!M13,1+IF(OR($O56=12,$P56=12,$Q56=12),1,0),0))</f>
        <v/>
      </c>
      <c r="AE56" s="4" t="str">
        <f>IF(OR(N56="",Results!N13=""),"",IF(N56=Results!N13,1+IF(OR($O56=13,$P56=13,$Q56=13),1,0),0))</f>
        <v/>
      </c>
      <c r="AF56" s="11">
        <f t="shared" si="2"/>
        <v>0</v>
      </c>
      <c r="AG56" s="4" t="str">
        <f>IF(OR($R56="",Results!O13=""),"",ABS($R56-Results!O13))</f>
        <v/>
      </c>
      <c r="AH56" s="12">
        <v>59</v>
      </c>
      <c r="AI56" s="13" t="str">
        <f>IF(OR(B56="",Results!B13=""),"",IF(AND(B56=Results!B13,Results!B13&lt;&gt;Games!$C$109),1,0))</f>
        <v/>
      </c>
      <c r="AJ56" s="13" t="str">
        <f>IF(OR(C56="",Results!C13=""),"",IF(AND(C56=Results!C13,Results!C13&lt;&gt;Games!$C$110),1,0))</f>
        <v/>
      </c>
      <c r="AK56" s="13" t="str">
        <f>IF(OR(D56="",Results!D13=""),"",IF(AND(D56=Results!D13,Results!D13&lt;&gt;Games!$C$111),1,0))</f>
        <v/>
      </c>
      <c r="AL56" s="13" t="str">
        <f>IF(OR(E56="",Results!E13=""),"",IF(AND(E56=Results!E13,Results!E13&lt;&gt;Games!$C$112),1,0))</f>
        <v/>
      </c>
      <c r="AM56" s="13" t="str">
        <f>IF(OR(F56="",Results!F13=""),"",IF(AND(F56=Results!F13,Results!F13&lt;&gt;Games!$C$113),1,0))</f>
        <v/>
      </c>
      <c r="AN56" s="13" t="str">
        <f>IF(OR(G56="",Results!G13=""),"",IF(AND(G56=Results!G13,Results!G13&lt;&gt;Games!$C$114),1,0))</f>
        <v/>
      </c>
      <c r="AO56" s="13" t="str">
        <f>IF(OR(H56="",Results!H13=""),"",IF(AND(H56=Results!H13,Results!H13&lt;&gt;Games!$C$115),1,0))</f>
        <v/>
      </c>
      <c r="AP56" s="13" t="str">
        <f>IF(OR(I56="",Results!I13=""),"",IF(AND(I56=Results!I13,Results!I13&lt;&gt;Games!$C$116),1,0))</f>
        <v/>
      </c>
      <c r="AQ56" s="13" t="str">
        <f>IF(OR(J56="",Results!J13=""),"",IF(AND(J56=Results!J13,Results!J13&lt;&gt;Games!$C$117),1,0))</f>
        <v/>
      </c>
      <c r="AR56" s="13" t="str">
        <f>IF(OR(K56="",Results!K13=""),"",IF(AND(K56=Results!K13,Results!K13&lt;&gt;Games!$C$118),1,0))</f>
        <v/>
      </c>
      <c r="AS56" s="13" t="str">
        <f>IF(OR(L56="",Results!L13=""),"",IF(AND(L56=Results!L13,Results!L13&lt;&gt;Games!$C$119),1,0))</f>
        <v/>
      </c>
      <c r="AT56" s="13" t="str">
        <f>IF(OR(M56="",Results!M13=""),"",IF(AND(M56=Results!M13,Results!M13&lt;&gt;Games!$C$120),1,0))</f>
        <v/>
      </c>
      <c r="AU56" s="13" t="str">
        <f>IF(OR(N56="",Results!N13=""),"",IF(AND(N56=Results!N13,Results!N13&lt;&gt;Games!$C$121),1,0))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tr">
        <f>IF(OR(B57="",Results!B13=""),"",IF(B57=Results!B13,1+IF(OR($O57=1,$P57=1,$Q57=1),1,0),0))</f>
        <v/>
      </c>
      <c r="T57" s="4" t="str">
        <f>IF(OR(C57="",Results!C13=""),"",IF(C57=Results!C13,1+IF(OR($O57=2,$P57=2,$Q57=2),1,0),0))</f>
        <v/>
      </c>
      <c r="U57" s="4" t="str">
        <f>IF(OR(D57="",Results!D13=""),"",IF(D57=Results!D13,1+IF(OR($O57=3,$P57=3,$Q57=3),1,0),0))</f>
        <v/>
      </c>
      <c r="V57" s="4" t="str">
        <f>IF(OR(E57="",Results!E13=""),"",IF(E57=Results!E13,1+IF(OR($O57=4,$P57=4,$Q57=4),1,0),0))</f>
        <v/>
      </c>
      <c r="W57" s="4" t="str">
        <f>IF(OR(F57="",Results!F13=""),"",IF(F57=Results!F13,1+IF(OR($O57=5,$P57=5,$Q57=5),1,0),0))</f>
        <v/>
      </c>
      <c r="X57" s="4" t="str">
        <f>IF(OR(G57="",Results!G13=""),"",IF(G57=Results!G13,1+IF(OR($O57=6,$P57=6,$Q57=6),1,0),0))</f>
        <v/>
      </c>
      <c r="Y57" s="4" t="str">
        <f>IF(OR(H57="",Results!H13=""),"",IF(H57=Results!H13,1+IF(OR($O57=7,$P57=7,$Q57=7),1,0),0))</f>
        <v/>
      </c>
      <c r="Z57" s="4" t="str">
        <f>IF(OR(I57="",Results!I13=""),"",IF(I57=Results!I13,1+IF(OR($O57=8,$P57=8,$Q57=8),1,0),0))</f>
        <v/>
      </c>
      <c r="AA57" s="4" t="str">
        <f>IF(OR(J57="",Results!J13=""),"",IF(J57=Results!J13,1+IF(OR($O57=9,$P57=9,$Q57=9),1,0),0))</f>
        <v/>
      </c>
      <c r="AB57" s="4" t="str">
        <f>IF(OR(K57="",Results!K13=""),"",IF(K57=Results!K13,1+IF(OR($O57=10,$P57=10,$Q57=10),1,0),0))</f>
        <v/>
      </c>
      <c r="AC57" s="4" t="str">
        <f>IF(OR(L57="",Results!L13=""),"",IF(L57=Results!L13,1+IF(OR($O57=11,$P57=11,$Q57=11),1,0),0))</f>
        <v/>
      </c>
      <c r="AD57" s="4" t="str">
        <f>IF(OR(M57="",Results!M13=""),"",IF(M57=Results!M13,1+IF(OR($O57=12,$P57=12,$Q57=12),1,0),0))</f>
        <v/>
      </c>
      <c r="AE57" s="4" t="str">
        <f>IF(OR(N57="",Results!N13=""),"",IF(N57=Results!N13,1+IF(OR($O57=13,$P57=13,$Q57=13),1,0),0))</f>
        <v/>
      </c>
      <c r="AF57" s="11">
        <f t="shared" si="2"/>
        <v>0</v>
      </c>
      <c r="AG57" s="4" t="str">
        <f>IF(OR($R57="",Results!O13=""),"",ABS($R57-Results!O13))</f>
        <v/>
      </c>
      <c r="AH57" s="12">
        <v>28</v>
      </c>
      <c r="AI57" s="13" t="str">
        <f>IF(OR(B57="",Results!B13=""),"",IF(AND(B57=Results!B13,Results!B13&lt;&gt;Games!$C$109),1,0))</f>
        <v/>
      </c>
      <c r="AJ57" s="13" t="str">
        <f>IF(OR(C57="",Results!C13=""),"",IF(AND(C57=Results!C13,Results!C13&lt;&gt;Games!$C$110),1,0))</f>
        <v/>
      </c>
      <c r="AK57" s="13" t="str">
        <f>IF(OR(D57="",Results!D13=""),"",IF(AND(D57=Results!D13,Results!D13&lt;&gt;Games!$C$111),1,0))</f>
        <v/>
      </c>
      <c r="AL57" s="13" t="str">
        <f>IF(OR(E57="",Results!E13=""),"",IF(AND(E57=Results!E13,Results!E13&lt;&gt;Games!$C$112),1,0))</f>
        <v/>
      </c>
      <c r="AM57" s="13" t="str">
        <f>IF(OR(F57="",Results!F13=""),"",IF(AND(F57=Results!F13,Results!F13&lt;&gt;Games!$C$113),1,0))</f>
        <v/>
      </c>
      <c r="AN57" s="13" t="str">
        <f>IF(OR(G57="",Results!G13=""),"",IF(AND(G57=Results!G13,Results!G13&lt;&gt;Games!$C$114),1,0))</f>
        <v/>
      </c>
      <c r="AO57" s="13" t="str">
        <f>IF(OR(H57="",Results!H13=""),"",IF(AND(H57=Results!H13,Results!H13&lt;&gt;Games!$C$115),1,0))</f>
        <v/>
      </c>
      <c r="AP57" s="13" t="str">
        <f>IF(OR(I57="",Results!I13=""),"",IF(AND(I57=Results!I13,Results!I13&lt;&gt;Games!$C$116),1,0))</f>
        <v/>
      </c>
      <c r="AQ57" s="13" t="str">
        <f>IF(OR(J57="",Results!J13=""),"",IF(AND(J57=Results!J13,Results!J13&lt;&gt;Games!$C$117),1,0))</f>
        <v/>
      </c>
      <c r="AR57" s="13" t="str">
        <f>IF(OR(K57="",Results!K13=""),"",IF(AND(K57=Results!K13,Results!K13&lt;&gt;Games!$C$118),1,0))</f>
        <v/>
      </c>
      <c r="AS57" s="13" t="str">
        <f>IF(OR(L57="",Results!L13=""),"",IF(AND(L57=Results!L13,Results!L13&lt;&gt;Games!$C$119),1,0))</f>
        <v/>
      </c>
      <c r="AT57" s="13" t="str">
        <f>IF(OR(M57="",Results!M13=""),"",IF(AND(M57=Results!M13,Results!M13&lt;&gt;Games!$C$120),1,0))</f>
        <v/>
      </c>
      <c r="AU57" s="13" t="str">
        <f>IF(OR(N57="",Results!N13=""),"",IF(AND(N57=Results!N13,Results!N13&lt;&gt;Games!$C$121),1,0))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 t="str">
        <f>IF(OR(B58="",Results!B13=""),"",IF(B58=Results!B13,1+IF(OR($O58=1,$P58=1,$Q58=1),1,0),0))</f>
        <v/>
      </c>
      <c r="T58" s="4" t="str">
        <f>IF(OR(C58="",Results!C13=""),"",IF(C58=Results!C13,1+IF(OR($O58=2,$P58=2,$Q58=2),1,0),0))</f>
        <v/>
      </c>
      <c r="U58" s="4" t="str">
        <f>IF(OR(D58="",Results!D13=""),"",IF(D58=Results!D13,1+IF(OR($O58=3,$P58=3,$Q58=3),1,0),0))</f>
        <v/>
      </c>
      <c r="V58" s="4" t="str">
        <f>IF(OR(E58="",Results!E13=""),"",IF(E58=Results!E13,1+IF(OR($O58=4,$P58=4,$Q58=4),1,0),0))</f>
        <v/>
      </c>
      <c r="W58" s="4" t="str">
        <f>IF(OR(F58="",Results!F13=""),"",IF(F58=Results!F13,1+IF(OR($O58=5,$P58=5,$Q58=5),1,0),0))</f>
        <v/>
      </c>
      <c r="X58" s="4" t="str">
        <f>IF(OR(G58="",Results!G13=""),"",IF(G58=Results!G13,1+IF(OR($O58=6,$P58=6,$Q58=6),1,0),0))</f>
        <v/>
      </c>
      <c r="Y58" s="4" t="str">
        <f>IF(OR(H58="",Results!H13=""),"",IF(H58=Results!H13,1+IF(OR($O58=7,$P58=7,$Q58=7),1,0),0))</f>
        <v/>
      </c>
      <c r="Z58" s="4" t="str">
        <f>IF(OR(I58="",Results!I13=""),"",IF(I58=Results!I13,1+IF(OR($O58=8,$P58=8,$Q58=8),1,0),0))</f>
        <v/>
      </c>
      <c r="AA58" s="4" t="str">
        <f>IF(OR(J58="",Results!J13=""),"",IF(J58=Results!J13,1+IF(OR($O58=9,$P58=9,$Q58=9),1,0),0))</f>
        <v/>
      </c>
      <c r="AB58" s="4" t="str">
        <f>IF(OR(K58="",Results!K13=""),"",IF(K58=Results!K13,1+IF(OR($O58=10,$P58=10,$Q58=10),1,0),0))</f>
        <v/>
      </c>
      <c r="AC58" s="4" t="str">
        <f>IF(OR(L58="",Results!L13=""),"",IF(L58=Results!L13,1+IF(OR($O58=11,$P58=11,$Q58=11),1,0),0))</f>
        <v/>
      </c>
      <c r="AD58" s="4" t="str">
        <f>IF(OR(M58="",Results!M13=""),"",IF(M58=Results!M13,1+IF(OR($O58=12,$P58=12,$Q58=12),1,0),0))</f>
        <v/>
      </c>
      <c r="AE58" s="4" t="str">
        <f>IF(OR(N58="",Results!N13=""),"",IF(N58=Results!N13,1+IF(OR($O58=13,$P58=13,$Q58=13),1,0),0))</f>
        <v/>
      </c>
      <c r="AF58" s="11">
        <f t="shared" si="2"/>
        <v>0</v>
      </c>
      <c r="AG58" s="4" t="str">
        <f>IF(OR($R58="",Results!O13=""),"",ABS($R58-Results!O13))</f>
        <v/>
      </c>
      <c r="AH58" s="12">
        <v>29</v>
      </c>
      <c r="AI58" s="13" t="str">
        <f>IF(OR(B58="",Results!B13=""),"",IF(AND(B58=Results!B13,Results!B13&lt;&gt;Games!$C$109),1,0))</f>
        <v/>
      </c>
      <c r="AJ58" s="13" t="str">
        <f>IF(OR(C58="",Results!C13=""),"",IF(AND(C58=Results!C13,Results!C13&lt;&gt;Games!$C$110),1,0))</f>
        <v/>
      </c>
      <c r="AK58" s="13" t="str">
        <f>IF(OR(D58="",Results!D13=""),"",IF(AND(D58=Results!D13,Results!D13&lt;&gt;Games!$C$111),1,0))</f>
        <v/>
      </c>
      <c r="AL58" s="13" t="str">
        <f>IF(OR(E58="",Results!E13=""),"",IF(AND(E58=Results!E13,Results!E13&lt;&gt;Games!$C$112),1,0))</f>
        <v/>
      </c>
      <c r="AM58" s="13" t="str">
        <f>IF(OR(F58="",Results!F13=""),"",IF(AND(F58=Results!F13,Results!F13&lt;&gt;Games!$C$113),1,0))</f>
        <v/>
      </c>
      <c r="AN58" s="13" t="str">
        <f>IF(OR(G58="",Results!G13=""),"",IF(AND(G58=Results!G13,Results!G13&lt;&gt;Games!$C$114),1,0))</f>
        <v/>
      </c>
      <c r="AO58" s="13" t="str">
        <f>IF(OR(H58="",Results!H13=""),"",IF(AND(H58=Results!H13,Results!H13&lt;&gt;Games!$C$115),1,0))</f>
        <v/>
      </c>
      <c r="AP58" s="13" t="str">
        <f>IF(OR(I58="",Results!I13=""),"",IF(AND(I58=Results!I13,Results!I13&lt;&gt;Games!$C$116),1,0))</f>
        <v/>
      </c>
      <c r="AQ58" s="13" t="str">
        <f>IF(OR(J58="",Results!J13=""),"",IF(AND(J58=Results!J13,Results!J13&lt;&gt;Games!$C$117),1,0))</f>
        <v/>
      </c>
      <c r="AR58" s="13" t="str">
        <f>IF(OR(K58="",Results!K13=""),"",IF(AND(K58=Results!K13,Results!K13&lt;&gt;Games!$C$118),1,0))</f>
        <v/>
      </c>
      <c r="AS58" s="13" t="str">
        <f>IF(OR(L58="",Results!L13=""),"",IF(AND(L58=Results!L13,Results!L13&lt;&gt;Games!$C$119),1,0))</f>
        <v/>
      </c>
      <c r="AT58" s="13" t="str">
        <f>IF(OR(M58="",Results!M13=""),"",IF(AND(M58=Results!M13,Results!M13&lt;&gt;Games!$C$120),1,0))</f>
        <v/>
      </c>
      <c r="AU58" s="13" t="str">
        <f>IF(OR(N58="",Results!N13=""),"",IF(AND(N58=Results!N13,Results!N13&lt;&gt;Games!$C$121),1,0))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IF(OR(B59="",Results!B13=""),"",IF(B59=Results!B13,1+IF(OR($O59=1,$P59=1,$Q59=1),1,0),0))</f>
        <v/>
      </c>
      <c r="T59" s="4" t="str">
        <f>IF(OR(C59="",Results!C13=""),"",IF(C59=Results!C13,1+IF(OR($O59=2,$P59=2,$Q59=2),1,0),0))</f>
        <v/>
      </c>
      <c r="U59" s="4" t="str">
        <f>IF(OR(D59="",Results!D13=""),"",IF(D59=Results!D13,1+IF(OR($O59=3,$P59=3,$Q59=3),1,0),0))</f>
        <v/>
      </c>
      <c r="V59" s="4" t="str">
        <f>IF(OR(E59="",Results!E13=""),"",IF(E59=Results!E13,1+IF(OR($O59=4,$P59=4,$Q59=4),1,0),0))</f>
        <v/>
      </c>
      <c r="W59" s="4" t="str">
        <f>IF(OR(F59="",Results!F13=""),"",IF(F59=Results!F13,1+IF(OR($O59=5,$P59=5,$Q59=5),1,0),0))</f>
        <v/>
      </c>
      <c r="X59" s="4" t="str">
        <f>IF(OR(G59="",Results!G13=""),"",IF(G59=Results!G13,1+IF(OR($O59=6,$P59=6,$Q59=6),1,0),0))</f>
        <v/>
      </c>
      <c r="Y59" s="4" t="str">
        <f>IF(OR(H59="",Results!H13=""),"",IF(H59=Results!H13,1+IF(OR($O59=7,$P59=7,$Q59=7),1,0),0))</f>
        <v/>
      </c>
      <c r="Z59" s="4" t="str">
        <f>IF(OR(I59="",Results!I13=""),"",IF(I59=Results!I13,1+IF(OR($O59=8,$P59=8,$Q59=8),1,0),0))</f>
        <v/>
      </c>
      <c r="AA59" s="4" t="str">
        <f>IF(OR(J59="",Results!J13=""),"",IF(J59=Results!J13,1+IF(OR($O59=9,$P59=9,$Q59=9),1,0),0))</f>
        <v/>
      </c>
      <c r="AB59" s="4" t="str">
        <f>IF(OR(K59="",Results!K13=""),"",IF(K59=Results!K13,1+IF(OR($O59=10,$P59=10,$Q59=10),1,0),0))</f>
        <v/>
      </c>
      <c r="AC59" s="4" t="str">
        <f>IF(OR(L59="",Results!L13=""),"",IF(L59=Results!L13,1+IF(OR($O59=11,$P59=11,$Q59=11),1,0),0))</f>
        <v/>
      </c>
      <c r="AD59" s="4" t="str">
        <f>IF(OR(M59="",Results!M13=""),"",IF(M59=Results!M13,1+IF(OR($O59=12,$P59=12,$Q59=12),1,0),0))</f>
        <v/>
      </c>
      <c r="AE59" s="4" t="str">
        <f>IF(OR(N59="",Results!N13=""),"",IF(N59=Results!N13,1+IF(OR($O59=13,$P59=13,$Q59=13),1,0),0))</f>
        <v/>
      </c>
      <c r="AF59" s="11">
        <f t="shared" si="2"/>
        <v>0</v>
      </c>
      <c r="AG59" s="4" t="str">
        <f>IF(OR($R59="",Results!O13=""),"",ABS($R59-Results!O13))</f>
        <v/>
      </c>
      <c r="AH59" s="12">
        <v>51</v>
      </c>
      <c r="AI59" s="13" t="str">
        <f>IF(OR(B59="",Results!B13=""),"",IF(AND(B59=Results!B13,Results!B13&lt;&gt;Games!$C$109),1,0))</f>
        <v/>
      </c>
      <c r="AJ59" s="13" t="str">
        <f>IF(OR(C59="",Results!C13=""),"",IF(AND(C59=Results!C13,Results!C13&lt;&gt;Games!$C$110),1,0))</f>
        <v/>
      </c>
      <c r="AK59" s="13" t="str">
        <f>IF(OR(D59="",Results!D13=""),"",IF(AND(D59=Results!D13,Results!D13&lt;&gt;Games!$C$111),1,0))</f>
        <v/>
      </c>
      <c r="AL59" s="13" t="str">
        <f>IF(OR(E59="",Results!E13=""),"",IF(AND(E59=Results!E13,Results!E13&lt;&gt;Games!$C$112),1,0))</f>
        <v/>
      </c>
      <c r="AM59" s="13" t="str">
        <f>IF(OR(F59="",Results!F13=""),"",IF(AND(F59=Results!F13,Results!F13&lt;&gt;Games!$C$113),1,0))</f>
        <v/>
      </c>
      <c r="AN59" s="13" t="str">
        <f>IF(OR(G59="",Results!G13=""),"",IF(AND(G59=Results!G13,Results!G13&lt;&gt;Games!$C$114),1,0))</f>
        <v/>
      </c>
      <c r="AO59" s="13" t="str">
        <f>IF(OR(H59="",Results!H13=""),"",IF(AND(H59=Results!H13,Results!H13&lt;&gt;Games!$C$115),1,0))</f>
        <v/>
      </c>
      <c r="AP59" s="13" t="str">
        <f>IF(OR(I59="",Results!I13=""),"",IF(AND(I59=Results!I13,Results!I13&lt;&gt;Games!$C$116),1,0))</f>
        <v/>
      </c>
      <c r="AQ59" s="13" t="str">
        <f>IF(OR(J59="",Results!J13=""),"",IF(AND(J59=Results!J13,Results!J13&lt;&gt;Games!$C$117),1,0))</f>
        <v/>
      </c>
      <c r="AR59" s="13" t="str">
        <f>IF(OR(K59="",Results!K13=""),"",IF(AND(K59=Results!K13,Results!K13&lt;&gt;Games!$C$118),1,0))</f>
        <v/>
      </c>
      <c r="AS59" s="13" t="str">
        <f>IF(OR(L59="",Results!L13=""),"",IF(AND(L59=Results!L13,Results!L13&lt;&gt;Games!$C$119),1,0))</f>
        <v/>
      </c>
      <c r="AT59" s="13" t="str">
        <f>IF(OR(M59="",Results!M13=""),"",IF(AND(M59=Results!M13,Results!M13&lt;&gt;Games!$C$120),1,0))</f>
        <v/>
      </c>
      <c r="AU59" s="13" t="str">
        <f>IF(OR(N59="",Results!N13=""),"",IF(AND(N59=Results!N13,Results!N13&lt;&gt;Games!$C$121),1,0))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IF(OR(B60="",Results!B13=""),"",IF(B60=Results!B13,1+IF(OR($O60=1,$P60=1,$Q60=1),1,0),0))</f>
        <v/>
      </c>
      <c r="T60" s="4" t="str">
        <f>IF(OR(C60="",Results!C13=""),"",IF(C60=Results!C13,1+IF(OR($O60=2,$P60=2,$Q60=2),1,0),0))</f>
        <v/>
      </c>
      <c r="U60" s="4" t="str">
        <f>IF(OR(D60="",Results!D13=""),"",IF(D60=Results!D13,1+IF(OR($O60=3,$P60=3,$Q60=3),1,0),0))</f>
        <v/>
      </c>
      <c r="V60" s="4" t="str">
        <f>IF(OR(E60="",Results!E13=""),"",IF(E60=Results!E13,1+IF(OR($O60=4,$P60=4,$Q60=4),1,0),0))</f>
        <v/>
      </c>
      <c r="W60" s="4" t="str">
        <f>IF(OR(F60="",Results!F13=""),"",IF(F60=Results!F13,1+IF(OR($O60=5,$P60=5,$Q60=5),1,0),0))</f>
        <v/>
      </c>
      <c r="X60" s="4" t="str">
        <f>IF(OR(G60="",Results!G13=""),"",IF(G60=Results!G13,1+IF(OR($O60=6,$P60=6,$Q60=6),1,0),0))</f>
        <v/>
      </c>
      <c r="Y60" s="4" t="str">
        <f>IF(OR(H60="",Results!H13=""),"",IF(H60=Results!H13,1+IF(OR($O60=7,$P60=7,$Q60=7),1,0),0))</f>
        <v/>
      </c>
      <c r="Z60" s="4" t="str">
        <f>IF(OR(I60="",Results!I13=""),"",IF(I60=Results!I13,1+IF(OR($O60=8,$P60=8,$Q60=8),1,0),0))</f>
        <v/>
      </c>
      <c r="AA60" s="4" t="str">
        <f>IF(OR(J60="",Results!J13=""),"",IF(J60=Results!J13,1+IF(OR($O60=9,$P60=9,$Q60=9),1,0),0))</f>
        <v/>
      </c>
      <c r="AB60" s="4" t="str">
        <f>IF(OR(K60="",Results!K13=""),"",IF(K60=Results!K13,1+IF(OR($O60=10,$P60=10,$Q60=10),1,0),0))</f>
        <v/>
      </c>
      <c r="AC60" s="4" t="str">
        <f>IF(OR(L60="",Results!L13=""),"",IF(L60=Results!L13,1+IF(OR($O60=11,$P60=11,$Q60=11),1,0),0))</f>
        <v/>
      </c>
      <c r="AD60" s="4" t="str">
        <f>IF(OR(M60="",Results!M13=""),"",IF(M60=Results!M13,1+IF(OR($O60=12,$P60=12,$Q60=12),1,0),0))</f>
        <v/>
      </c>
      <c r="AE60" s="4" t="str">
        <f>IF(OR(N60="",Results!N13=""),"",IF(N60=Results!N13,1+IF(OR($O60=13,$P60=13,$Q60=13),1,0),0))</f>
        <v/>
      </c>
      <c r="AF60" s="11">
        <f t="shared" si="2"/>
        <v>0</v>
      </c>
      <c r="AG60" s="4" t="str">
        <f>IF(OR($R60="",Results!O13=""),"",ABS($R60-Results!O13))</f>
        <v/>
      </c>
      <c r="AH60" s="12">
        <v>45</v>
      </c>
      <c r="AI60" s="13" t="str">
        <f>IF(OR(B60="",Results!B13=""),"",IF(AND(B60=Results!B13,Results!B13&lt;&gt;Games!$C$109),1,0))</f>
        <v/>
      </c>
      <c r="AJ60" s="13" t="str">
        <f>IF(OR(C60="",Results!C13=""),"",IF(AND(C60=Results!C13,Results!C13&lt;&gt;Games!$C$110),1,0))</f>
        <v/>
      </c>
      <c r="AK60" s="13" t="str">
        <f>IF(OR(D60="",Results!D13=""),"",IF(AND(D60=Results!D13,Results!D13&lt;&gt;Games!$C$111),1,0))</f>
        <v/>
      </c>
      <c r="AL60" s="13" t="str">
        <f>IF(OR(E60="",Results!E13=""),"",IF(AND(E60=Results!E13,Results!E13&lt;&gt;Games!$C$112),1,0))</f>
        <v/>
      </c>
      <c r="AM60" s="13" t="str">
        <f>IF(OR(F60="",Results!F13=""),"",IF(AND(F60=Results!F13,Results!F13&lt;&gt;Games!$C$113),1,0))</f>
        <v/>
      </c>
      <c r="AN60" s="13" t="str">
        <f>IF(OR(G60="",Results!G13=""),"",IF(AND(G60=Results!G13,Results!G13&lt;&gt;Games!$C$114),1,0))</f>
        <v/>
      </c>
      <c r="AO60" s="13" t="str">
        <f>IF(OR(H60="",Results!H13=""),"",IF(AND(H60=Results!H13,Results!H13&lt;&gt;Games!$C$115),1,0))</f>
        <v/>
      </c>
      <c r="AP60" s="13" t="str">
        <f>IF(OR(I60="",Results!I13=""),"",IF(AND(I60=Results!I13,Results!I13&lt;&gt;Games!$C$116),1,0))</f>
        <v/>
      </c>
      <c r="AQ60" s="13" t="str">
        <f>IF(OR(J60="",Results!J13=""),"",IF(AND(J60=Results!J13,Results!J13&lt;&gt;Games!$C$117),1,0))</f>
        <v/>
      </c>
      <c r="AR60" s="13" t="str">
        <f>IF(OR(K60="",Results!K13=""),"",IF(AND(K60=Results!K13,Results!K13&lt;&gt;Games!$C$118),1,0))</f>
        <v/>
      </c>
      <c r="AS60" s="13" t="str">
        <f>IF(OR(L60="",Results!L13=""),"",IF(AND(L60=Results!L13,Results!L13&lt;&gt;Games!$C$119),1,0))</f>
        <v/>
      </c>
      <c r="AT60" s="13" t="str">
        <f>IF(OR(M60="",Results!M13=""),"",IF(AND(M60=Results!M13,Results!M13&lt;&gt;Games!$C$120),1,0))</f>
        <v/>
      </c>
      <c r="AU60" s="13" t="str">
        <f>IF(OR(N60="",Results!N13=""),"",IF(AND(N60=Results!N13,Results!N13&lt;&gt;Games!$C$121),1,0))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 t="str">
        <f>IF(OR(B61="",Results!B13=""),"",IF(B61=Results!B13,1+IF(OR($O61=1,$P61=1,$Q61=1),1,0),0))</f>
        <v/>
      </c>
      <c r="T61" s="4" t="str">
        <f>IF(OR(C61="",Results!C13=""),"",IF(C61=Results!C13,1+IF(OR($O61=2,$P61=2,$Q61=2),1,0),0))</f>
        <v/>
      </c>
      <c r="U61" s="4" t="str">
        <f>IF(OR(D61="",Results!D13=""),"",IF(D61=Results!D13,1+IF(OR($O61=3,$P61=3,$Q61=3),1,0),0))</f>
        <v/>
      </c>
      <c r="V61" s="4" t="str">
        <f>IF(OR(E61="",Results!E13=""),"",IF(E61=Results!E13,1+IF(OR($O61=4,$P61=4,$Q61=4),1,0),0))</f>
        <v/>
      </c>
      <c r="W61" s="4" t="str">
        <f>IF(OR(F61="",Results!F13=""),"",IF(F61=Results!F13,1+IF(OR($O61=5,$P61=5,$Q61=5),1,0),0))</f>
        <v/>
      </c>
      <c r="X61" s="4" t="str">
        <f>IF(OR(G61="",Results!G13=""),"",IF(G61=Results!G13,1+IF(OR($O61=6,$P61=6,$Q61=6),1,0),0))</f>
        <v/>
      </c>
      <c r="Y61" s="4" t="str">
        <f>IF(OR(H61="",Results!H13=""),"",IF(H61=Results!H13,1+IF(OR($O61=7,$P61=7,$Q61=7),1,0),0))</f>
        <v/>
      </c>
      <c r="Z61" s="4" t="str">
        <f>IF(OR(I61="",Results!I13=""),"",IF(I61=Results!I13,1+IF(OR($O61=8,$P61=8,$Q61=8),1,0),0))</f>
        <v/>
      </c>
      <c r="AA61" s="4" t="str">
        <f>IF(OR(J61="",Results!J13=""),"",IF(J61=Results!J13,1+IF(OR($O61=9,$P61=9,$Q61=9),1,0),0))</f>
        <v/>
      </c>
      <c r="AB61" s="4" t="str">
        <f>IF(OR(K61="",Results!K13=""),"",IF(K61=Results!K13,1+IF(OR($O61=10,$P61=10,$Q61=10),1,0),0))</f>
        <v/>
      </c>
      <c r="AC61" s="4" t="str">
        <f>IF(OR(L61="",Results!L13=""),"",IF(L61=Results!L13,1+IF(OR($O61=11,$P61=11,$Q61=11),1,0),0))</f>
        <v/>
      </c>
      <c r="AD61" s="4" t="str">
        <f>IF(OR(M61="",Results!M13=""),"",IF(M61=Results!M13,1+IF(OR($O61=12,$P61=12,$Q61=12),1,0),0))</f>
        <v/>
      </c>
      <c r="AE61" s="4" t="str">
        <f>IF(OR(N61="",Results!N13=""),"",IF(N61=Results!N13,1+IF(OR($O61=13,$P61=13,$Q61=13),1,0),0))</f>
        <v/>
      </c>
      <c r="AF61" s="11">
        <f t="shared" si="2"/>
        <v>0</v>
      </c>
      <c r="AG61" s="4" t="str">
        <f>IF(OR($R61="",Results!O13=""),"",ABS($R61-Results!O13))</f>
        <v/>
      </c>
      <c r="AH61" s="12">
        <v>30</v>
      </c>
      <c r="AI61" s="13" t="str">
        <f>IF(OR(B61="",Results!B13=""),"",IF(AND(B61=Results!B13,Results!B13&lt;&gt;Games!$C$109),1,0))</f>
        <v/>
      </c>
      <c r="AJ61" s="13" t="str">
        <f>IF(OR(C61="",Results!C13=""),"",IF(AND(C61=Results!C13,Results!C13&lt;&gt;Games!$C$110),1,0))</f>
        <v/>
      </c>
      <c r="AK61" s="13" t="str">
        <f>IF(OR(D61="",Results!D13=""),"",IF(AND(D61=Results!D13,Results!D13&lt;&gt;Games!$C$111),1,0))</f>
        <v/>
      </c>
      <c r="AL61" s="13" t="str">
        <f>IF(OR(E61="",Results!E13=""),"",IF(AND(E61=Results!E13,Results!E13&lt;&gt;Games!$C$112),1,0))</f>
        <v/>
      </c>
      <c r="AM61" s="13" t="str">
        <f>IF(OR(F61="",Results!F13=""),"",IF(AND(F61=Results!F13,Results!F13&lt;&gt;Games!$C$113),1,0))</f>
        <v/>
      </c>
      <c r="AN61" s="13" t="str">
        <f>IF(OR(G61="",Results!G13=""),"",IF(AND(G61=Results!G13,Results!G13&lt;&gt;Games!$C$114),1,0))</f>
        <v/>
      </c>
      <c r="AO61" s="13" t="str">
        <f>IF(OR(H61="",Results!H13=""),"",IF(AND(H61=Results!H13,Results!H13&lt;&gt;Games!$C$115),1,0))</f>
        <v/>
      </c>
      <c r="AP61" s="13" t="str">
        <f>IF(OR(I61="",Results!I13=""),"",IF(AND(I61=Results!I13,Results!I13&lt;&gt;Games!$C$116),1,0))</f>
        <v/>
      </c>
      <c r="AQ61" s="13" t="str">
        <f>IF(OR(J61="",Results!J13=""),"",IF(AND(J61=Results!J13,Results!J13&lt;&gt;Games!$C$117),1,0))</f>
        <v/>
      </c>
      <c r="AR61" s="13" t="str">
        <f>IF(OR(K61="",Results!K13=""),"",IF(AND(K61=Results!K13,Results!K13&lt;&gt;Games!$C$118),1,0))</f>
        <v/>
      </c>
      <c r="AS61" s="13" t="str">
        <f>IF(OR(L61="",Results!L13=""),"",IF(AND(L61=Results!L13,Results!L13&lt;&gt;Games!$C$119),1,0))</f>
        <v/>
      </c>
      <c r="AT61" s="13" t="str">
        <f>IF(OR(M61="",Results!M13=""),"",IF(AND(M61=Results!M13,Results!M13&lt;&gt;Games!$C$120),1,0))</f>
        <v/>
      </c>
      <c r="AU61" s="13" t="str">
        <f>IF(OR(N61="",Results!N13=""),"",IF(AND(N61=Results!N13,Results!N13&lt;&gt;Games!$C$121),1,0))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IF(OR(B62="",Results!B13=""),"",IF(B62=Results!B13,1+IF(OR($O62=1,$P62=1,$Q62=1),1,0),0))</f>
        <v/>
      </c>
      <c r="T62" s="4" t="str">
        <f>IF(OR(C62="",Results!C13=""),"",IF(C62=Results!C13,1+IF(OR($O62=2,$P62=2,$Q62=2),1,0),0))</f>
        <v/>
      </c>
      <c r="U62" s="4" t="str">
        <f>IF(OR(D62="",Results!D13=""),"",IF(D62=Results!D13,1+IF(OR($O62=3,$P62=3,$Q62=3),1,0),0))</f>
        <v/>
      </c>
      <c r="V62" s="4" t="str">
        <f>IF(OR(E62="",Results!E13=""),"",IF(E62=Results!E13,1+IF(OR($O62=4,$P62=4,$Q62=4),1,0),0))</f>
        <v/>
      </c>
      <c r="W62" s="4" t="str">
        <f>IF(OR(F62="",Results!F13=""),"",IF(F62=Results!F13,1+IF(OR($O62=5,$P62=5,$Q62=5),1,0),0))</f>
        <v/>
      </c>
      <c r="X62" s="4" t="str">
        <f>IF(OR(G62="",Results!G13=""),"",IF(G62=Results!G13,1+IF(OR($O62=6,$P62=6,$Q62=6),1,0),0))</f>
        <v/>
      </c>
      <c r="Y62" s="4" t="str">
        <f>IF(OR(H62="",Results!H13=""),"",IF(H62=Results!H13,1+IF(OR($O62=7,$P62=7,$Q62=7),1,0),0))</f>
        <v/>
      </c>
      <c r="Z62" s="4" t="str">
        <f>IF(OR(I62="",Results!I13=""),"",IF(I62=Results!I13,1+IF(OR($O62=8,$P62=8,$Q62=8),1,0),0))</f>
        <v/>
      </c>
      <c r="AA62" s="4" t="str">
        <f>IF(OR(J62="",Results!J13=""),"",IF(J62=Results!J13,1+IF(OR($O62=9,$P62=9,$Q62=9),1,0),0))</f>
        <v/>
      </c>
      <c r="AB62" s="4" t="str">
        <f>IF(OR(K62="",Results!K13=""),"",IF(K62=Results!K13,1+IF(OR($O62=10,$P62=10,$Q62=10),1,0),0))</f>
        <v/>
      </c>
      <c r="AC62" s="4" t="str">
        <f>IF(OR(L62="",Results!L13=""),"",IF(L62=Results!L13,1+IF(OR($O62=11,$P62=11,$Q62=11),1,0),0))</f>
        <v/>
      </c>
      <c r="AD62" s="4" t="str">
        <f>IF(OR(M62="",Results!M13=""),"",IF(M62=Results!M13,1+IF(OR($O62=12,$P62=12,$Q62=12),1,0),0))</f>
        <v/>
      </c>
      <c r="AE62" s="4" t="str">
        <f>IF(OR(N62="",Results!N13=""),"",IF(N62=Results!N13,1+IF(OR($O62=13,$P62=13,$Q62=13),1,0),0))</f>
        <v/>
      </c>
      <c r="AF62" s="11">
        <f t="shared" si="2"/>
        <v>0</v>
      </c>
      <c r="AG62" s="4" t="str">
        <f>IF(OR($R62="",Results!O13=""),"",ABS($R62-Results!O13))</f>
        <v/>
      </c>
      <c r="AH62" s="12">
        <v>31</v>
      </c>
      <c r="AI62" s="13" t="str">
        <f>IF(OR(B62="",Results!B13=""),"",IF(AND(B62=Results!B13,Results!B13&lt;&gt;Games!$C$109),1,0))</f>
        <v/>
      </c>
      <c r="AJ62" s="13" t="str">
        <f>IF(OR(C62="",Results!C13=""),"",IF(AND(C62=Results!C13,Results!C13&lt;&gt;Games!$C$110),1,0))</f>
        <v/>
      </c>
      <c r="AK62" s="13" t="str">
        <f>IF(OR(D62="",Results!D13=""),"",IF(AND(D62=Results!D13,Results!D13&lt;&gt;Games!$C$111),1,0))</f>
        <v/>
      </c>
      <c r="AL62" s="13" t="str">
        <f>IF(OR(E62="",Results!E13=""),"",IF(AND(E62=Results!E13,Results!E13&lt;&gt;Games!$C$112),1,0))</f>
        <v/>
      </c>
      <c r="AM62" s="13" t="str">
        <f>IF(OR(F62="",Results!F13=""),"",IF(AND(F62=Results!F13,Results!F13&lt;&gt;Games!$C$113),1,0))</f>
        <v/>
      </c>
      <c r="AN62" s="13" t="str">
        <f>IF(OR(G62="",Results!G13=""),"",IF(AND(G62=Results!G13,Results!G13&lt;&gt;Games!$C$114),1,0))</f>
        <v/>
      </c>
      <c r="AO62" s="13" t="str">
        <f>IF(OR(H62="",Results!H13=""),"",IF(AND(H62=Results!H13,Results!H13&lt;&gt;Games!$C$115),1,0))</f>
        <v/>
      </c>
      <c r="AP62" s="13" t="str">
        <f>IF(OR(I62="",Results!I13=""),"",IF(AND(I62=Results!I13,Results!I13&lt;&gt;Games!$C$116),1,0))</f>
        <v/>
      </c>
      <c r="AQ62" s="13" t="str">
        <f>IF(OR(J62="",Results!J13=""),"",IF(AND(J62=Results!J13,Results!J13&lt;&gt;Games!$C$117),1,0))</f>
        <v/>
      </c>
      <c r="AR62" s="13" t="str">
        <f>IF(OR(K62="",Results!K13=""),"",IF(AND(K62=Results!K13,Results!K13&lt;&gt;Games!$C$118),1,0))</f>
        <v/>
      </c>
      <c r="AS62" s="13" t="str">
        <f>IF(OR(L62="",Results!L13=""),"",IF(AND(L62=Results!L13,Results!L13&lt;&gt;Games!$C$119),1,0))</f>
        <v/>
      </c>
      <c r="AT62" s="13" t="str">
        <f>IF(OR(M62="",Results!M13=""),"",IF(AND(M62=Results!M13,Results!M13&lt;&gt;Games!$C$120),1,0))</f>
        <v/>
      </c>
      <c r="AU62" s="13" t="str">
        <f>IF(OR(N62="",Results!N13=""),"",IF(AND(N62=Results!N13,Results!N13&lt;&gt;Games!$C$121),1,0))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 t="str">
        <f>IF(OR(B63="",Results!B13=""),"",IF(B63=Results!B13,1+IF(OR($O63=1,$P63=1,$Q63=1),1,0),0))</f>
        <v/>
      </c>
      <c r="T63" s="4" t="str">
        <f>IF(OR(C63="",Results!C13=""),"",IF(C63=Results!C13,1+IF(OR($O63=2,$P63=2,$Q63=2),1,0),0))</f>
        <v/>
      </c>
      <c r="U63" s="4" t="str">
        <f>IF(OR(D63="",Results!D13=""),"",IF(D63=Results!D13,1+IF(OR($O63=3,$P63=3,$Q63=3),1,0),0))</f>
        <v/>
      </c>
      <c r="V63" s="4" t="str">
        <f>IF(OR(E63="",Results!E13=""),"",IF(E63=Results!E13,1+IF(OR($O63=4,$P63=4,$Q63=4),1,0),0))</f>
        <v/>
      </c>
      <c r="W63" s="4" t="str">
        <f>IF(OR(F63="",Results!F13=""),"",IF(F63=Results!F13,1+IF(OR($O63=5,$P63=5,$Q63=5),1,0),0))</f>
        <v/>
      </c>
      <c r="X63" s="4" t="str">
        <f>IF(OR(G63="",Results!G13=""),"",IF(G63=Results!G13,1+IF(OR($O63=6,$P63=6,$Q63=6),1,0),0))</f>
        <v/>
      </c>
      <c r="Y63" s="4" t="str">
        <f>IF(OR(H63="",Results!H13=""),"",IF(H63=Results!H13,1+IF(OR($O63=7,$P63=7,$Q63=7),1,0),0))</f>
        <v/>
      </c>
      <c r="Z63" s="4" t="str">
        <f>IF(OR(I63="",Results!I13=""),"",IF(I63=Results!I13,1+IF(OR($O63=8,$P63=8,$Q63=8),1,0),0))</f>
        <v/>
      </c>
      <c r="AA63" s="4" t="str">
        <f>IF(OR(J63="",Results!J13=""),"",IF(J63=Results!J13,1+IF(OR($O63=9,$P63=9,$Q63=9),1,0),0))</f>
        <v/>
      </c>
      <c r="AB63" s="4" t="str">
        <f>IF(OR(K63="",Results!K13=""),"",IF(K63=Results!K13,1+IF(OR($O63=10,$P63=10,$Q63=10),1,0),0))</f>
        <v/>
      </c>
      <c r="AC63" s="4" t="str">
        <f>IF(OR(L63="",Results!L13=""),"",IF(L63=Results!L13,1+IF(OR($O63=11,$P63=11,$Q63=11),1,0),0))</f>
        <v/>
      </c>
      <c r="AD63" s="4" t="str">
        <f>IF(OR(M63="",Results!M13=""),"",IF(M63=Results!M13,1+IF(OR($O63=12,$P63=12,$Q63=12),1,0),0))</f>
        <v/>
      </c>
      <c r="AE63" s="4" t="str">
        <f>IF(OR(N63="",Results!N13=""),"",IF(N63=Results!N13,1+IF(OR($O63=13,$P63=13,$Q63=13),1,0),0))</f>
        <v/>
      </c>
      <c r="AF63" s="11">
        <f t="shared" si="2"/>
        <v>0</v>
      </c>
      <c r="AG63" s="4" t="str">
        <f>IF(OR($R63="",Results!O13=""),"",ABS($R63-Results!O13))</f>
        <v/>
      </c>
      <c r="AH63" s="12">
        <v>32</v>
      </c>
      <c r="AI63" s="13" t="str">
        <f>IF(OR(B63="",Results!B13=""),"",IF(AND(B63=Results!B13,Results!B13&lt;&gt;Games!$C$109),1,0))</f>
        <v/>
      </c>
      <c r="AJ63" s="13" t="str">
        <f>IF(OR(C63="",Results!C13=""),"",IF(AND(C63=Results!C13,Results!C13&lt;&gt;Games!$C$110),1,0))</f>
        <v/>
      </c>
      <c r="AK63" s="13" t="str">
        <f>IF(OR(D63="",Results!D13=""),"",IF(AND(D63=Results!D13,Results!D13&lt;&gt;Games!$C$111),1,0))</f>
        <v/>
      </c>
      <c r="AL63" s="13" t="str">
        <f>IF(OR(E63="",Results!E13=""),"",IF(AND(E63=Results!E13,Results!E13&lt;&gt;Games!$C$112),1,0))</f>
        <v/>
      </c>
      <c r="AM63" s="13" t="str">
        <f>IF(OR(F63="",Results!F13=""),"",IF(AND(F63=Results!F13,Results!F13&lt;&gt;Games!$C$113),1,0))</f>
        <v/>
      </c>
      <c r="AN63" s="13" t="str">
        <f>IF(OR(G63="",Results!G13=""),"",IF(AND(G63=Results!G13,Results!G13&lt;&gt;Games!$C$114),1,0))</f>
        <v/>
      </c>
      <c r="AO63" s="13" t="str">
        <f>IF(OR(H63="",Results!H13=""),"",IF(AND(H63=Results!H13,Results!H13&lt;&gt;Games!$C$115),1,0))</f>
        <v/>
      </c>
      <c r="AP63" s="13" t="str">
        <f>IF(OR(I63="",Results!I13=""),"",IF(AND(I63=Results!I13,Results!I13&lt;&gt;Games!$C$116),1,0))</f>
        <v/>
      </c>
      <c r="AQ63" s="13" t="str">
        <f>IF(OR(J63="",Results!J13=""),"",IF(AND(J63=Results!J13,Results!J13&lt;&gt;Games!$C$117),1,0))</f>
        <v/>
      </c>
      <c r="AR63" s="13" t="str">
        <f>IF(OR(K63="",Results!K13=""),"",IF(AND(K63=Results!K13,Results!K13&lt;&gt;Games!$C$118),1,0))</f>
        <v/>
      </c>
      <c r="AS63" s="13" t="str">
        <f>IF(OR(L63="",Results!L13=""),"",IF(AND(L63=Results!L13,Results!L13&lt;&gt;Games!$C$119),1,0))</f>
        <v/>
      </c>
      <c r="AT63" s="13" t="str">
        <f>IF(OR(M63="",Results!M13=""),"",IF(AND(M63=Results!M13,Results!M13&lt;&gt;Games!$C$120),1,0))</f>
        <v/>
      </c>
      <c r="AU63" s="13" t="str">
        <f>IF(OR(N63="",Results!N13=""),"",IF(AND(N63=Results!N13,Results!N13&lt;&gt;Games!$C$121),1,0))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 t="str">
        <f>IF(OR(B64="",Results!B13=""),"",IF(B64=Results!B13,1+IF(OR($O64=1,$P64=1,$Q64=1),1,0),0))</f>
        <v/>
      </c>
      <c r="T64" s="4" t="str">
        <f>IF(OR(C64="",Results!C13=""),"",IF(C64=Results!C13,1+IF(OR($O64=2,$P64=2,$Q64=2),1,0),0))</f>
        <v/>
      </c>
      <c r="U64" s="4" t="str">
        <f>IF(OR(D64="",Results!D13=""),"",IF(D64=Results!D13,1+IF(OR($O64=3,$P64=3,$Q64=3),1,0),0))</f>
        <v/>
      </c>
      <c r="V64" s="4" t="str">
        <f>IF(OR(E64="",Results!E13=""),"",IF(E64=Results!E13,1+IF(OR($O64=4,$P64=4,$Q64=4),1,0),0))</f>
        <v/>
      </c>
      <c r="W64" s="4" t="str">
        <f>IF(OR(F64="",Results!F13=""),"",IF(F64=Results!F13,1+IF(OR($O64=5,$P64=5,$Q64=5),1,0),0))</f>
        <v/>
      </c>
      <c r="X64" s="4" t="str">
        <f>IF(OR(G64="",Results!G13=""),"",IF(G64=Results!G13,1+IF(OR($O64=6,$P64=6,$Q64=6),1,0),0))</f>
        <v/>
      </c>
      <c r="Y64" s="4" t="str">
        <f>IF(OR(H64="",Results!H13=""),"",IF(H64=Results!H13,1+IF(OR($O64=7,$P64=7,$Q64=7),1,0),0))</f>
        <v/>
      </c>
      <c r="Z64" s="4" t="str">
        <f>IF(OR(I64="",Results!I13=""),"",IF(I64=Results!I13,1+IF(OR($O64=8,$P64=8,$Q64=8),1,0),0))</f>
        <v/>
      </c>
      <c r="AA64" s="4" t="str">
        <f>IF(OR(J64="",Results!J13=""),"",IF(J64=Results!J13,1+IF(OR($O64=9,$P64=9,$Q64=9),1,0),0))</f>
        <v/>
      </c>
      <c r="AB64" s="4" t="str">
        <f>IF(OR(K64="",Results!K13=""),"",IF(K64=Results!K13,1+IF(OR($O64=10,$P64=10,$Q64=10),1,0),0))</f>
        <v/>
      </c>
      <c r="AC64" s="4" t="str">
        <f>IF(OR(L64="",Results!L13=""),"",IF(L64=Results!L13,1+IF(OR($O64=11,$P64=11,$Q64=11),1,0),0))</f>
        <v/>
      </c>
      <c r="AD64" s="4" t="str">
        <f>IF(OR(M64="",Results!M13=""),"",IF(M64=Results!M13,1+IF(OR($O64=12,$P64=12,$Q64=12),1,0),0))</f>
        <v/>
      </c>
      <c r="AE64" s="4" t="str">
        <f>IF(OR(N64="",Results!N13=""),"",IF(N64=Results!N13,1+IF(OR($O64=13,$P64=13,$Q64=13),1,0),0))</f>
        <v/>
      </c>
      <c r="AF64" s="11">
        <f t="shared" si="2"/>
        <v>0</v>
      </c>
      <c r="AG64" s="4" t="str">
        <f>IF(OR($R64="",Results!O13=""),"",ABS($R64-Results!O13))</f>
        <v/>
      </c>
      <c r="AH64" s="12">
        <v>46</v>
      </c>
      <c r="AI64" s="13" t="str">
        <f>IF(OR(B64="",Results!B13=""),"",IF(AND(B64=Results!B13,Results!B13&lt;&gt;Games!$C$109),1,0))</f>
        <v/>
      </c>
      <c r="AJ64" s="13" t="str">
        <f>IF(OR(C64="",Results!C13=""),"",IF(AND(C64=Results!C13,Results!C13&lt;&gt;Games!$C$110),1,0))</f>
        <v/>
      </c>
      <c r="AK64" s="13" t="str">
        <f>IF(OR(D64="",Results!D13=""),"",IF(AND(D64=Results!D13,Results!D13&lt;&gt;Games!$C$111),1,0))</f>
        <v/>
      </c>
      <c r="AL64" s="13" t="str">
        <f>IF(OR(E64="",Results!E13=""),"",IF(AND(E64=Results!E13,Results!E13&lt;&gt;Games!$C$112),1,0))</f>
        <v/>
      </c>
      <c r="AM64" s="13" t="str">
        <f>IF(OR(F64="",Results!F13=""),"",IF(AND(F64=Results!F13,Results!F13&lt;&gt;Games!$C$113),1,0))</f>
        <v/>
      </c>
      <c r="AN64" s="13" t="str">
        <f>IF(OR(G64="",Results!G13=""),"",IF(AND(G64=Results!G13,Results!G13&lt;&gt;Games!$C$114),1,0))</f>
        <v/>
      </c>
      <c r="AO64" s="13" t="str">
        <f>IF(OR(H64="",Results!H13=""),"",IF(AND(H64=Results!H13,Results!H13&lt;&gt;Games!$C$115),1,0))</f>
        <v/>
      </c>
      <c r="AP64" s="13" t="str">
        <f>IF(OR(I64="",Results!I13=""),"",IF(AND(I64=Results!I13,Results!I13&lt;&gt;Games!$C$116),1,0))</f>
        <v/>
      </c>
      <c r="AQ64" s="13" t="str">
        <f>IF(OR(J64="",Results!J13=""),"",IF(AND(J64=Results!J13,Results!J13&lt;&gt;Games!$C$117),1,0))</f>
        <v/>
      </c>
      <c r="AR64" s="13" t="str">
        <f>IF(OR(K64="",Results!K13=""),"",IF(AND(K64=Results!K13,Results!K13&lt;&gt;Games!$C$118),1,0))</f>
        <v/>
      </c>
      <c r="AS64" s="13" t="str">
        <f>IF(OR(L64="",Results!L13=""),"",IF(AND(L64=Results!L13,Results!L13&lt;&gt;Games!$C$119),1,0))</f>
        <v/>
      </c>
      <c r="AT64" s="13" t="str">
        <f>IF(OR(M64="",Results!M13=""),"",IF(AND(M64=Results!M13,Results!M13&lt;&gt;Games!$C$120),1,0))</f>
        <v/>
      </c>
      <c r="AU64" s="13" t="str">
        <f>IF(OR(N64="",Results!N13=""),"",IF(AND(N64=Results!N13,Results!N13&lt;&gt;Games!$C$121),1,0))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IF(OR(B65="",Results!B13=""),"",IF(B65=Results!B13,1+IF(OR($O65=1,$P65=1,$Q65=1),1,0),0))</f>
        <v/>
      </c>
      <c r="T65" s="4" t="str">
        <f>IF(OR(C65="",Results!C13=""),"",IF(C65=Results!C13,1+IF(OR($O65=2,$P65=2,$Q65=2),1,0),0))</f>
        <v/>
      </c>
      <c r="U65" s="4" t="str">
        <f>IF(OR(D65="",Results!D13=""),"",IF(D65=Results!D13,1+IF(OR($O65=3,$P65=3,$Q65=3),1,0),0))</f>
        <v/>
      </c>
      <c r="V65" s="4" t="str">
        <f>IF(OR(E65="",Results!E13=""),"",IF(E65=Results!E13,1+IF(OR($O65=4,$P65=4,$Q65=4),1,0),0))</f>
        <v/>
      </c>
      <c r="W65" s="4" t="str">
        <f>IF(OR(F65="",Results!F13=""),"",IF(F65=Results!F13,1+IF(OR($O65=5,$P65=5,$Q65=5),1,0),0))</f>
        <v/>
      </c>
      <c r="X65" s="4" t="str">
        <f>IF(OR(G65="",Results!G13=""),"",IF(G65=Results!G13,1+IF(OR($O65=6,$P65=6,$Q65=6),1,0),0))</f>
        <v/>
      </c>
      <c r="Y65" s="4" t="str">
        <f>IF(OR(H65="",Results!H13=""),"",IF(H65=Results!H13,1+IF(OR($O65=7,$P65=7,$Q65=7),1,0),0))</f>
        <v/>
      </c>
      <c r="Z65" s="4" t="str">
        <f>IF(OR(I65="",Results!I13=""),"",IF(I65=Results!I13,1+IF(OR($O65=8,$P65=8,$Q65=8),1,0),0))</f>
        <v/>
      </c>
      <c r="AA65" s="4" t="str">
        <f>IF(OR(J65="",Results!J13=""),"",IF(J65=Results!J13,1+IF(OR($O65=9,$P65=9,$Q65=9),1,0),0))</f>
        <v/>
      </c>
      <c r="AB65" s="4" t="str">
        <f>IF(OR(K65="",Results!K13=""),"",IF(K65=Results!K13,1+IF(OR($O65=10,$P65=10,$Q65=10),1,0),0))</f>
        <v/>
      </c>
      <c r="AC65" s="4" t="str">
        <f>IF(OR(L65="",Results!L13=""),"",IF(L65=Results!L13,1+IF(OR($O65=11,$P65=11,$Q65=11),1,0),0))</f>
        <v/>
      </c>
      <c r="AD65" s="4" t="str">
        <f>IF(OR(M65="",Results!M13=""),"",IF(M65=Results!M13,1+IF(OR($O65=12,$P65=12,$Q65=12),1,0),0))</f>
        <v/>
      </c>
      <c r="AE65" s="4" t="str">
        <f>IF(OR(N65="",Results!N13=""),"",IF(N65=Results!N13,1+IF(OR($O65=13,$P65=13,$Q65=13),1,0),0))</f>
        <v/>
      </c>
      <c r="AF65" s="11">
        <f t="shared" si="2"/>
        <v>0</v>
      </c>
      <c r="AG65" s="4" t="str">
        <f>IF(OR($R65="",Results!O13=""),"",ABS($R65-Results!O13))</f>
        <v/>
      </c>
      <c r="AH65" s="12">
        <v>33</v>
      </c>
      <c r="AI65" s="13" t="str">
        <f>IF(OR(B65="",Results!B13=""),"",IF(AND(B65=Results!B13,Results!B13&lt;&gt;Games!$C$109),1,0))</f>
        <v/>
      </c>
      <c r="AJ65" s="13" t="str">
        <f>IF(OR(C65="",Results!C13=""),"",IF(AND(C65=Results!C13,Results!C13&lt;&gt;Games!$C$110),1,0))</f>
        <v/>
      </c>
      <c r="AK65" s="13" t="str">
        <f>IF(OR(D65="",Results!D13=""),"",IF(AND(D65=Results!D13,Results!D13&lt;&gt;Games!$C$111),1,0))</f>
        <v/>
      </c>
      <c r="AL65" s="13" t="str">
        <f>IF(OR(E65="",Results!E13=""),"",IF(AND(E65=Results!E13,Results!E13&lt;&gt;Games!$C$112),1,0))</f>
        <v/>
      </c>
      <c r="AM65" s="13" t="str">
        <f>IF(OR(F65="",Results!F13=""),"",IF(AND(F65=Results!F13,Results!F13&lt;&gt;Games!$C$113),1,0))</f>
        <v/>
      </c>
      <c r="AN65" s="13" t="str">
        <f>IF(OR(G65="",Results!G13=""),"",IF(AND(G65=Results!G13,Results!G13&lt;&gt;Games!$C$114),1,0))</f>
        <v/>
      </c>
      <c r="AO65" s="13" t="str">
        <f>IF(OR(H65="",Results!H13=""),"",IF(AND(H65=Results!H13,Results!H13&lt;&gt;Games!$C$115),1,0))</f>
        <v/>
      </c>
      <c r="AP65" s="13" t="str">
        <f>IF(OR(I65="",Results!I13=""),"",IF(AND(I65=Results!I13,Results!I13&lt;&gt;Games!$C$116),1,0))</f>
        <v/>
      </c>
      <c r="AQ65" s="13" t="str">
        <f>IF(OR(J65="",Results!J13=""),"",IF(AND(J65=Results!J13,Results!J13&lt;&gt;Games!$C$117),1,0))</f>
        <v/>
      </c>
      <c r="AR65" s="13" t="str">
        <f>IF(OR(K65="",Results!K13=""),"",IF(AND(K65=Results!K13,Results!K13&lt;&gt;Games!$C$118),1,0))</f>
        <v/>
      </c>
      <c r="AS65" s="13" t="str">
        <f>IF(OR(L65="",Results!L13=""),"",IF(AND(L65=Results!L13,Results!L13&lt;&gt;Games!$C$119),1,0))</f>
        <v/>
      </c>
      <c r="AT65" s="13" t="str">
        <f>IF(OR(M65="",Results!M13=""),"",IF(AND(M65=Results!M13,Results!M13&lt;&gt;Games!$C$120),1,0))</f>
        <v/>
      </c>
      <c r="AU65" s="13" t="str">
        <f>IF(OR(N65="",Results!N13=""),"",IF(AND(N65=Results!N13,Results!N13&lt;&gt;Games!$C$121),1,0))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A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A00-000001000000}">
          <x14:formula1>
            <xm:f>Games!$C$109:$D$109</xm:f>
          </x14:formula1>
          <x14:formula2>
            <xm:f>0</xm:f>
          </x14:formula2>
          <xm:sqref>B6:B65</xm:sqref>
        </x14:dataValidation>
        <x14:dataValidation type="list" allowBlank="1" xr:uid="{00000000-0002-0000-0A00-000002000000}">
          <x14:formula1>
            <xm:f>Games!$C$110:$D$110</xm:f>
          </x14:formula1>
          <x14:formula2>
            <xm:f>0</xm:f>
          </x14:formula2>
          <xm:sqref>C6:C65</xm:sqref>
        </x14:dataValidation>
        <x14:dataValidation type="list" allowBlank="1" xr:uid="{00000000-0002-0000-0A00-000003000000}">
          <x14:formula1>
            <xm:f>Games!$C$111:$D$111</xm:f>
          </x14:formula1>
          <x14:formula2>
            <xm:f>0</xm:f>
          </x14:formula2>
          <xm:sqref>D6:D65</xm:sqref>
        </x14:dataValidation>
        <x14:dataValidation type="list" allowBlank="1" xr:uid="{00000000-0002-0000-0A00-000004000000}">
          <x14:formula1>
            <xm:f>Games!$C$112:$D$112</xm:f>
          </x14:formula1>
          <x14:formula2>
            <xm:f>0</xm:f>
          </x14:formula2>
          <xm:sqref>E6:E65</xm:sqref>
        </x14:dataValidation>
        <x14:dataValidation type="list" allowBlank="1" xr:uid="{00000000-0002-0000-0A00-000005000000}">
          <x14:formula1>
            <xm:f>Games!$C$113:$D$113</xm:f>
          </x14:formula1>
          <x14:formula2>
            <xm:f>0</xm:f>
          </x14:formula2>
          <xm:sqref>F6:F65</xm:sqref>
        </x14:dataValidation>
        <x14:dataValidation type="list" allowBlank="1" xr:uid="{00000000-0002-0000-0A00-000006000000}">
          <x14:formula1>
            <xm:f>Games!$C$114:$D$114</xm:f>
          </x14:formula1>
          <x14:formula2>
            <xm:f>0</xm:f>
          </x14:formula2>
          <xm:sqref>G6:G65</xm:sqref>
        </x14:dataValidation>
        <x14:dataValidation type="list" allowBlank="1" xr:uid="{00000000-0002-0000-0A00-000007000000}">
          <x14:formula1>
            <xm:f>Games!$C$115:$D$115</xm:f>
          </x14:formula1>
          <x14:formula2>
            <xm:f>0</xm:f>
          </x14:formula2>
          <xm:sqref>H6:H65</xm:sqref>
        </x14:dataValidation>
        <x14:dataValidation type="list" allowBlank="1" xr:uid="{00000000-0002-0000-0A00-000008000000}">
          <x14:formula1>
            <xm:f>Games!$C$116:$D$116</xm:f>
          </x14:formula1>
          <x14:formula2>
            <xm:f>0</xm:f>
          </x14:formula2>
          <xm:sqref>I6:I65</xm:sqref>
        </x14:dataValidation>
        <x14:dataValidation type="list" allowBlank="1" xr:uid="{00000000-0002-0000-0A00-000009000000}">
          <x14:formula1>
            <xm:f>Games!$C$117:$D$117</xm:f>
          </x14:formula1>
          <x14:formula2>
            <xm:f>0</xm:f>
          </x14:formula2>
          <xm:sqref>J6:J65</xm:sqref>
        </x14:dataValidation>
        <x14:dataValidation type="list" allowBlank="1" xr:uid="{00000000-0002-0000-0A00-00000A000000}">
          <x14:formula1>
            <xm:f>Games!$C$118:$D$118</xm:f>
          </x14:formula1>
          <x14:formula2>
            <xm:f>0</xm:f>
          </x14:formula2>
          <xm:sqref>K6:K65</xm:sqref>
        </x14:dataValidation>
        <x14:dataValidation type="list" allowBlank="1" xr:uid="{00000000-0002-0000-0A00-00000B000000}">
          <x14:formula1>
            <xm:f>Games!$C$119:$D$119</xm:f>
          </x14:formula1>
          <x14:formula2>
            <xm:f>0</xm:f>
          </x14:formula2>
          <xm:sqref>L6:L65</xm:sqref>
        </x14:dataValidation>
        <x14:dataValidation type="list" allowBlank="1" xr:uid="{00000000-0002-0000-0A00-00000C000000}">
          <x14:formula1>
            <xm:f>Games!$C$120:$D$120</xm:f>
          </x14:formula1>
          <x14:formula2>
            <xm:f>0</xm:f>
          </x14:formula2>
          <xm:sqref>M6:M65</xm:sqref>
        </x14:dataValidation>
        <x14:dataValidation type="list" allowBlank="1" xr:uid="{00000000-0002-0000-0A00-00000D000000}">
          <x14:formula1>
            <xm:f>Games!$C$121:$D$121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323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1&amp;CHAR(10)&amp;Games!C122&amp;" vs "&amp;Games!D122</f>
        <v xml:space="preserve">1
 vs </v>
      </c>
      <c r="C4" s="10" t="str">
        <f>2&amp;CHAR(10)&amp;Games!C123&amp;" vs "&amp;Games!D123</f>
        <v xml:space="preserve">2
 vs </v>
      </c>
      <c r="D4" s="10" t="str">
        <f>3&amp;CHAR(10)&amp;Games!C124&amp;" vs "&amp;Games!D124</f>
        <v xml:space="preserve">3
 vs </v>
      </c>
      <c r="E4" s="10" t="str">
        <f>4&amp;CHAR(10)&amp;Games!C125&amp;" vs "&amp;Games!D125</f>
        <v xml:space="preserve">4
 vs </v>
      </c>
      <c r="F4" s="10" t="str">
        <f>5&amp;CHAR(10)&amp;Games!C126&amp;" vs "&amp;Games!D126</f>
        <v xml:space="preserve">5
 vs </v>
      </c>
      <c r="G4" s="10" t="str">
        <f>6&amp;CHAR(10)&amp;Games!C127&amp;" vs "&amp;Games!D127</f>
        <v xml:space="preserve">6
 vs </v>
      </c>
      <c r="H4" s="10" t="str">
        <f>7&amp;CHAR(10)&amp;Games!C128&amp;" vs "&amp;Games!D128</f>
        <v xml:space="preserve">7
 vs </v>
      </c>
      <c r="I4" s="10" t="str">
        <f>8&amp;CHAR(10)&amp;Games!C129&amp;" vs "&amp;Games!D129</f>
        <v xml:space="preserve">8
 vs </v>
      </c>
      <c r="J4" s="10" t="str">
        <f>9&amp;CHAR(10)&amp;Games!C130&amp;" vs "&amp;Games!D130</f>
        <v xml:space="preserve">9
 vs </v>
      </c>
      <c r="K4" s="10" t="str">
        <f>10&amp;CHAR(10)&amp;Games!C131&amp;" vs "&amp;Games!D131</f>
        <v xml:space="preserve">10
 vs </v>
      </c>
      <c r="L4" s="10" t="str">
        <f>11&amp;CHAR(10)&amp;Games!C132&amp;" vs "&amp;Games!D132</f>
        <v xml:space="preserve">11
 vs </v>
      </c>
      <c r="M4" s="10" t="str">
        <f>12&amp;CHAR(10)&amp;Games!C133&amp;" vs "&amp;Games!D133</f>
        <v xml:space="preserve">12
 vs </v>
      </c>
      <c r="N4" s="10" t="str">
        <f>13&amp;CHAR(10)&amp;Games!C134&amp;" vs "&amp;Games!D134</f>
        <v xml:space="preserve">13
 vs 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 t="str">
        <f>IF(OR(B6="",Results!B14=""),"",IF(B6=Results!B14,1+IF(OR($O6=1,$P6=1,$Q6=1),1,0),0))</f>
        <v/>
      </c>
      <c r="T6" s="4" t="str">
        <f>IF(OR(C6="",Results!C14=""),"",IF(C6=Results!C14,1+IF(OR($O6=2,$P6=2,$Q6=2),1,0),0))</f>
        <v/>
      </c>
      <c r="U6" s="4" t="str">
        <f>IF(OR(D6="",Results!D14=""),"",IF(D6=Results!D14,1+IF(OR($O6=3,$P6=3,$Q6=3),1,0),0))</f>
        <v/>
      </c>
      <c r="V6" s="4" t="str">
        <f>IF(OR(E6="",Results!E14=""),"",IF(E6=Results!E14,1+IF(OR($O6=4,$P6=4,$Q6=4),1,0),0))</f>
        <v/>
      </c>
      <c r="W6" s="4" t="str">
        <f>IF(OR(F6="",Results!F14=""),"",IF(F6=Results!F14,1+IF(OR($O6=5,$P6=5,$Q6=5),1,0),0))</f>
        <v/>
      </c>
      <c r="X6" s="4" t="str">
        <f>IF(OR(G6="",Results!G14=""),"",IF(G6=Results!G14,1+IF(OR($O6=6,$P6=6,$Q6=6),1,0),0))</f>
        <v/>
      </c>
      <c r="Y6" s="4" t="str">
        <f>IF(OR(H6="",Results!H14=""),"",IF(H6=Results!H14,1+IF(OR($O6=7,$P6=7,$Q6=7),1,0),0))</f>
        <v/>
      </c>
      <c r="Z6" s="4" t="str">
        <f>IF(OR(I6="",Results!I14=""),"",IF(I6=Results!I14,1+IF(OR($O6=8,$P6=8,$Q6=8),1,0),0))</f>
        <v/>
      </c>
      <c r="AA6" s="4" t="str">
        <f>IF(OR(J6="",Results!J14=""),"",IF(J6=Results!J14,1+IF(OR($O6=9,$P6=9,$Q6=9),1,0),0))</f>
        <v/>
      </c>
      <c r="AB6" s="4" t="str">
        <f>IF(OR(K6="",Results!K14=""),"",IF(K6=Results!K14,1+IF(OR($O6=10,$P6=10,$Q6=10),1,0),0))</f>
        <v/>
      </c>
      <c r="AC6" s="4" t="str">
        <f>IF(OR(L6="",Results!L14=""),"",IF(L6=Results!L14,1+IF(OR($O6=11,$P6=11,$Q6=11),1,0),0))</f>
        <v/>
      </c>
      <c r="AD6" s="4" t="str">
        <f>IF(OR(M6="",Results!M14=""),"",IF(M6=Results!M14,1+IF(OR($O6=12,$P6=12,$Q6=12),1,0),0))</f>
        <v/>
      </c>
      <c r="AE6" s="4" t="str">
        <f>IF(OR(N6="",Results!N14=""),"",IF(N6=Results!N14,1+IF(OR($O6=13,$P6=13,$Q6=13),1,0),0))</f>
        <v/>
      </c>
      <c r="AF6" s="11">
        <f t="shared" ref="AF6:AF37" si="0">SUM(S6:AE6)</f>
        <v>0</v>
      </c>
      <c r="AG6" s="4" t="str">
        <f>IF(OR($R6="",Results!O14=""),"",ABS($R6-Results!O14))</f>
        <v/>
      </c>
      <c r="AH6" s="12">
        <v>2</v>
      </c>
      <c r="AI6" s="13" t="str">
        <f>IF(OR(B6="",Results!B14=""),"",IF(AND(B6=Results!B14,Results!B14&lt;&gt;Games!$C$122),1,0))</f>
        <v/>
      </c>
      <c r="AJ6" s="13" t="str">
        <f>IF(OR(C6="",Results!C14=""),"",IF(AND(C6=Results!C14,Results!C14&lt;&gt;Games!$C$123),1,0))</f>
        <v/>
      </c>
      <c r="AK6" s="13" t="str">
        <f>IF(OR(D6="",Results!D14=""),"",IF(AND(D6=Results!D14,Results!D14&lt;&gt;Games!$C$124),1,0))</f>
        <v/>
      </c>
      <c r="AL6" s="13" t="str">
        <f>IF(OR(E6="",Results!E14=""),"",IF(AND(E6=Results!E14,Results!E14&lt;&gt;Games!$C$125),1,0))</f>
        <v/>
      </c>
      <c r="AM6" s="13" t="str">
        <f>IF(OR(F6="",Results!F14=""),"",IF(AND(F6=Results!F14,Results!F14&lt;&gt;Games!$C$126),1,0))</f>
        <v/>
      </c>
      <c r="AN6" s="13" t="str">
        <f>IF(OR(G6="",Results!G14=""),"",IF(AND(G6=Results!G14,Results!G14&lt;&gt;Games!$C$127),1,0))</f>
        <v/>
      </c>
      <c r="AO6" s="13" t="str">
        <f>IF(OR(H6="",Results!H14=""),"",IF(AND(H6=Results!H14,Results!H14&lt;&gt;Games!$C$128),1,0))</f>
        <v/>
      </c>
      <c r="AP6" s="13" t="str">
        <f>IF(OR(I6="",Results!I14=""),"",IF(AND(I6=Results!I14,Results!I14&lt;&gt;Games!$C$129),1,0))</f>
        <v/>
      </c>
      <c r="AQ6" s="13" t="str">
        <f>IF(OR(J6="",Results!J14=""),"",IF(AND(J6=Results!J14,Results!J14&lt;&gt;Games!$C$130),1,0))</f>
        <v/>
      </c>
      <c r="AR6" s="13" t="str">
        <f>IF(OR(K6="",Results!K14=""),"",IF(AND(K6=Results!K14,Results!K14&lt;&gt;Games!$C$131),1,0))</f>
        <v/>
      </c>
      <c r="AS6" s="13" t="str">
        <f>IF(OR(L6="",Results!L14=""),"",IF(AND(L6=Results!L14,Results!L14&lt;&gt;Games!$C$132),1,0))</f>
        <v/>
      </c>
      <c r="AT6" s="13" t="str">
        <f>IF(OR(M6="",Results!M14=""),"",IF(AND(M6=Results!M14,Results!M14&lt;&gt;Games!$C$133),1,0))</f>
        <v/>
      </c>
      <c r="AU6" s="13" t="str">
        <f>IF(OR(N6="",Results!N14=""),"",IF(AND(N6=Results!N14,Results!N14&lt;&gt;Games!$C$134),1,0))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IF(OR(B7="",Results!B14=""),"",IF(B7=Results!B14,1+IF(OR($O7=1,$P7=1,$Q7=1),1,0),0))</f>
        <v/>
      </c>
      <c r="T7" s="4" t="str">
        <f>IF(OR(C7="",Results!C14=""),"",IF(C7=Results!C14,1+IF(OR($O7=2,$P7=2,$Q7=2),1,0),0))</f>
        <v/>
      </c>
      <c r="U7" s="4" t="str">
        <f>IF(OR(D7="",Results!D14=""),"",IF(D7=Results!D14,1+IF(OR($O7=3,$P7=3,$Q7=3),1,0),0))</f>
        <v/>
      </c>
      <c r="V7" s="4" t="str">
        <f>IF(OR(E7="",Results!E14=""),"",IF(E7=Results!E14,1+IF(OR($O7=4,$P7=4,$Q7=4),1,0),0))</f>
        <v/>
      </c>
      <c r="W7" s="4" t="str">
        <f>IF(OR(F7="",Results!F14=""),"",IF(F7=Results!F14,1+IF(OR($O7=5,$P7=5,$Q7=5),1,0),0))</f>
        <v/>
      </c>
      <c r="X7" s="4" t="str">
        <f>IF(OR(G7="",Results!G14=""),"",IF(G7=Results!G14,1+IF(OR($O7=6,$P7=6,$Q7=6),1,0),0))</f>
        <v/>
      </c>
      <c r="Y7" s="4" t="str">
        <f>IF(OR(H7="",Results!H14=""),"",IF(H7=Results!H14,1+IF(OR($O7=7,$P7=7,$Q7=7),1,0),0))</f>
        <v/>
      </c>
      <c r="Z7" s="4" t="str">
        <f>IF(OR(I7="",Results!I14=""),"",IF(I7=Results!I14,1+IF(OR($O7=8,$P7=8,$Q7=8),1,0),0))</f>
        <v/>
      </c>
      <c r="AA7" s="4" t="str">
        <f>IF(OR(J7="",Results!J14=""),"",IF(J7=Results!J14,1+IF(OR($O7=9,$P7=9,$Q7=9),1,0),0))</f>
        <v/>
      </c>
      <c r="AB7" s="4" t="str">
        <f>IF(OR(K7="",Results!K14=""),"",IF(K7=Results!K14,1+IF(OR($O7=10,$P7=10,$Q7=10),1,0),0))</f>
        <v/>
      </c>
      <c r="AC7" s="4" t="str">
        <f>IF(OR(L7="",Results!L14=""),"",IF(L7=Results!L14,1+IF(OR($O7=11,$P7=11,$Q7=11),1,0),0))</f>
        <v/>
      </c>
      <c r="AD7" s="4" t="str">
        <f>IF(OR(M7="",Results!M14=""),"",IF(M7=Results!M14,1+IF(OR($O7=12,$P7=12,$Q7=12),1,0),0))</f>
        <v/>
      </c>
      <c r="AE7" s="4" t="str">
        <f>IF(OR(N7="",Results!N14=""),"",IF(N7=Results!N14,1+IF(OR($O7=13,$P7=13,$Q7=13),1,0),0))</f>
        <v/>
      </c>
      <c r="AF7" s="11">
        <f t="shared" si="0"/>
        <v>0</v>
      </c>
      <c r="AG7" s="4" t="str">
        <f>IF(OR($R7="",Results!O14=""),"",ABS($R7-Results!O14))</f>
        <v/>
      </c>
      <c r="AH7" s="12">
        <v>53</v>
      </c>
      <c r="AI7" s="13" t="str">
        <f>IF(OR(B7="",Results!B14=""),"",IF(AND(B7=Results!B14,Results!B14&lt;&gt;Games!$C$122),1,0))</f>
        <v/>
      </c>
      <c r="AJ7" s="13" t="str">
        <f>IF(OR(C7="",Results!C14=""),"",IF(AND(C7=Results!C14,Results!C14&lt;&gt;Games!$C$123),1,0))</f>
        <v/>
      </c>
      <c r="AK7" s="13" t="str">
        <f>IF(OR(D7="",Results!D14=""),"",IF(AND(D7=Results!D14,Results!D14&lt;&gt;Games!$C$124),1,0))</f>
        <v/>
      </c>
      <c r="AL7" s="13" t="str">
        <f>IF(OR(E7="",Results!E14=""),"",IF(AND(E7=Results!E14,Results!E14&lt;&gt;Games!$C$125),1,0))</f>
        <v/>
      </c>
      <c r="AM7" s="13" t="str">
        <f>IF(OR(F7="",Results!F14=""),"",IF(AND(F7=Results!F14,Results!F14&lt;&gt;Games!$C$126),1,0))</f>
        <v/>
      </c>
      <c r="AN7" s="13" t="str">
        <f>IF(OR(G7="",Results!G14=""),"",IF(AND(G7=Results!G14,Results!G14&lt;&gt;Games!$C$127),1,0))</f>
        <v/>
      </c>
      <c r="AO7" s="13" t="str">
        <f>IF(OR(H7="",Results!H14=""),"",IF(AND(H7=Results!H14,Results!H14&lt;&gt;Games!$C$128),1,0))</f>
        <v/>
      </c>
      <c r="AP7" s="13" t="str">
        <f>IF(OR(I7="",Results!I14=""),"",IF(AND(I7=Results!I14,Results!I14&lt;&gt;Games!$C$129),1,0))</f>
        <v/>
      </c>
      <c r="AQ7" s="13" t="str">
        <f>IF(OR(J7="",Results!J14=""),"",IF(AND(J7=Results!J14,Results!J14&lt;&gt;Games!$C$130),1,0))</f>
        <v/>
      </c>
      <c r="AR7" s="13" t="str">
        <f>IF(OR(K7="",Results!K14=""),"",IF(AND(K7=Results!K14,Results!K14&lt;&gt;Games!$C$131),1,0))</f>
        <v/>
      </c>
      <c r="AS7" s="13" t="str">
        <f>IF(OR(L7="",Results!L14=""),"",IF(AND(L7=Results!L14,Results!L14&lt;&gt;Games!$C$132),1,0))</f>
        <v/>
      </c>
      <c r="AT7" s="13" t="str">
        <f>IF(OR(M7="",Results!M14=""),"",IF(AND(M7=Results!M14,Results!M14&lt;&gt;Games!$C$133),1,0))</f>
        <v/>
      </c>
      <c r="AU7" s="13" t="str">
        <f>IF(OR(N7="",Results!N14=""),"",IF(AND(N7=Results!N14,Results!N14&lt;&gt;Games!$C$134),1,0))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" t="str">
        <f>IF(OR(B8="",Results!B14=""),"",IF(B8=Results!B14,1+IF(OR($O8=1,$P8=1,$Q8=1),1,0),0))</f>
        <v/>
      </c>
      <c r="T8" s="4" t="str">
        <f>IF(OR(C8="",Results!C14=""),"",IF(C8=Results!C14,1+IF(OR($O8=2,$P8=2,$Q8=2),1,0),0))</f>
        <v/>
      </c>
      <c r="U8" s="4" t="str">
        <f>IF(OR(D8="",Results!D14=""),"",IF(D8=Results!D14,1+IF(OR($O8=3,$P8=3,$Q8=3),1,0),0))</f>
        <v/>
      </c>
      <c r="V8" s="4" t="str">
        <f>IF(OR(E8="",Results!E14=""),"",IF(E8=Results!E14,1+IF(OR($O8=4,$P8=4,$Q8=4),1,0),0))</f>
        <v/>
      </c>
      <c r="W8" s="4" t="str">
        <f>IF(OR(F8="",Results!F14=""),"",IF(F8=Results!F14,1+IF(OR($O8=5,$P8=5,$Q8=5),1,0),0))</f>
        <v/>
      </c>
      <c r="X8" s="4" t="str">
        <f>IF(OR(G8="",Results!G14=""),"",IF(G8=Results!G14,1+IF(OR($O8=6,$P8=6,$Q8=6),1,0),0))</f>
        <v/>
      </c>
      <c r="Y8" s="4" t="str">
        <f>IF(OR(H8="",Results!H14=""),"",IF(H8=Results!H14,1+IF(OR($O8=7,$P8=7,$Q8=7),1,0),0))</f>
        <v/>
      </c>
      <c r="Z8" s="4" t="str">
        <f>IF(OR(I8="",Results!I14=""),"",IF(I8=Results!I14,1+IF(OR($O8=8,$P8=8,$Q8=8),1,0),0))</f>
        <v/>
      </c>
      <c r="AA8" s="4" t="str">
        <f>IF(OR(J8="",Results!J14=""),"",IF(J8=Results!J14,1+IF(OR($O8=9,$P8=9,$Q8=9),1,0),0))</f>
        <v/>
      </c>
      <c r="AB8" s="4" t="str">
        <f>IF(OR(K8="",Results!K14=""),"",IF(K8=Results!K14,1+IF(OR($O8=10,$P8=10,$Q8=10),1,0),0))</f>
        <v/>
      </c>
      <c r="AC8" s="4" t="str">
        <f>IF(OR(L8="",Results!L14=""),"",IF(L8=Results!L14,1+IF(OR($O8=11,$P8=11,$Q8=11),1,0),0))</f>
        <v/>
      </c>
      <c r="AD8" s="4" t="str">
        <f>IF(OR(M8="",Results!M14=""),"",IF(M8=Results!M14,1+IF(OR($O8=12,$P8=12,$Q8=12),1,0),0))</f>
        <v/>
      </c>
      <c r="AE8" s="4" t="str">
        <f>IF(OR(N8="",Results!N14=""),"",IF(N8=Results!N14,1+IF(OR($O8=13,$P8=13,$Q8=13),1,0),0))</f>
        <v/>
      </c>
      <c r="AF8" s="11">
        <f t="shared" si="0"/>
        <v>0</v>
      </c>
      <c r="AG8" s="4" t="str">
        <f>IF(OR($R8="",Results!O14=""),"",ABS($R8-Results!O14))</f>
        <v/>
      </c>
      <c r="AH8" s="12">
        <v>61</v>
      </c>
      <c r="AI8" s="13" t="str">
        <f>IF(OR(B8="",Results!B14=""),"",IF(AND(B8=Results!B14,Results!B14&lt;&gt;Games!$C$122),1,0))</f>
        <v/>
      </c>
      <c r="AJ8" s="13" t="str">
        <f>IF(OR(C8="",Results!C14=""),"",IF(AND(C8=Results!C14,Results!C14&lt;&gt;Games!$C$123),1,0))</f>
        <v/>
      </c>
      <c r="AK8" s="13" t="str">
        <f>IF(OR(D8="",Results!D14=""),"",IF(AND(D8=Results!D14,Results!D14&lt;&gt;Games!$C$124),1,0))</f>
        <v/>
      </c>
      <c r="AL8" s="13" t="str">
        <f>IF(OR(E8="",Results!E14=""),"",IF(AND(E8=Results!E14,Results!E14&lt;&gt;Games!$C$125),1,0))</f>
        <v/>
      </c>
      <c r="AM8" s="13" t="str">
        <f>IF(OR(F8="",Results!F14=""),"",IF(AND(F8=Results!F14,Results!F14&lt;&gt;Games!$C$126),1,0))</f>
        <v/>
      </c>
      <c r="AN8" s="13" t="str">
        <f>IF(OR(G8="",Results!G14=""),"",IF(AND(G8=Results!G14,Results!G14&lt;&gt;Games!$C$127),1,0))</f>
        <v/>
      </c>
      <c r="AO8" s="13" t="str">
        <f>IF(OR(H8="",Results!H14=""),"",IF(AND(H8=Results!H14,Results!H14&lt;&gt;Games!$C$128),1,0))</f>
        <v/>
      </c>
      <c r="AP8" s="13" t="str">
        <f>IF(OR(I8="",Results!I14=""),"",IF(AND(I8=Results!I14,Results!I14&lt;&gt;Games!$C$129),1,0))</f>
        <v/>
      </c>
      <c r="AQ8" s="13" t="str">
        <f>IF(OR(J8="",Results!J14=""),"",IF(AND(J8=Results!J14,Results!J14&lt;&gt;Games!$C$130),1,0))</f>
        <v/>
      </c>
      <c r="AR8" s="13" t="str">
        <f>IF(OR(K8="",Results!K14=""),"",IF(AND(K8=Results!K14,Results!K14&lt;&gt;Games!$C$131),1,0))</f>
        <v/>
      </c>
      <c r="AS8" s="13" t="str">
        <f>IF(OR(L8="",Results!L14=""),"",IF(AND(L8=Results!L14,Results!L14&lt;&gt;Games!$C$132),1,0))</f>
        <v/>
      </c>
      <c r="AT8" s="13" t="str">
        <f>IF(OR(M8="",Results!M14=""),"",IF(AND(M8=Results!M14,Results!M14&lt;&gt;Games!$C$133),1,0))</f>
        <v/>
      </c>
      <c r="AU8" s="13" t="str">
        <f>IF(OR(N8="",Results!N14=""),"",IF(AND(N8=Results!N14,Results!N14&lt;&gt;Games!$C$134),1,0))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IF(OR(B9="",Results!B14=""),"",IF(B9=Results!B14,1+IF(OR($O9=1,$P9=1,$Q9=1),1,0),0))</f>
        <v/>
      </c>
      <c r="T9" s="4" t="str">
        <f>IF(OR(C9="",Results!C14=""),"",IF(C9=Results!C14,1+IF(OR($O9=2,$P9=2,$Q9=2),1,0),0))</f>
        <v/>
      </c>
      <c r="U9" s="4" t="str">
        <f>IF(OR(D9="",Results!D14=""),"",IF(D9=Results!D14,1+IF(OR($O9=3,$P9=3,$Q9=3),1,0),0))</f>
        <v/>
      </c>
      <c r="V9" s="4" t="str">
        <f>IF(OR(E9="",Results!E14=""),"",IF(E9=Results!E14,1+IF(OR($O9=4,$P9=4,$Q9=4),1,0),0))</f>
        <v/>
      </c>
      <c r="W9" s="4" t="str">
        <f>IF(OR(F9="",Results!F14=""),"",IF(F9=Results!F14,1+IF(OR($O9=5,$P9=5,$Q9=5),1,0),0))</f>
        <v/>
      </c>
      <c r="X9" s="4" t="str">
        <f>IF(OR(G9="",Results!G14=""),"",IF(G9=Results!G14,1+IF(OR($O9=6,$P9=6,$Q9=6),1,0),0))</f>
        <v/>
      </c>
      <c r="Y9" s="4" t="str">
        <f>IF(OR(H9="",Results!H14=""),"",IF(H9=Results!H14,1+IF(OR($O9=7,$P9=7,$Q9=7),1,0),0))</f>
        <v/>
      </c>
      <c r="Z9" s="4" t="str">
        <f>IF(OR(I9="",Results!I14=""),"",IF(I9=Results!I14,1+IF(OR($O9=8,$P9=8,$Q9=8),1,0),0))</f>
        <v/>
      </c>
      <c r="AA9" s="4" t="str">
        <f>IF(OR(J9="",Results!J14=""),"",IF(J9=Results!J14,1+IF(OR($O9=9,$P9=9,$Q9=9),1,0),0))</f>
        <v/>
      </c>
      <c r="AB9" s="4" t="str">
        <f>IF(OR(K9="",Results!K14=""),"",IF(K9=Results!K14,1+IF(OR($O9=10,$P9=10,$Q9=10),1,0),0))</f>
        <v/>
      </c>
      <c r="AC9" s="4" t="str">
        <f>IF(OR(L9="",Results!L14=""),"",IF(L9=Results!L14,1+IF(OR($O9=11,$P9=11,$Q9=11),1,0),0))</f>
        <v/>
      </c>
      <c r="AD9" s="4" t="str">
        <f>IF(OR(M9="",Results!M14=""),"",IF(M9=Results!M14,1+IF(OR($O9=12,$P9=12,$Q9=12),1,0),0))</f>
        <v/>
      </c>
      <c r="AE9" s="4" t="str">
        <f>IF(OR(N9="",Results!N14=""),"",IF(N9=Results!N14,1+IF(OR($O9=13,$P9=13,$Q9=13),1,0),0))</f>
        <v/>
      </c>
      <c r="AF9" s="11">
        <f t="shared" si="0"/>
        <v>0</v>
      </c>
      <c r="AG9" s="4" t="str">
        <f>IF(OR($R9="",Results!O14=""),"",ABS($R9-Results!O14))</f>
        <v/>
      </c>
      <c r="AH9" s="12">
        <v>41</v>
      </c>
      <c r="AI9" s="13" t="str">
        <f>IF(OR(B9="",Results!B14=""),"",IF(AND(B9=Results!B14,Results!B14&lt;&gt;Games!$C$122),1,0))</f>
        <v/>
      </c>
      <c r="AJ9" s="13" t="str">
        <f>IF(OR(C9="",Results!C14=""),"",IF(AND(C9=Results!C14,Results!C14&lt;&gt;Games!$C$123),1,0))</f>
        <v/>
      </c>
      <c r="AK9" s="13" t="str">
        <f>IF(OR(D9="",Results!D14=""),"",IF(AND(D9=Results!D14,Results!D14&lt;&gt;Games!$C$124),1,0))</f>
        <v/>
      </c>
      <c r="AL9" s="13" t="str">
        <f>IF(OR(E9="",Results!E14=""),"",IF(AND(E9=Results!E14,Results!E14&lt;&gt;Games!$C$125),1,0))</f>
        <v/>
      </c>
      <c r="AM9" s="13" t="str">
        <f>IF(OR(F9="",Results!F14=""),"",IF(AND(F9=Results!F14,Results!F14&lt;&gt;Games!$C$126),1,0))</f>
        <v/>
      </c>
      <c r="AN9" s="13" t="str">
        <f>IF(OR(G9="",Results!G14=""),"",IF(AND(G9=Results!G14,Results!G14&lt;&gt;Games!$C$127),1,0))</f>
        <v/>
      </c>
      <c r="AO9" s="13" t="str">
        <f>IF(OR(H9="",Results!H14=""),"",IF(AND(H9=Results!H14,Results!H14&lt;&gt;Games!$C$128),1,0))</f>
        <v/>
      </c>
      <c r="AP9" s="13" t="str">
        <f>IF(OR(I9="",Results!I14=""),"",IF(AND(I9=Results!I14,Results!I14&lt;&gt;Games!$C$129),1,0))</f>
        <v/>
      </c>
      <c r="AQ9" s="13" t="str">
        <f>IF(OR(J9="",Results!J14=""),"",IF(AND(J9=Results!J14,Results!J14&lt;&gt;Games!$C$130),1,0))</f>
        <v/>
      </c>
      <c r="AR9" s="13" t="str">
        <f>IF(OR(K9="",Results!K14=""),"",IF(AND(K9=Results!K14,Results!K14&lt;&gt;Games!$C$131),1,0))</f>
        <v/>
      </c>
      <c r="AS9" s="13" t="str">
        <f>IF(OR(L9="",Results!L14=""),"",IF(AND(L9=Results!L14,Results!L14&lt;&gt;Games!$C$132),1,0))</f>
        <v/>
      </c>
      <c r="AT9" s="13" t="str">
        <f>IF(OR(M9="",Results!M14=""),"",IF(AND(M9=Results!M14,Results!M14&lt;&gt;Games!$C$133),1,0))</f>
        <v/>
      </c>
      <c r="AU9" s="13" t="str">
        <f>IF(OR(N9="",Results!N14=""),"",IF(AND(N9=Results!N14,Results!N14&lt;&gt;Games!$C$134),1,0))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tr">
        <f>IF(OR(B10="",Results!B14=""),"",IF(B10=Results!B14,1+IF(OR($O10=1,$P10=1,$Q10=1),1,0),0))</f>
        <v/>
      </c>
      <c r="T10" s="4" t="str">
        <f>IF(OR(C10="",Results!C14=""),"",IF(C10=Results!C14,1+IF(OR($O10=2,$P10=2,$Q10=2),1,0),0))</f>
        <v/>
      </c>
      <c r="U10" s="4" t="str">
        <f>IF(OR(D10="",Results!D14=""),"",IF(D10=Results!D14,1+IF(OR($O10=3,$P10=3,$Q10=3),1,0),0))</f>
        <v/>
      </c>
      <c r="V10" s="4" t="str">
        <f>IF(OR(E10="",Results!E14=""),"",IF(E10=Results!E14,1+IF(OR($O10=4,$P10=4,$Q10=4),1,0),0))</f>
        <v/>
      </c>
      <c r="W10" s="4" t="str">
        <f>IF(OR(F10="",Results!F14=""),"",IF(F10=Results!F14,1+IF(OR($O10=5,$P10=5,$Q10=5),1,0),0))</f>
        <v/>
      </c>
      <c r="X10" s="4" t="str">
        <f>IF(OR(G10="",Results!G14=""),"",IF(G10=Results!G14,1+IF(OR($O10=6,$P10=6,$Q10=6),1,0),0))</f>
        <v/>
      </c>
      <c r="Y10" s="4" t="str">
        <f>IF(OR(H10="",Results!H14=""),"",IF(H10=Results!H14,1+IF(OR($O10=7,$P10=7,$Q10=7),1,0),0))</f>
        <v/>
      </c>
      <c r="Z10" s="4" t="str">
        <f>IF(OR(I10="",Results!I14=""),"",IF(I10=Results!I14,1+IF(OR($O10=8,$P10=8,$Q10=8),1,0),0))</f>
        <v/>
      </c>
      <c r="AA10" s="4" t="str">
        <f>IF(OR(J10="",Results!J14=""),"",IF(J10=Results!J14,1+IF(OR($O10=9,$P10=9,$Q10=9),1,0),0))</f>
        <v/>
      </c>
      <c r="AB10" s="4" t="str">
        <f>IF(OR(K10="",Results!K14=""),"",IF(K10=Results!K14,1+IF(OR($O10=10,$P10=10,$Q10=10),1,0),0))</f>
        <v/>
      </c>
      <c r="AC10" s="4" t="str">
        <f>IF(OR(L10="",Results!L14=""),"",IF(L10=Results!L14,1+IF(OR($O10=11,$P10=11,$Q10=11),1,0),0))</f>
        <v/>
      </c>
      <c r="AD10" s="4" t="str">
        <f>IF(OR(M10="",Results!M14=""),"",IF(M10=Results!M14,1+IF(OR($O10=12,$P10=12,$Q10=12),1,0),0))</f>
        <v/>
      </c>
      <c r="AE10" s="4" t="str">
        <f>IF(OR(N10="",Results!N14=""),"",IF(N10=Results!N14,1+IF(OR($O10=13,$P10=13,$Q10=13),1,0),0))</f>
        <v/>
      </c>
      <c r="AF10" s="11">
        <f t="shared" si="0"/>
        <v>0</v>
      </c>
      <c r="AG10" s="4" t="str">
        <f>IF(OR($R10="",Results!O14=""),"",ABS($R10-Results!O14))</f>
        <v/>
      </c>
      <c r="AH10" s="12">
        <v>3</v>
      </c>
      <c r="AI10" s="13" t="str">
        <f>IF(OR(B10="",Results!B14=""),"",IF(AND(B10=Results!B14,Results!B14&lt;&gt;Games!$C$122),1,0))</f>
        <v/>
      </c>
      <c r="AJ10" s="13" t="str">
        <f>IF(OR(C10="",Results!C14=""),"",IF(AND(C10=Results!C14,Results!C14&lt;&gt;Games!$C$123),1,0))</f>
        <v/>
      </c>
      <c r="AK10" s="13" t="str">
        <f>IF(OR(D10="",Results!D14=""),"",IF(AND(D10=Results!D14,Results!D14&lt;&gt;Games!$C$124),1,0))</f>
        <v/>
      </c>
      <c r="AL10" s="13" t="str">
        <f>IF(OR(E10="",Results!E14=""),"",IF(AND(E10=Results!E14,Results!E14&lt;&gt;Games!$C$125),1,0))</f>
        <v/>
      </c>
      <c r="AM10" s="13" t="str">
        <f>IF(OR(F10="",Results!F14=""),"",IF(AND(F10=Results!F14,Results!F14&lt;&gt;Games!$C$126),1,0))</f>
        <v/>
      </c>
      <c r="AN10" s="13" t="str">
        <f>IF(OR(G10="",Results!G14=""),"",IF(AND(G10=Results!G14,Results!G14&lt;&gt;Games!$C$127),1,0))</f>
        <v/>
      </c>
      <c r="AO10" s="13" t="str">
        <f>IF(OR(H10="",Results!H14=""),"",IF(AND(H10=Results!H14,Results!H14&lt;&gt;Games!$C$128),1,0))</f>
        <v/>
      </c>
      <c r="AP10" s="13" t="str">
        <f>IF(OR(I10="",Results!I14=""),"",IF(AND(I10=Results!I14,Results!I14&lt;&gt;Games!$C$129),1,0))</f>
        <v/>
      </c>
      <c r="AQ10" s="13" t="str">
        <f>IF(OR(J10="",Results!J14=""),"",IF(AND(J10=Results!J14,Results!J14&lt;&gt;Games!$C$130),1,0))</f>
        <v/>
      </c>
      <c r="AR10" s="13" t="str">
        <f>IF(OR(K10="",Results!K14=""),"",IF(AND(K10=Results!K14,Results!K14&lt;&gt;Games!$C$131),1,0))</f>
        <v/>
      </c>
      <c r="AS10" s="13" t="str">
        <f>IF(OR(L10="",Results!L14=""),"",IF(AND(L10=Results!L14,Results!L14&lt;&gt;Games!$C$132),1,0))</f>
        <v/>
      </c>
      <c r="AT10" s="13" t="str">
        <f>IF(OR(M10="",Results!M14=""),"",IF(AND(M10=Results!M14,Results!M14&lt;&gt;Games!$C$133),1,0))</f>
        <v/>
      </c>
      <c r="AU10" s="13" t="str">
        <f>IF(OR(N10="",Results!N14=""),"",IF(AND(N10=Results!N14,Results!N14&lt;&gt;Games!$C$134),1,0))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IF(OR(B11="",Results!B14=""),"",IF(B11=Results!B14,1+IF(OR($O11=1,$P11=1,$Q11=1),1,0),0))</f>
        <v/>
      </c>
      <c r="T11" s="4" t="str">
        <f>IF(OR(C11="",Results!C14=""),"",IF(C11=Results!C14,1+IF(OR($O11=2,$P11=2,$Q11=2),1,0),0))</f>
        <v/>
      </c>
      <c r="U11" s="4" t="str">
        <f>IF(OR(D11="",Results!D14=""),"",IF(D11=Results!D14,1+IF(OR($O11=3,$P11=3,$Q11=3),1,0),0))</f>
        <v/>
      </c>
      <c r="V11" s="4" t="str">
        <f>IF(OR(E11="",Results!E14=""),"",IF(E11=Results!E14,1+IF(OR($O11=4,$P11=4,$Q11=4),1,0),0))</f>
        <v/>
      </c>
      <c r="W11" s="4" t="str">
        <f>IF(OR(F11="",Results!F14=""),"",IF(F11=Results!F14,1+IF(OR($O11=5,$P11=5,$Q11=5),1,0),0))</f>
        <v/>
      </c>
      <c r="X11" s="4" t="str">
        <f>IF(OR(G11="",Results!G14=""),"",IF(G11=Results!G14,1+IF(OR($O11=6,$P11=6,$Q11=6),1,0),0))</f>
        <v/>
      </c>
      <c r="Y11" s="4" t="str">
        <f>IF(OR(H11="",Results!H14=""),"",IF(H11=Results!H14,1+IF(OR($O11=7,$P11=7,$Q11=7),1,0),0))</f>
        <v/>
      </c>
      <c r="Z11" s="4" t="str">
        <f>IF(OR(I11="",Results!I14=""),"",IF(I11=Results!I14,1+IF(OR($O11=8,$P11=8,$Q11=8),1,0),0))</f>
        <v/>
      </c>
      <c r="AA11" s="4" t="str">
        <f>IF(OR(J11="",Results!J14=""),"",IF(J11=Results!J14,1+IF(OR($O11=9,$P11=9,$Q11=9),1,0),0))</f>
        <v/>
      </c>
      <c r="AB11" s="4" t="str">
        <f>IF(OR(K11="",Results!K14=""),"",IF(K11=Results!K14,1+IF(OR($O11=10,$P11=10,$Q11=10),1,0),0))</f>
        <v/>
      </c>
      <c r="AC11" s="4" t="str">
        <f>IF(OR(L11="",Results!L14=""),"",IF(L11=Results!L14,1+IF(OR($O11=11,$P11=11,$Q11=11),1,0),0))</f>
        <v/>
      </c>
      <c r="AD11" s="4" t="str">
        <f>IF(OR(M11="",Results!M14=""),"",IF(M11=Results!M14,1+IF(OR($O11=12,$P11=12,$Q11=12),1,0),0))</f>
        <v/>
      </c>
      <c r="AE11" s="4" t="str">
        <f>IF(OR(N11="",Results!N14=""),"",IF(N11=Results!N14,1+IF(OR($O11=13,$P11=13,$Q11=13),1,0),0))</f>
        <v/>
      </c>
      <c r="AF11" s="11">
        <f t="shared" si="0"/>
        <v>0</v>
      </c>
      <c r="AG11" s="4" t="str">
        <f>IF(OR($R11="",Results!O14=""),"",ABS($R11-Results!O14))</f>
        <v/>
      </c>
      <c r="AH11" s="12">
        <v>58</v>
      </c>
      <c r="AI11" s="13" t="str">
        <f>IF(OR(B11="",Results!B14=""),"",IF(AND(B11=Results!B14,Results!B14&lt;&gt;Games!$C$122),1,0))</f>
        <v/>
      </c>
      <c r="AJ11" s="13" t="str">
        <f>IF(OR(C11="",Results!C14=""),"",IF(AND(C11=Results!C14,Results!C14&lt;&gt;Games!$C$123),1,0))</f>
        <v/>
      </c>
      <c r="AK11" s="13" t="str">
        <f>IF(OR(D11="",Results!D14=""),"",IF(AND(D11=Results!D14,Results!D14&lt;&gt;Games!$C$124),1,0))</f>
        <v/>
      </c>
      <c r="AL11" s="13" t="str">
        <f>IF(OR(E11="",Results!E14=""),"",IF(AND(E11=Results!E14,Results!E14&lt;&gt;Games!$C$125),1,0))</f>
        <v/>
      </c>
      <c r="AM11" s="13" t="str">
        <f>IF(OR(F11="",Results!F14=""),"",IF(AND(F11=Results!F14,Results!F14&lt;&gt;Games!$C$126),1,0))</f>
        <v/>
      </c>
      <c r="AN11" s="13" t="str">
        <f>IF(OR(G11="",Results!G14=""),"",IF(AND(G11=Results!G14,Results!G14&lt;&gt;Games!$C$127),1,0))</f>
        <v/>
      </c>
      <c r="AO11" s="13" t="str">
        <f>IF(OR(H11="",Results!H14=""),"",IF(AND(H11=Results!H14,Results!H14&lt;&gt;Games!$C$128),1,0))</f>
        <v/>
      </c>
      <c r="AP11" s="13" t="str">
        <f>IF(OR(I11="",Results!I14=""),"",IF(AND(I11=Results!I14,Results!I14&lt;&gt;Games!$C$129),1,0))</f>
        <v/>
      </c>
      <c r="AQ11" s="13" t="str">
        <f>IF(OR(J11="",Results!J14=""),"",IF(AND(J11=Results!J14,Results!J14&lt;&gt;Games!$C$130),1,0))</f>
        <v/>
      </c>
      <c r="AR11" s="13" t="str">
        <f>IF(OR(K11="",Results!K14=""),"",IF(AND(K11=Results!K14,Results!K14&lt;&gt;Games!$C$131),1,0))</f>
        <v/>
      </c>
      <c r="AS11" s="13" t="str">
        <f>IF(OR(L11="",Results!L14=""),"",IF(AND(L11=Results!L14,Results!L14&lt;&gt;Games!$C$132),1,0))</f>
        <v/>
      </c>
      <c r="AT11" s="13" t="str">
        <f>IF(OR(M11="",Results!M14=""),"",IF(AND(M11=Results!M14,Results!M14&lt;&gt;Games!$C$133),1,0))</f>
        <v/>
      </c>
      <c r="AU11" s="13" t="str">
        <f>IF(OR(N11="",Results!N14=""),"",IF(AND(N11=Results!N14,Results!N14&lt;&gt;Games!$C$134),1,0))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 t="str">
        <f>IF(OR(B12="",Results!B14=""),"",IF(B12=Results!B14,1+IF(OR($O12=1,$P12=1,$Q12=1),1,0),0))</f>
        <v/>
      </c>
      <c r="T12" s="4" t="str">
        <f>IF(OR(C12="",Results!C14=""),"",IF(C12=Results!C14,1+IF(OR($O12=2,$P12=2,$Q12=2),1,0),0))</f>
        <v/>
      </c>
      <c r="U12" s="4" t="str">
        <f>IF(OR(D12="",Results!D14=""),"",IF(D12=Results!D14,1+IF(OR($O12=3,$P12=3,$Q12=3),1,0),0))</f>
        <v/>
      </c>
      <c r="V12" s="4" t="str">
        <f>IF(OR(E12="",Results!E14=""),"",IF(E12=Results!E14,1+IF(OR($O12=4,$P12=4,$Q12=4),1,0),0))</f>
        <v/>
      </c>
      <c r="W12" s="4" t="str">
        <f>IF(OR(F12="",Results!F14=""),"",IF(F12=Results!F14,1+IF(OR($O12=5,$P12=5,$Q12=5),1,0),0))</f>
        <v/>
      </c>
      <c r="X12" s="4" t="str">
        <f>IF(OR(G12="",Results!G14=""),"",IF(G12=Results!G14,1+IF(OR($O12=6,$P12=6,$Q12=6),1,0),0))</f>
        <v/>
      </c>
      <c r="Y12" s="4" t="str">
        <f>IF(OR(H12="",Results!H14=""),"",IF(H12=Results!H14,1+IF(OR($O12=7,$P12=7,$Q12=7),1,0),0))</f>
        <v/>
      </c>
      <c r="Z12" s="4" t="str">
        <f>IF(OR(I12="",Results!I14=""),"",IF(I12=Results!I14,1+IF(OR($O12=8,$P12=8,$Q12=8),1,0),0))</f>
        <v/>
      </c>
      <c r="AA12" s="4" t="str">
        <f>IF(OR(J12="",Results!J14=""),"",IF(J12=Results!J14,1+IF(OR($O12=9,$P12=9,$Q12=9),1,0),0))</f>
        <v/>
      </c>
      <c r="AB12" s="4" t="str">
        <f>IF(OR(K12="",Results!K14=""),"",IF(K12=Results!K14,1+IF(OR($O12=10,$P12=10,$Q12=10),1,0),0))</f>
        <v/>
      </c>
      <c r="AC12" s="4" t="str">
        <f>IF(OR(L12="",Results!L14=""),"",IF(L12=Results!L14,1+IF(OR($O12=11,$P12=11,$Q12=11),1,0),0))</f>
        <v/>
      </c>
      <c r="AD12" s="4" t="str">
        <f>IF(OR(M12="",Results!M14=""),"",IF(M12=Results!M14,1+IF(OR($O12=12,$P12=12,$Q12=12),1,0),0))</f>
        <v/>
      </c>
      <c r="AE12" s="4" t="str">
        <f>IF(OR(N12="",Results!N14=""),"",IF(N12=Results!N14,1+IF(OR($O12=13,$P12=13,$Q12=13),1,0),0))</f>
        <v/>
      </c>
      <c r="AF12" s="11">
        <f t="shared" si="0"/>
        <v>0</v>
      </c>
      <c r="AG12" s="4" t="str">
        <f>IF(OR($R12="",Results!O14=""),"",ABS($R12-Results!O14))</f>
        <v/>
      </c>
      <c r="AH12" s="12">
        <v>4</v>
      </c>
      <c r="AI12" s="13" t="str">
        <f>IF(OR(B12="",Results!B14=""),"",IF(AND(B12=Results!B14,Results!B14&lt;&gt;Games!$C$122),1,0))</f>
        <v/>
      </c>
      <c r="AJ12" s="13" t="str">
        <f>IF(OR(C12="",Results!C14=""),"",IF(AND(C12=Results!C14,Results!C14&lt;&gt;Games!$C$123),1,0))</f>
        <v/>
      </c>
      <c r="AK12" s="13" t="str">
        <f>IF(OR(D12="",Results!D14=""),"",IF(AND(D12=Results!D14,Results!D14&lt;&gt;Games!$C$124),1,0))</f>
        <v/>
      </c>
      <c r="AL12" s="13" t="str">
        <f>IF(OR(E12="",Results!E14=""),"",IF(AND(E12=Results!E14,Results!E14&lt;&gt;Games!$C$125),1,0))</f>
        <v/>
      </c>
      <c r="AM12" s="13" t="str">
        <f>IF(OR(F12="",Results!F14=""),"",IF(AND(F12=Results!F14,Results!F14&lt;&gt;Games!$C$126),1,0))</f>
        <v/>
      </c>
      <c r="AN12" s="13" t="str">
        <f>IF(OR(G12="",Results!G14=""),"",IF(AND(G12=Results!G14,Results!G14&lt;&gt;Games!$C$127),1,0))</f>
        <v/>
      </c>
      <c r="AO12" s="13" t="str">
        <f>IF(OR(H12="",Results!H14=""),"",IF(AND(H12=Results!H14,Results!H14&lt;&gt;Games!$C$128),1,0))</f>
        <v/>
      </c>
      <c r="AP12" s="13" t="str">
        <f>IF(OR(I12="",Results!I14=""),"",IF(AND(I12=Results!I14,Results!I14&lt;&gt;Games!$C$129),1,0))</f>
        <v/>
      </c>
      <c r="AQ12" s="13" t="str">
        <f>IF(OR(J12="",Results!J14=""),"",IF(AND(J12=Results!J14,Results!J14&lt;&gt;Games!$C$130),1,0))</f>
        <v/>
      </c>
      <c r="AR12" s="13" t="str">
        <f>IF(OR(K12="",Results!K14=""),"",IF(AND(K12=Results!K14,Results!K14&lt;&gt;Games!$C$131),1,0))</f>
        <v/>
      </c>
      <c r="AS12" s="13" t="str">
        <f>IF(OR(L12="",Results!L14=""),"",IF(AND(L12=Results!L14,Results!L14&lt;&gt;Games!$C$132),1,0))</f>
        <v/>
      </c>
      <c r="AT12" s="13" t="str">
        <f>IF(OR(M12="",Results!M14=""),"",IF(AND(M12=Results!M14,Results!M14&lt;&gt;Games!$C$133),1,0))</f>
        <v/>
      </c>
      <c r="AU12" s="13" t="str">
        <f>IF(OR(N12="",Results!N14=""),"",IF(AND(N12=Results!N14,Results!N14&lt;&gt;Games!$C$134),1,0))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IF(OR(B13="",Results!B14=""),"",IF(B13=Results!B14,1+IF(OR($O13=1,$P13=1,$Q13=1),1,0),0))</f>
        <v/>
      </c>
      <c r="T13" s="4" t="str">
        <f>IF(OR(C13="",Results!C14=""),"",IF(C13=Results!C14,1+IF(OR($O13=2,$P13=2,$Q13=2),1,0),0))</f>
        <v/>
      </c>
      <c r="U13" s="4" t="str">
        <f>IF(OR(D13="",Results!D14=""),"",IF(D13=Results!D14,1+IF(OR($O13=3,$P13=3,$Q13=3),1,0),0))</f>
        <v/>
      </c>
      <c r="V13" s="4" t="str">
        <f>IF(OR(E13="",Results!E14=""),"",IF(E13=Results!E14,1+IF(OR($O13=4,$P13=4,$Q13=4),1,0),0))</f>
        <v/>
      </c>
      <c r="W13" s="4" t="str">
        <f>IF(OR(F13="",Results!F14=""),"",IF(F13=Results!F14,1+IF(OR($O13=5,$P13=5,$Q13=5),1,0),0))</f>
        <v/>
      </c>
      <c r="X13" s="4" t="str">
        <f>IF(OR(G13="",Results!G14=""),"",IF(G13=Results!G14,1+IF(OR($O13=6,$P13=6,$Q13=6),1,0),0))</f>
        <v/>
      </c>
      <c r="Y13" s="4" t="str">
        <f>IF(OR(H13="",Results!H14=""),"",IF(H13=Results!H14,1+IF(OR($O13=7,$P13=7,$Q13=7),1,0),0))</f>
        <v/>
      </c>
      <c r="Z13" s="4" t="str">
        <f>IF(OR(I13="",Results!I14=""),"",IF(I13=Results!I14,1+IF(OR($O13=8,$P13=8,$Q13=8),1,0),0))</f>
        <v/>
      </c>
      <c r="AA13" s="4" t="str">
        <f>IF(OR(J13="",Results!J14=""),"",IF(J13=Results!J14,1+IF(OR($O13=9,$P13=9,$Q13=9),1,0),0))</f>
        <v/>
      </c>
      <c r="AB13" s="4" t="str">
        <f>IF(OR(K13="",Results!K14=""),"",IF(K13=Results!K14,1+IF(OR($O13=10,$P13=10,$Q13=10),1,0),0))</f>
        <v/>
      </c>
      <c r="AC13" s="4" t="str">
        <f>IF(OR(L13="",Results!L14=""),"",IF(L13=Results!L14,1+IF(OR($O13=11,$P13=11,$Q13=11),1,0),0))</f>
        <v/>
      </c>
      <c r="AD13" s="4" t="str">
        <f>IF(OR(M13="",Results!M14=""),"",IF(M13=Results!M14,1+IF(OR($O13=12,$P13=12,$Q13=12),1,0),0))</f>
        <v/>
      </c>
      <c r="AE13" s="4" t="str">
        <f>IF(OR(N13="",Results!N14=""),"",IF(N13=Results!N14,1+IF(OR($O13=13,$P13=13,$Q13=13),1,0),0))</f>
        <v/>
      </c>
      <c r="AF13" s="11">
        <f t="shared" si="0"/>
        <v>0</v>
      </c>
      <c r="AG13" s="4" t="str">
        <f>IF(OR($R13="",Results!O14=""),"",ABS($R13-Results!O14))</f>
        <v/>
      </c>
      <c r="AH13" s="12">
        <v>57</v>
      </c>
      <c r="AI13" s="13" t="str">
        <f>IF(OR(B13="",Results!B14=""),"",IF(AND(B13=Results!B14,Results!B14&lt;&gt;Games!$C$122),1,0))</f>
        <v/>
      </c>
      <c r="AJ13" s="13" t="str">
        <f>IF(OR(C13="",Results!C14=""),"",IF(AND(C13=Results!C14,Results!C14&lt;&gt;Games!$C$123),1,0))</f>
        <v/>
      </c>
      <c r="AK13" s="13" t="str">
        <f>IF(OR(D13="",Results!D14=""),"",IF(AND(D13=Results!D14,Results!D14&lt;&gt;Games!$C$124),1,0))</f>
        <v/>
      </c>
      <c r="AL13" s="13" t="str">
        <f>IF(OR(E13="",Results!E14=""),"",IF(AND(E13=Results!E14,Results!E14&lt;&gt;Games!$C$125),1,0))</f>
        <v/>
      </c>
      <c r="AM13" s="13" t="str">
        <f>IF(OR(F13="",Results!F14=""),"",IF(AND(F13=Results!F14,Results!F14&lt;&gt;Games!$C$126),1,0))</f>
        <v/>
      </c>
      <c r="AN13" s="13" t="str">
        <f>IF(OR(G13="",Results!G14=""),"",IF(AND(G13=Results!G14,Results!G14&lt;&gt;Games!$C$127),1,0))</f>
        <v/>
      </c>
      <c r="AO13" s="13" t="str">
        <f>IF(OR(H13="",Results!H14=""),"",IF(AND(H13=Results!H14,Results!H14&lt;&gt;Games!$C$128),1,0))</f>
        <v/>
      </c>
      <c r="AP13" s="13" t="str">
        <f>IF(OR(I13="",Results!I14=""),"",IF(AND(I13=Results!I14,Results!I14&lt;&gt;Games!$C$129),1,0))</f>
        <v/>
      </c>
      <c r="AQ13" s="13" t="str">
        <f>IF(OR(J13="",Results!J14=""),"",IF(AND(J13=Results!J14,Results!J14&lt;&gt;Games!$C$130),1,0))</f>
        <v/>
      </c>
      <c r="AR13" s="13" t="str">
        <f>IF(OR(K13="",Results!K14=""),"",IF(AND(K13=Results!K14,Results!K14&lt;&gt;Games!$C$131),1,0))</f>
        <v/>
      </c>
      <c r="AS13" s="13" t="str">
        <f>IF(OR(L13="",Results!L14=""),"",IF(AND(L13=Results!L14,Results!L14&lt;&gt;Games!$C$132),1,0))</f>
        <v/>
      </c>
      <c r="AT13" s="13" t="str">
        <f>IF(OR(M13="",Results!M14=""),"",IF(AND(M13=Results!M14,Results!M14&lt;&gt;Games!$C$133),1,0))</f>
        <v/>
      </c>
      <c r="AU13" s="13" t="str">
        <f>IF(OR(N13="",Results!N14=""),"",IF(AND(N13=Results!N14,Results!N14&lt;&gt;Games!$C$134),1,0))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 t="str">
        <f>IF(OR(B14="",Results!B14=""),"",IF(B14=Results!B14,1+IF(OR($O14=1,$P14=1,$Q14=1),1,0),0))</f>
        <v/>
      </c>
      <c r="T14" s="4" t="str">
        <f>IF(OR(C14="",Results!C14=""),"",IF(C14=Results!C14,1+IF(OR($O14=2,$P14=2,$Q14=2),1,0),0))</f>
        <v/>
      </c>
      <c r="U14" s="4" t="str">
        <f>IF(OR(D14="",Results!D14=""),"",IF(D14=Results!D14,1+IF(OR($O14=3,$P14=3,$Q14=3),1,0),0))</f>
        <v/>
      </c>
      <c r="V14" s="4" t="str">
        <f>IF(OR(E14="",Results!E14=""),"",IF(E14=Results!E14,1+IF(OR($O14=4,$P14=4,$Q14=4),1,0),0))</f>
        <v/>
      </c>
      <c r="W14" s="4" t="str">
        <f>IF(OR(F14="",Results!F14=""),"",IF(F14=Results!F14,1+IF(OR($O14=5,$P14=5,$Q14=5),1,0),0))</f>
        <v/>
      </c>
      <c r="X14" s="4" t="str">
        <f>IF(OR(G14="",Results!G14=""),"",IF(G14=Results!G14,1+IF(OR($O14=6,$P14=6,$Q14=6),1,0),0))</f>
        <v/>
      </c>
      <c r="Y14" s="4" t="str">
        <f>IF(OR(H14="",Results!H14=""),"",IF(H14=Results!H14,1+IF(OR($O14=7,$P14=7,$Q14=7),1,0),0))</f>
        <v/>
      </c>
      <c r="Z14" s="4" t="str">
        <f>IF(OR(I14="",Results!I14=""),"",IF(I14=Results!I14,1+IF(OR($O14=8,$P14=8,$Q14=8),1,0),0))</f>
        <v/>
      </c>
      <c r="AA14" s="4" t="str">
        <f>IF(OR(J14="",Results!J14=""),"",IF(J14=Results!J14,1+IF(OR($O14=9,$P14=9,$Q14=9),1,0),0))</f>
        <v/>
      </c>
      <c r="AB14" s="4" t="str">
        <f>IF(OR(K14="",Results!K14=""),"",IF(K14=Results!K14,1+IF(OR($O14=10,$P14=10,$Q14=10),1,0),0))</f>
        <v/>
      </c>
      <c r="AC14" s="4" t="str">
        <f>IF(OR(L14="",Results!L14=""),"",IF(L14=Results!L14,1+IF(OR($O14=11,$P14=11,$Q14=11),1,0),0))</f>
        <v/>
      </c>
      <c r="AD14" s="4" t="str">
        <f>IF(OR(M14="",Results!M14=""),"",IF(M14=Results!M14,1+IF(OR($O14=12,$P14=12,$Q14=12),1,0),0))</f>
        <v/>
      </c>
      <c r="AE14" s="4" t="str">
        <f>IF(OR(N14="",Results!N14=""),"",IF(N14=Results!N14,1+IF(OR($O14=13,$P14=13,$Q14=13),1,0),0))</f>
        <v/>
      </c>
      <c r="AF14" s="11">
        <f t="shared" si="0"/>
        <v>0</v>
      </c>
      <c r="AG14" s="4" t="str">
        <f>IF(OR($R14="",Results!O14=""),"",ABS($R14-Results!O14))</f>
        <v/>
      </c>
      <c r="AH14" s="12">
        <v>6</v>
      </c>
      <c r="AI14" s="13" t="str">
        <f>IF(OR(B14="",Results!B14=""),"",IF(AND(B14=Results!B14,Results!B14&lt;&gt;Games!$C$122),1,0))</f>
        <v/>
      </c>
      <c r="AJ14" s="13" t="str">
        <f>IF(OR(C14="",Results!C14=""),"",IF(AND(C14=Results!C14,Results!C14&lt;&gt;Games!$C$123),1,0))</f>
        <v/>
      </c>
      <c r="AK14" s="13" t="str">
        <f>IF(OR(D14="",Results!D14=""),"",IF(AND(D14=Results!D14,Results!D14&lt;&gt;Games!$C$124),1,0))</f>
        <v/>
      </c>
      <c r="AL14" s="13" t="str">
        <f>IF(OR(E14="",Results!E14=""),"",IF(AND(E14=Results!E14,Results!E14&lt;&gt;Games!$C$125),1,0))</f>
        <v/>
      </c>
      <c r="AM14" s="13" t="str">
        <f>IF(OR(F14="",Results!F14=""),"",IF(AND(F14=Results!F14,Results!F14&lt;&gt;Games!$C$126),1,0))</f>
        <v/>
      </c>
      <c r="AN14" s="13" t="str">
        <f>IF(OR(G14="",Results!G14=""),"",IF(AND(G14=Results!G14,Results!G14&lt;&gt;Games!$C$127),1,0))</f>
        <v/>
      </c>
      <c r="AO14" s="13" t="str">
        <f>IF(OR(H14="",Results!H14=""),"",IF(AND(H14=Results!H14,Results!H14&lt;&gt;Games!$C$128),1,0))</f>
        <v/>
      </c>
      <c r="AP14" s="13" t="str">
        <f>IF(OR(I14="",Results!I14=""),"",IF(AND(I14=Results!I14,Results!I14&lt;&gt;Games!$C$129),1,0))</f>
        <v/>
      </c>
      <c r="AQ14" s="13" t="str">
        <f>IF(OR(J14="",Results!J14=""),"",IF(AND(J14=Results!J14,Results!J14&lt;&gt;Games!$C$130),1,0))</f>
        <v/>
      </c>
      <c r="AR14" s="13" t="str">
        <f>IF(OR(K14="",Results!K14=""),"",IF(AND(K14=Results!K14,Results!K14&lt;&gt;Games!$C$131),1,0))</f>
        <v/>
      </c>
      <c r="AS14" s="13" t="str">
        <f>IF(OR(L14="",Results!L14=""),"",IF(AND(L14=Results!L14,Results!L14&lt;&gt;Games!$C$132),1,0))</f>
        <v/>
      </c>
      <c r="AT14" s="13" t="str">
        <f>IF(OR(M14="",Results!M14=""),"",IF(AND(M14=Results!M14,Results!M14&lt;&gt;Games!$C$133),1,0))</f>
        <v/>
      </c>
      <c r="AU14" s="13" t="str">
        <f>IF(OR(N14="",Results!N14=""),"",IF(AND(N14=Results!N14,Results!N14&lt;&gt;Games!$C$134),1,0))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IF(OR(B15="",Results!B14=""),"",IF(B15=Results!B14,1+IF(OR($O15=1,$P15=1,$Q15=1),1,0),0))</f>
        <v/>
      </c>
      <c r="T15" s="4" t="str">
        <f>IF(OR(C15="",Results!C14=""),"",IF(C15=Results!C14,1+IF(OR($O15=2,$P15=2,$Q15=2),1,0),0))</f>
        <v/>
      </c>
      <c r="U15" s="4" t="str">
        <f>IF(OR(D15="",Results!D14=""),"",IF(D15=Results!D14,1+IF(OR($O15=3,$P15=3,$Q15=3),1,0),0))</f>
        <v/>
      </c>
      <c r="V15" s="4" t="str">
        <f>IF(OR(E15="",Results!E14=""),"",IF(E15=Results!E14,1+IF(OR($O15=4,$P15=4,$Q15=4),1,0),0))</f>
        <v/>
      </c>
      <c r="W15" s="4" t="str">
        <f>IF(OR(F15="",Results!F14=""),"",IF(F15=Results!F14,1+IF(OR($O15=5,$P15=5,$Q15=5),1,0),0))</f>
        <v/>
      </c>
      <c r="X15" s="4" t="str">
        <f>IF(OR(G15="",Results!G14=""),"",IF(G15=Results!G14,1+IF(OR($O15=6,$P15=6,$Q15=6),1,0),0))</f>
        <v/>
      </c>
      <c r="Y15" s="4" t="str">
        <f>IF(OR(H15="",Results!H14=""),"",IF(H15=Results!H14,1+IF(OR($O15=7,$P15=7,$Q15=7),1,0),0))</f>
        <v/>
      </c>
      <c r="Z15" s="4" t="str">
        <f>IF(OR(I15="",Results!I14=""),"",IF(I15=Results!I14,1+IF(OR($O15=8,$P15=8,$Q15=8),1,0),0))</f>
        <v/>
      </c>
      <c r="AA15" s="4" t="str">
        <f>IF(OR(J15="",Results!J14=""),"",IF(J15=Results!J14,1+IF(OR($O15=9,$P15=9,$Q15=9),1,0),0))</f>
        <v/>
      </c>
      <c r="AB15" s="4" t="str">
        <f>IF(OR(K15="",Results!K14=""),"",IF(K15=Results!K14,1+IF(OR($O15=10,$P15=10,$Q15=10),1,0),0))</f>
        <v/>
      </c>
      <c r="AC15" s="4" t="str">
        <f>IF(OR(L15="",Results!L14=""),"",IF(L15=Results!L14,1+IF(OR($O15=11,$P15=11,$Q15=11),1,0),0))</f>
        <v/>
      </c>
      <c r="AD15" s="4" t="str">
        <f>IF(OR(M15="",Results!M14=""),"",IF(M15=Results!M14,1+IF(OR($O15=12,$P15=12,$Q15=12),1,0),0))</f>
        <v/>
      </c>
      <c r="AE15" s="4" t="str">
        <f>IF(OR(N15="",Results!N14=""),"",IF(N15=Results!N14,1+IF(OR($O15=13,$P15=13,$Q15=13),1,0),0))</f>
        <v/>
      </c>
      <c r="AF15" s="11">
        <f t="shared" si="0"/>
        <v>0</v>
      </c>
      <c r="AG15" s="4" t="str">
        <f>IF(OR($R15="",Results!O14=""),"",ABS($R15-Results!O14))</f>
        <v/>
      </c>
      <c r="AH15" s="12">
        <v>5</v>
      </c>
      <c r="AI15" s="13" t="str">
        <f>IF(OR(B15="",Results!B14=""),"",IF(AND(B15=Results!B14,Results!B14&lt;&gt;Games!$C$122),1,0))</f>
        <v/>
      </c>
      <c r="AJ15" s="13" t="str">
        <f>IF(OR(C15="",Results!C14=""),"",IF(AND(C15=Results!C14,Results!C14&lt;&gt;Games!$C$123),1,0))</f>
        <v/>
      </c>
      <c r="AK15" s="13" t="str">
        <f>IF(OR(D15="",Results!D14=""),"",IF(AND(D15=Results!D14,Results!D14&lt;&gt;Games!$C$124),1,0))</f>
        <v/>
      </c>
      <c r="AL15" s="13" t="str">
        <f>IF(OR(E15="",Results!E14=""),"",IF(AND(E15=Results!E14,Results!E14&lt;&gt;Games!$C$125),1,0))</f>
        <v/>
      </c>
      <c r="AM15" s="13" t="str">
        <f>IF(OR(F15="",Results!F14=""),"",IF(AND(F15=Results!F14,Results!F14&lt;&gt;Games!$C$126),1,0))</f>
        <v/>
      </c>
      <c r="AN15" s="13" t="str">
        <f>IF(OR(G15="",Results!G14=""),"",IF(AND(G15=Results!G14,Results!G14&lt;&gt;Games!$C$127),1,0))</f>
        <v/>
      </c>
      <c r="AO15" s="13" t="str">
        <f>IF(OR(H15="",Results!H14=""),"",IF(AND(H15=Results!H14,Results!H14&lt;&gt;Games!$C$128),1,0))</f>
        <v/>
      </c>
      <c r="AP15" s="13" t="str">
        <f>IF(OR(I15="",Results!I14=""),"",IF(AND(I15=Results!I14,Results!I14&lt;&gt;Games!$C$129),1,0))</f>
        <v/>
      </c>
      <c r="AQ15" s="13" t="str">
        <f>IF(OR(J15="",Results!J14=""),"",IF(AND(J15=Results!J14,Results!J14&lt;&gt;Games!$C$130),1,0))</f>
        <v/>
      </c>
      <c r="AR15" s="13" t="str">
        <f>IF(OR(K15="",Results!K14=""),"",IF(AND(K15=Results!K14,Results!K14&lt;&gt;Games!$C$131),1,0))</f>
        <v/>
      </c>
      <c r="AS15" s="13" t="str">
        <f>IF(OR(L15="",Results!L14=""),"",IF(AND(L15=Results!L14,Results!L14&lt;&gt;Games!$C$132),1,0))</f>
        <v/>
      </c>
      <c r="AT15" s="13" t="str">
        <f>IF(OR(M15="",Results!M14=""),"",IF(AND(M15=Results!M14,Results!M14&lt;&gt;Games!$C$133),1,0))</f>
        <v/>
      </c>
      <c r="AU15" s="13" t="str">
        <f>IF(OR(N15="",Results!N14=""),"",IF(AND(N15=Results!N14,Results!N14&lt;&gt;Games!$C$134),1,0))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tr">
        <f>IF(OR(B16="",Results!B14=""),"",IF(B16=Results!B14,1+IF(OR($O16=1,$P16=1,$Q16=1),1,0),0))</f>
        <v/>
      </c>
      <c r="T16" s="4" t="str">
        <f>IF(OR(C16="",Results!C14=""),"",IF(C16=Results!C14,1+IF(OR($O16=2,$P16=2,$Q16=2),1,0),0))</f>
        <v/>
      </c>
      <c r="U16" s="4" t="str">
        <f>IF(OR(D16="",Results!D14=""),"",IF(D16=Results!D14,1+IF(OR($O16=3,$P16=3,$Q16=3),1,0),0))</f>
        <v/>
      </c>
      <c r="V16" s="4" t="str">
        <f>IF(OR(E16="",Results!E14=""),"",IF(E16=Results!E14,1+IF(OR($O16=4,$P16=4,$Q16=4),1,0),0))</f>
        <v/>
      </c>
      <c r="W16" s="4" t="str">
        <f>IF(OR(F16="",Results!F14=""),"",IF(F16=Results!F14,1+IF(OR($O16=5,$P16=5,$Q16=5),1,0),0))</f>
        <v/>
      </c>
      <c r="X16" s="4" t="str">
        <f>IF(OR(G16="",Results!G14=""),"",IF(G16=Results!G14,1+IF(OR($O16=6,$P16=6,$Q16=6),1,0),0))</f>
        <v/>
      </c>
      <c r="Y16" s="4" t="str">
        <f>IF(OR(H16="",Results!H14=""),"",IF(H16=Results!H14,1+IF(OR($O16=7,$P16=7,$Q16=7),1,0),0))</f>
        <v/>
      </c>
      <c r="Z16" s="4" t="str">
        <f>IF(OR(I16="",Results!I14=""),"",IF(I16=Results!I14,1+IF(OR($O16=8,$P16=8,$Q16=8),1,0),0))</f>
        <v/>
      </c>
      <c r="AA16" s="4" t="str">
        <f>IF(OR(J16="",Results!J14=""),"",IF(J16=Results!J14,1+IF(OR($O16=9,$P16=9,$Q16=9),1,0),0))</f>
        <v/>
      </c>
      <c r="AB16" s="4" t="str">
        <f>IF(OR(K16="",Results!K14=""),"",IF(K16=Results!K14,1+IF(OR($O16=10,$P16=10,$Q16=10),1,0),0))</f>
        <v/>
      </c>
      <c r="AC16" s="4" t="str">
        <f>IF(OR(L16="",Results!L14=""),"",IF(L16=Results!L14,1+IF(OR($O16=11,$P16=11,$Q16=11),1,0),0))</f>
        <v/>
      </c>
      <c r="AD16" s="4" t="str">
        <f>IF(OR(M16="",Results!M14=""),"",IF(M16=Results!M14,1+IF(OR($O16=12,$P16=12,$Q16=12),1,0),0))</f>
        <v/>
      </c>
      <c r="AE16" s="4" t="str">
        <f>IF(OR(N16="",Results!N14=""),"",IF(N16=Results!N14,1+IF(OR($O16=13,$P16=13,$Q16=13),1,0),0))</f>
        <v/>
      </c>
      <c r="AF16" s="11">
        <f t="shared" si="0"/>
        <v>0</v>
      </c>
      <c r="AG16" s="4" t="str">
        <f>IF(OR($R16="",Results!O14=""),"",ABS($R16-Results!O14))</f>
        <v/>
      </c>
      <c r="AH16" s="12">
        <v>8</v>
      </c>
      <c r="AI16" s="13" t="str">
        <f>IF(OR(B16="",Results!B14=""),"",IF(AND(B16=Results!B14,Results!B14&lt;&gt;Games!$C$122),1,0))</f>
        <v/>
      </c>
      <c r="AJ16" s="13" t="str">
        <f>IF(OR(C16="",Results!C14=""),"",IF(AND(C16=Results!C14,Results!C14&lt;&gt;Games!$C$123),1,0))</f>
        <v/>
      </c>
      <c r="AK16" s="13" t="str">
        <f>IF(OR(D16="",Results!D14=""),"",IF(AND(D16=Results!D14,Results!D14&lt;&gt;Games!$C$124),1,0))</f>
        <v/>
      </c>
      <c r="AL16" s="13" t="str">
        <f>IF(OR(E16="",Results!E14=""),"",IF(AND(E16=Results!E14,Results!E14&lt;&gt;Games!$C$125),1,0))</f>
        <v/>
      </c>
      <c r="AM16" s="13" t="str">
        <f>IF(OR(F16="",Results!F14=""),"",IF(AND(F16=Results!F14,Results!F14&lt;&gt;Games!$C$126),1,0))</f>
        <v/>
      </c>
      <c r="AN16" s="13" t="str">
        <f>IF(OR(G16="",Results!G14=""),"",IF(AND(G16=Results!G14,Results!G14&lt;&gt;Games!$C$127),1,0))</f>
        <v/>
      </c>
      <c r="AO16" s="13" t="str">
        <f>IF(OR(H16="",Results!H14=""),"",IF(AND(H16=Results!H14,Results!H14&lt;&gt;Games!$C$128),1,0))</f>
        <v/>
      </c>
      <c r="AP16" s="13" t="str">
        <f>IF(OR(I16="",Results!I14=""),"",IF(AND(I16=Results!I14,Results!I14&lt;&gt;Games!$C$129),1,0))</f>
        <v/>
      </c>
      <c r="AQ16" s="13" t="str">
        <f>IF(OR(J16="",Results!J14=""),"",IF(AND(J16=Results!J14,Results!J14&lt;&gt;Games!$C$130),1,0))</f>
        <v/>
      </c>
      <c r="AR16" s="13" t="str">
        <f>IF(OR(K16="",Results!K14=""),"",IF(AND(K16=Results!K14,Results!K14&lt;&gt;Games!$C$131),1,0))</f>
        <v/>
      </c>
      <c r="AS16" s="13" t="str">
        <f>IF(OR(L16="",Results!L14=""),"",IF(AND(L16=Results!L14,Results!L14&lt;&gt;Games!$C$132),1,0))</f>
        <v/>
      </c>
      <c r="AT16" s="13" t="str">
        <f>IF(OR(M16="",Results!M14=""),"",IF(AND(M16=Results!M14,Results!M14&lt;&gt;Games!$C$133),1,0))</f>
        <v/>
      </c>
      <c r="AU16" s="13" t="str">
        <f>IF(OR(N16="",Results!N14=""),"",IF(AND(N16=Results!N14,Results!N14&lt;&gt;Games!$C$134),1,0))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IF(OR(B17="",Results!B14=""),"",IF(B17=Results!B14,1+IF(OR($O17=1,$P17=1,$Q17=1),1,0),0))</f>
        <v/>
      </c>
      <c r="T17" s="4" t="str">
        <f>IF(OR(C17="",Results!C14=""),"",IF(C17=Results!C14,1+IF(OR($O17=2,$P17=2,$Q17=2),1,0),0))</f>
        <v/>
      </c>
      <c r="U17" s="4" t="str">
        <f>IF(OR(D17="",Results!D14=""),"",IF(D17=Results!D14,1+IF(OR($O17=3,$P17=3,$Q17=3),1,0),0))</f>
        <v/>
      </c>
      <c r="V17" s="4" t="str">
        <f>IF(OR(E17="",Results!E14=""),"",IF(E17=Results!E14,1+IF(OR($O17=4,$P17=4,$Q17=4),1,0),0))</f>
        <v/>
      </c>
      <c r="W17" s="4" t="str">
        <f>IF(OR(F17="",Results!F14=""),"",IF(F17=Results!F14,1+IF(OR($O17=5,$P17=5,$Q17=5),1,0),0))</f>
        <v/>
      </c>
      <c r="X17" s="4" t="str">
        <f>IF(OR(G17="",Results!G14=""),"",IF(G17=Results!G14,1+IF(OR($O17=6,$P17=6,$Q17=6),1,0),0))</f>
        <v/>
      </c>
      <c r="Y17" s="4" t="str">
        <f>IF(OR(H17="",Results!H14=""),"",IF(H17=Results!H14,1+IF(OR($O17=7,$P17=7,$Q17=7),1,0),0))</f>
        <v/>
      </c>
      <c r="Z17" s="4" t="str">
        <f>IF(OR(I17="",Results!I14=""),"",IF(I17=Results!I14,1+IF(OR($O17=8,$P17=8,$Q17=8),1,0),0))</f>
        <v/>
      </c>
      <c r="AA17" s="4" t="str">
        <f>IF(OR(J17="",Results!J14=""),"",IF(J17=Results!J14,1+IF(OR($O17=9,$P17=9,$Q17=9),1,0),0))</f>
        <v/>
      </c>
      <c r="AB17" s="4" t="str">
        <f>IF(OR(K17="",Results!K14=""),"",IF(K17=Results!K14,1+IF(OR($O17=10,$P17=10,$Q17=10),1,0),0))</f>
        <v/>
      </c>
      <c r="AC17" s="4" t="str">
        <f>IF(OR(L17="",Results!L14=""),"",IF(L17=Results!L14,1+IF(OR($O17=11,$P17=11,$Q17=11),1,0),0))</f>
        <v/>
      </c>
      <c r="AD17" s="4" t="str">
        <f>IF(OR(M17="",Results!M14=""),"",IF(M17=Results!M14,1+IF(OR($O17=12,$P17=12,$Q17=12),1,0),0))</f>
        <v/>
      </c>
      <c r="AE17" s="4" t="str">
        <f>IF(OR(N17="",Results!N14=""),"",IF(N17=Results!N14,1+IF(OR($O17=13,$P17=13,$Q17=13),1,0),0))</f>
        <v/>
      </c>
      <c r="AF17" s="11">
        <f t="shared" si="0"/>
        <v>0</v>
      </c>
      <c r="AG17" s="4" t="str">
        <f>IF(OR($R17="",Results!O14=""),"",ABS($R17-Results!O14))</f>
        <v/>
      </c>
      <c r="AH17" s="12">
        <v>7</v>
      </c>
      <c r="AI17" s="13" t="str">
        <f>IF(OR(B17="",Results!B14=""),"",IF(AND(B17=Results!B14,Results!B14&lt;&gt;Games!$C$122),1,0))</f>
        <v/>
      </c>
      <c r="AJ17" s="13" t="str">
        <f>IF(OR(C17="",Results!C14=""),"",IF(AND(C17=Results!C14,Results!C14&lt;&gt;Games!$C$123),1,0))</f>
        <v/>
      </c>
      <c r="AK17" s="13" t="str">
        <f>IF(OR(D17="",Results!D14=""),"",IF(AND(D17=Results!D14,Results!D14&lt;&gt;Games!$C$124),1,0))</f>
        <v/>
      </c>
      <c r="AL17" s="13" t="str">
        <f>IF(OR(E17="",Results!E14=""),"",IF(AND(E17=Results!E14,Results!E14&lt;&gt;Games!$C$125),1,0))</f>
        <v/>
      </c>
      <c r="AM17" s="13" t="str">
        <f>IF(OR(F17="",Results!F14=""),"",IF(AND(F17=Results!F14,Results!F14&lt;&gt;Games!$C$126),1,0))</f>
        <v/>
      </c>
      <c r="AN17" s="13" t="str">
        <f>IF(OR(G17="",Results!G14=""),"",IF(AND(G17=Results!G14,Results!G14&lt;&gt;Games!$C$127),1,0))</f>
        <v/>
      </c>
      <c r="AO17" s="13" t="str">
        <f>IF(OR(H17="",Results!H14=""),"",IF(AND(H17=Results!H14,Results!H14&lt;&gt;Games!$C$128),1,0))</f>
        <v/>
      </c>
      <c r="AP17" s="13" t="str">
        <f>IF(OR(I17="",Results!I14=""),"",IF(AND(I17=Results!I14,Results!I14&lt;&gt;Games!$C$129),1,0))</f>
        <v/>
      </c>
      <c r="AQ17" s="13" t="str">
        <f>IF(OR(J17="",Results!J14=""),"",IF(AND(J17=Results!J14,Results!J14&lt;&gt;Games!$C$130),1,0))</f>
        <v/>
      </c>
      <c r="AR17" s="13" t="str">
        <f>IF(OR(K17="",Results!K14=""),"",IF(AND(K17=Results!K14,Results!K14&lt;&gt;Games!$C$131),1,0))</f>
        <v/>
      </c>
      <c r="AS17" s="13" t="str">
        <f>IF(OR(L17="",Results!L14=""),"",IF(AND(L17=Results!L14,Results!L14&lt;&gt;Games!$C$132),1,0))</f>
        <v/>
      </c>
      <c r="AT17" s="13" t="str">
        <f>IF(OR(M17="",Results!M14=""),"",IF(AND(M17=Results!M14,Results!M14&lt;&gt;Games!$C$133),1,0))</f>
        <v/>
      </c>
      <c r="AU17" s="13" t="str">
        <f>IF(OR(N17="",Results!N14=""),"",IF(AND(N17=Results!N14,Results!N14&lt;&gt;Games!$C$134),1,0))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IF(OR(B18="",Results!B14=""),"",IF(B18=Results!B14,1+IF(OR($O18=1,$P18=1,$Q18=1),1,0),0))</f>
        <v/>
      </c>
      <c r="T18" s="4" t="str">
        <f>IF(OR(C18="",Results!C14=""),"",IF(C18=Results!C14,1+IF(OR($O18=2,$P18=2,$Q18=2),1,0),0))</f>
        <v/>
      </c>
      <c r="U18" s="4" t="str">
        <f>IF(OR(D18="",Results!D14=""),"",IF(D18=Results!D14,1+IF(OR($O18=3,$P18=3,$Q18=3),1,0),0))</f>
        <v/>
      </c>
      <c r="V18" s="4" t="str">
        <f>IF(OR(E18="",Results!E14=""),"",IF(E18=Results!E14,1+IF(OR($O18=4,$P18=4,$Q18=4),1,0),0))</f>
        <v/>
      </c>
      <c r="W18" s="4" t="str">
        <f>IF(OR(F18="",Results!F14=""),"",IF(F18=Results!F14,1+IF(OR($O18=5,$P18=5,$Q18=5),1,0),0))</f>
        <v/>
      </c>
      <c r="X18" s="4" t="str">
        <f>IF(OR(G18="",Results!G14=""),"",IF(G18=Results!G14,1+IF(OR($O18=6,$P18=6,$Q18=6),1,0),0))</f>
        <v/>
      </c>
      <c r="Y18" s="4" t="str">
        <f>IF(OR(H18="",Results!H14=""),"",IF(H18=Results!H14,1+IF(OR($O18=7,$P18=7,$Q18=7),1,0),0))</f>
        <v/>
      </c>
      <c r="Z18" s="4" t="str">
        <f>IF(OR(I18="",Results!I14=""),"",IF(I18=Results!I14,1+IF(OR($O18=8,$P18=8,$Q18=8),1,0),0))</f>
        <v/>
      </c>
      <c r="AA18" s="4" t="str">
        <f>IF(OR(J18="",Results!J14=""),"",IF(J18=Results!J14,1+IF(OR($O18=9,$P18=9,$Q18=9),1,0),0))</f>
        <v/>
      </c>
      <c r="AB18" s="4" t="str">
        <f>IF(OR(K18="",Results!K14=""),"",IF(K18=Results!K14,1+IF(OR($O18=10,$P18=10,$Q18=10),1,0),0))</f>
        <v/>
      </c>
      <c r="AC18" s="4" t="str">
        <f>IF(OR(L18="",Results!L14=""),"",IF(L18=Results!L14,1+IF(OR($O18=11,$P18=11,$Q18=11),1,0),0))</f>
        <v/>
      </c>
      <c r="AD18" s="4" t="str">
        <f>IF(OR(M18="",Results!M14=""),"",IF(M18=Results!M14,1+IF(OR($O18=12,$P18=12,$Q18=12),1,0),0))</f>
        <v/>
      </c>
      <c r="AE18" s="4" t="str">
        <f>IF(OR(N18="",Results!N14=""),"",IF(N18=Results!N14,1+IF(OR($O18=13,$P18=13,$Q18=13),1,0),0))</f>
        <v/>
      </c>
      <c r="AF18" s="11">
        <f t="shared" si="0"/>
        <v>0</v>
      </c>
      <c r="AG18" s="4" t="str">
        <f>IF(OR($R18="",Results!O14=""),"",ABS($R18-Results!O14))</f>
        <v/>
      </c>
      <c r="AH18" s="12">
        <v>37</v>
      </c>
      <c r="AI18" s="13" t="str">
        <f>IF(OR(B18="",Results!B14=""),"",IF(AND(B18=Results!B14,Results!B14&lt;&gt;Games!$C$122),1,0))</f>
        <v/>
      </c>
      <c r="AJ18" s="13" t="str">
        <f>IF(OR(C18="",Results!C14=""),"",IF(AND(C18=Results!C14,Results!C14&lt;&gt;Games!$C$123),1,0))</f>
        <v/>
      </c>
      <c r="AK18" s="13" t="str">
        <f>IF(OR(D18="",Results!D14=""),"",IF(AND(D18=Results!D14,Results!D14&lt;&gt;Games!$C$124),1,0))</f>
        <v/>
      </c>
      <c r="AL18" s="13" t="str">
        <f>IF(OR(E18="",Results!E14=""),"",IF(AND(E18=Results!E14,Results!E14&lt;&gt;Games!$C$125),1,0))</f>
        <v/>
      </c>
      <c r="AM18" s="13" t="str">
        <f>IF(OR(F18="",Results!F14=""),"",IF(AND(F18=Results!F14,Results!F14&lt;&gt;Games!$C$126),1,0))</f>
        <v/>
      </c>
      <c r="AN18" s="13" t="str">
        <f>IF(OR(G18="",Results!G14=""),"",IF(AND(G18=Results!G14,Results!G14&lt;&gt;Games!$C$127),1,0))</f>
        <v/>
      </c>
      <c r="AO18" s="13" t="str">
        <f>IF(OR(H18="",Results!H14=""),"",IF(AND(H18=Results!H14,Results!H14&lt;&gt;Games!$C$128),1,0))</f>
        <v/>
      </c>
      <c r="AP18" s="13" t="str">
        <f>IF(OR(I18="",Results!I14=""),"",IF(AND(I18=Results!I14,Results!I14&lt;&gt;Games!$C$129),1,0))</f>
        <v/>
      </c>
      <c r="AQ18" s="13" t="str">
        <f>IF(OR(J18="",Results!J14=""),"",IF(AND(J18=Results!J14,Results!J14&lt;&gt;Games!$C$130),1,0))</f>
        <v/>
      </c>
      <c r="AR18" s="13" t="str">
        <f>IF(OR(K18="",Results!K14=""),"",IF(AND(K18=Results!K14,Results!K14&lt;&gt;Games!$C$131),1,0))</f>
        <v/>
      </c>
      <c r="AS18" s="13" t="str">
        <f>IF(OR(L18="",Results!L14=""),"",IF(AND(L18=Results!L14,Results!L14&lt;&gt;Games!$C$132),1,0))</f>
        <v/>
      </c>
      <c r="AT18" s="13" t="str">
        <f>IF(OR(M18="",Results!M14=""),"",IF(AND(M18=Results!M14,Results!M14&lt;&gt;Games!$C$133),1,0))</f>
        <v/>
      </c>
      <c r="AU18" s="13" t="str">
        <f>IF(OR(N18="",Results!N14=""),"",IF(AND(N18=Results!N14,Results!N14&lt;&gt;Games!$C$134),1,0))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IF(OR(B19="",Results!B14=""),"",IF(B19=Results!B14,1+IF(OR($O19=1,$P19=1,$Q19=1),1,0),0))</f>
        <v/>
      </c>
      <c r="T19" s="4" t="str">
        <f>IF(OR(C19="",Results!C14=""),"",IF(C19=Results!C14,1+IF(OR($O19=2,$P19=2,$Q19=2),1,0),0))</f>
        <v/>
      </c>
      <c r="U19" s="4" t="str">
        <f>IF(OR(D19="",Results!D14=""),"",IF(D19=Results!D14,1+IF(OR($O19=3,$P19=3,$Q19=3),1,0),0))</f>
        <v/>
      </c>
      <c r="V19" s="4" t="str">
        <f>IF(OR(E19="",Results!E14=""),"",IF(E19=Results!E14,1+IF(OR($O19=4,$P19=4,$Q19=4),1,0),0))</f>
        <v/>
      </c>
      <c r="W19" s="4" t="str">
        <f>IF(OR(F19="",Results!F14=""),"",IF(F19=Results!F14,1+IF(OR($O19=5,$P19=5,$Q19=5),1,0),0))</f>
        <v/>
      </c>
      <c r="X19" s="4" t="str">
        <f>IF(OR(G19="",Results!G14=""),"",IF(G19=Results!G14,1+IF(OR($O19=6,$P19=6,$Q19=6),1,0),0))</f>
        <v/>
      </c>
      <c r="Y19" s="4" t="str">
        <f>IF(OR(H19="",Results!H14=""),"",IF(H19=Results!H14,1+IF(OR($O19=7,$P19=7,$Q19=7),1,0),0))</f>
        <v/>
      </c>
      <c r="Z19" s="4" t="str">
        <f>IF(OR(I19="",Results!I14=""),"",IF(I19=Results!I14,1+IF(OR($O19=8,$P19=8,$Q19=8),1,0),0))</f>
        <v/>
      </c>
      <c r="AA19" s="4" t="str">
        <f>IF(OR(J19="",Results!J14=""),"",IF(J19=Results!J14,1+IF(OR($O19=9,$P19=9,$Q19=9),1,0),0))</f>
        <v/>
      </c>
      <c r="AB19" s="4" t="str">
        <f>IF(OR(K19="",Results!K14=""),"",IF(K19=Results!K14,1+IF(OR($O19=10,$P19=10,$Q19=10),1,0),0))</f>
        <v/>
      </c>
      <c r="AC19" s="4" t="str">
        <f>IF(OR(L19="",Results!L14=""),"",IF(L19=Results!L14,1+IF(OR($O19=11,$P19=11,$Q19=11),1,0),0))</f>
        <v/>
      </c>
      <c r="AD19" s="4" t="str">
        <f>IF(OR(M19="",Results!M14=""),"",IF(M19=Results!M14,1+IF(OR($O19=12,$P19=12,$Q19=12),1,0),0))</f>
        <v/>
      </c>
      <c r="AE19" s="4" t="str">
        <f>IF(OR(N19="",Results!N14=""),"",IF(N19=Results!N14,1+IF(OR($O19=13,$P19=13,$Q19=13),1,0),0))</f>
        <v/>
      </c>
      <c r="AF19" s="11">
        <f t="shared" si="0"/>
        <v>0</v>
      </c>
      <c r="AG19" s="4" t="str">
        <f>IF(OR($R19="",Results!O14=""),"",ABS($R19-Results!O14))</f>
        <v/>
      </c>
      <c r="AH19" s="12">
        <v>26</v>
      </c>
      <c r="AI19" s="13" t="str">
        <f>IF(OR(B19="",Results!B14=""),"",IF(AND(B19=Results!B14,Results!B14&lt;&gt;Games!$C$122),1,0))</f>
        <v/>
      </c>
      <c r="AJ19" s="13" t="str">
        <f>IF(OR(C19="",Results!C14=""),"",IF(AND(C19=Results!C14,Results!C14&lt;&gt;Games!$C$123),1,0))</f>
        <v/>
      </c>
      <c r="AK19" s="13" t="str">
        <f>IF(OR(D19="",Results!D14=""),"",IF(AND(D19=Results!D14,Results!D14&lt;&gt;Games!$C$124),1,0))</f>
        <v/>
      </c>
      <c r="AL19" s="13" t="str">
        <f>IF(OR(E19="",Results!E14=""),"",IF(AND(E19=Results!E14,Results!E14&lt;&gt;Games!$C$125),1,0))</f>
        <v/>
      </c>
      <c r="AM19" s="13" t="str">
        <f>IF(OR(F19="",Results!F14=""),"",IF(AND(F19=Results!F14,Results!F14&lt;&gt;Games!$C$126),1,0))</f>
        <v/>
      </c>
      <c r="AN19" s="13" t="str">
        <f>IF(OR(G19="",Results!G14=""),"",IF(AND(G19=Results!G14,Results!G14&lt;&gt;Games!$C$127),1,0))</f>
        <v/>
      </c>
      <c r="AO19" s="13" t="str">
        <f>IF(OR(H19="",Results!H14=""),"",IF(AND(H19=Results!H14,Results!H14&lt;&gt;Games!$C$128),1,0))</f>
        <v/>
      </c>
      <c r="AP19" s="13" t="str">
        <f>IF(OR(I19="",Results!I14=""),"",IF(AND(I19=Results!I14,Results!I14&lt;&gt;Games!$C$129),1,0))</f>
        <v/>
      </c>
      <c r="AQ19" s="13" t="str">
        <f>IF(OR(J19="",Results!J14=""),"",IF(AND(J19=Results!J14,Results!J14&lt;&gt;Games!$C$130),1,0))</f>
        <v/>
      </c>
      <c r="AR19" s="13" t="str">
        <f>IF(OR(K19="",Results!K14=""),"",IF(AND(K19=Results!K14,Results!K14&lt;&gt;Games!$C$131),1,0))</f>
        <v/>
      </c>
      <c r="AS19" s="13" t="str">
        <f>IF(OR(L19="",Results!L14=""),"",IF(AND(L19=Results!L14,Results!L14&lt;&gt;Games!$C$132),1,0))</f>
        <v/>
      </c>
      <c r="AT19" s="13" t="str">
        <f>IF(OR(M19="",Results!M14=""),"",IF(AND(M19=Results!M14,Results!M14&lt;&gt;Games!$C$133),1,0))</f>
        <v/>
      </c>
      <c r="AU19" s="13" t="str">
        <f>IF(OR(N19="",Results!N14=""),"",IF(AND(N19=Results!N14,Results!N14&lt;&gt;Games!$C$134),1,0))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 t="str">
        <f>IF(OR(B20="",Results!B14=""),"",IF(B20=Results!B14,1+IF(OR($O20=1,$P20=1,$Q20=1),1,0),0))</f>
        <v/>
      </c>
      <c r="T20" s="4" t="str">
        <f>IF(OR(C20="",Results!C14=""),"",IF(C20=Results!C14,1+IF(OR($O20=2,$P20=2,$Q20=2),1,0),0))</f>
        <v/>
      </c>
      <c r="U20" s="4" t="str">
        <f>IF(OR(D20="",Results!D14=""),"",IF(D20=Results!D14,1+IF(OR($O20=3,$P20=3,$Q20=3),1,0),0))</f>
        <v/>
      </c>
      <c r="V20" s="4" t="str">
        <f>IF(OR(E20="",Results!E14=""),"",IF(E20=Results!E14,1+IF(OR($O20=4,$P20=4,$Q20=4),1,0),0))</f>
        <v/>
      </c>
      <c r="W20" s="4" t="str">
        <f>IF(OR(F20="",Results!F14=""),"",IF(F20=Results!F14,1+IF(OR($O20=5,$P20=5,$Q20=5),1,0),0))</f>
        <v/>
      </c>
      <c r="X20" s="4" t="str">
        <f>IF(OR(G20="",Results!G14=""),"",IF(G20=Results!G14,1+IF(OR($O20=6,$P20=6,$Q20=6),1,0),0))</f>
        <v/>
      </c>
      <c r="Y20" s="4" t="str">
        <f>IF(OR(H20="",Results!H14=""),"",IF(H20=Results!H14,1+IF(OR($O20=7,$P20=7,$Q20=7),1,0),0))</f>
        <v/>
      </c>
      <c r="Z20" s="4" t="str">
        <f>IF(OR(I20="",Results!I14=""),"",IF(I20=Results!I14,1+IF(OR($O20=8,$P20=8,$Q20=8),1,0),0))</f>
        <v/>
      </c>
      <c r="AA20" s="4" t="str">
        <f>IF(OR(J20="",Results!J14=""),"",IF(J20=Results!J14,1+IF(OR($O20=9,$P20=9,$Q20=9),1,0),0))</f>
        <v/>
      </c>
      <c r="AB20" s="4" t="str">
        <f>IF(OR(K20="",Results!K14=""),"",IF(K20=Results!K14,1+IF(OR($O20=10,$P20=10,$Q20=10),1,0),0))</f>
        <v/>
      </c>
      <c r="AC20" s="4" t="str">
        <f>IF(OR(L20="",Results!L14=""),"",IF(L20=Results!L14,1+IF(OR($O20=11,$P20=11,$Q20=11),1,0),0))</f>
        <v/>
      </c>
      <c r="AD20" s="4" t="str">
        <f>IF(OR(M20="",Results!M14=""),"",IF(M20=Results!M14,1+IF(OR($O20=12,$P20=12,$Q20=12),1,0),0))</f>
        <v/>
      </c>
      <c r="AE20" s="4" t="str">
        <f>IF(OR(N20="",Results!N14=""),"",IF(N20=Results!N14,1+IF(OR($O20=13,$P20=13,$Q20=13),1,0),0))</f>
        <v/>
      </c>
      <c r="AF20" s="11">
        <f t="shared" si="0"/>
        <v>0</v>
      </c>
      <c r="AG20" s="4" t="str">
        <f>IF(OR($R20="",Results!O14=""),"",ABS($R20-Results!O14))</f>
        <v/>
      </c>
      <c r="AH20" s="12">
        <v>52</v>
      </c>
      <c r="AI20" s="13" t="str">
        <f>IF(OR(B20="",Results!B14=""),"",IF(AND(B20=Results!B14,Results!B14&lt;&gt;Games!$C$122),1,0))</f>
        <v/>
      </c>
      <c r="AJ20" s="13" t="str">
        <f>IF(OR(C20="",Results!C14=""),"",IF(AND(C20=Results!C14,Results!C14&lt;&gt;Games!$C$123),1,0))</f>
        <v/>
      </c>
      <c r="AK20" s="13" t="str">
        <f>IF(OR(D20="",Results!D14=""),"",IF(AND(D20=Results!D14,Results!D14&lt;&gt;Games!$C$124),1,0))</f>
        <v/>
      </c>
      <c r="AL20" s="13" t="str">
        <f>IF(OR(E20="",Results!E14=""),"",IF(AND(E20=Results!E14,Results!E14&lt;&gt;Games!$C$125),1,0))</f>
        <v/>
      </c>
      <c r="AM20" s="13" t="str">
        <f>IF(OR(F20="",Results!F14=""),"",IF(AND(F20=Results!F14,Results!F14&lt;&gt;Games!$C$126),1,0))</f>
        <v/>
      </c>
      <c r="AN20" s="13" t="str">
        <f>IF(OR(G20="",Results!G14=""),"",IF(AND(G20=Results!G14,Results!G14&lt;&gt;Games!$C$127),1,0))</f>
        <v/>
      </c>
      <c r="AO20" s="13" t="str">
        <f>IF(OR(H20="",Results!H14=""),"",IF(AND(H20=Results!H14,Results!H14&lt;&gt;Games!$C$128),1,0))</f>
        <v/>
      </c>
      <c r="AP20" s="13" t="str">
        <f>IF(OR(I20="",Results!I14=""),"",IF(AND(I20=Results!I14,Results!I14&lt;&gt;Games!$C$129),1,0))</f>
        <v/>
      </c>
      <c r="AQ20" s="13" t="str">
        <f>IF(OR(J20="",Results!J14=""),"",IF(AND(J20=Results!J14,Results!J14&lt;&gt;Games!$C$130),1,0))</f>
        <v/>
      </c>
      <c r="AR20" s="13" t="str">
        <f>IF(OR(K20="",Results!K14=""),"",IF(AND(K20=Results!K14,Results!K14&lt;&gt;Games!$C$131),1,0))</f>
        <v/>
      </c>
      <c r="AS20" s="13" t="str">
        <f>IF(OR(L20="",Results!L14=""),"",IF(AND(L20=Results!L14,Results!L14&lt;&gt;Games!$C$132),1,0))</f>
        <v/>
      </c>
      <c r="AT20" s="13" t="str">
        <f>IF(OR(M20="",Results!M14=""),"",IF(AND(M20=Results!M14,Results!M14&lt;&gt;Games!$C$133),1,0))</f>
        <v/>
      </c>
      <c r="AU20" s="13" t="str">
        <f>IF(OR(N20="",Results!N14=""),"",IF(AND(N20=Results!N14,Results!N14&lt;&gt;Games!$C$134),1,0))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 t="str">
        <f>IF(OR(B21="",Results!B14=""),"",IF(B21=Results!B14,1+IF(OR($O21=1,$P21=1,$Q21=1),1,0),0))</f>
        <v/>
      </c>
      <c r="T21" s="4" t="str">
        <f>IF(OR(C21="",Results!C14=""),"",IF(C21=Results!C14,1+IF(OR($O21=2,$P21=2,$Q21=2),1,0),0))</f>
        <v/>
      </c>
      <c r="U21" s="4" t="str">
        <f>IF(OR(D21="",Results!D14=""),"",IF(D21=Results!D14,1+IF(OR($O21=3,$P21=3,$Q21=3),1,0),0))</f>
        <v/>
      </c>
      <c r="V21" s="4" t="str">
        <f>IF(OR(E21="",Results!E14=""),"",IF(E21=Results!E14,1+IF(OR($O21=4,$P21=4,$Q21=4),1,0),0))</f>
        <v/>
      </c>
      <c r="W21" s="4" t="str">
        <f>IF(OR(F21="",Results!F14=""),"",IF(F21=Results!F14,1+IF(OR($O21=5,$P21=5,$Q21=5),1,0),0))</f>
        <v/>
      </c>
      <c r="X21" s="4" t="str">
        <f>IF(OR(G21="",Results!G14=""),"",IF(G21=Results!G14,1+IF(OR($O21=6,$P21=6,$Q21=6),1,0),0))</f>
        <v/>
      </c>
      <c r="Y21" s="4" t="str">
        <f>IF(OR(H21="",Results!H14=""),"",IF(H21=Results!H14,1+IF(OR($O21=7,$P21=7,$Q21=7),1,0),0))</f>
        <v/>
      </c>
      <c r="Z21" s="4" t="str">
        <f>IF(OR(I21="",Results!I14=""),"",IF(I21=Results!I14,1+IF(OR($O21=8,$P21=8,$Q21=8),1,0),0))</f>
        <v/>
      </c>
      <c r="AA21" s="4" t="str">
        <f>IF(OR(J21="",Results!J14=""),"",IF(J21=Results!J14,1+IF(OR($O21=9,$P21=9,$Q21=9),1,0),0))</f>
        <v/>
      </c>
      <c r="AB21" s="4" t="str">
        <f>IF(OR(K21="",Results!K14=""),"",IF(K21=Results!K14,1+IF(OR($O21=10,$P21=10,$Q21=10),1,0),0))</f>
        <v/>
      </c>
      <c r="AC21" s="4" t="str">
        <f>IF(OR(L21="",Results!L14=""),"",IF(L21=Results!L14,1+IF(OR($O21=11,$P21=11,$Q21=11),1,0),0))</f>
        <v/>
      </c>
      <c r="AD21" s="4" t="str">
        <f>IF(OR(M21="",Results!M14=""),"",IF(M21=Results!M14,1+IF(OR($O21=12,$P21=12,$Q21=12),1,0),0))</f>
        <v/>
      </c>
      <c r="AE21" s="4" t="str">
        <f>IF(OR(N21="",Results!N14=""),"",IF(N21=Results!N14,1+IF(OR($O21=13,$P21=13,$Q21=13),1,0),0))</f>
        <v/>
      </c>
      <c r="AF21" s="11">
        <f t="shared" si="0"/>
        <v>0</v>
      </c>
      <c r="AG21" s="4" t="str">
        <f>IF(OR($R21="",Results!O14=""),"",ABS($R21-Results!O14))</f>
        <v/>
      </c>
      <c r="AH21" s="12">
        <v>9</v>
      </c>
      <c r="AI21" s="13" t="str">
        <f>IF(OR(B21="",Results!B14=""),"",IF(AND(B21=Results!B14,Results!B14&lt;&gt;Games!$C$122),1,0))</f>
        <v/>
      </c>
      <c r="AJ21" s="13" t="str">
        <f>IF(OR(C21="",Results!C14=""),"",IF(AND(C21=Results!C14,Results!C14&lt;&gt;Games!$C$123),1,0))</f>
        <v/>
      </c>
      <c r="AK21" s="13" t="str">
        <f>IF(OR(D21="",Results!D14=""),"",IF(AND(D21=Results!D14,Results!D14&lt;&gt;Games!$C$124),1,0))</f>
        <v/>
      </c>
      <c r="AL21" s="13" t="str">
        <f>IF(OR(E21="",Results!E14=""),"",IF(AND(E21=Results!E14,Results!E14&lt;&gt;Games!$C$125),1,0))</f>
        <v/>
      </c>
      <c r="AM21" s="13" t="str">
        <f>IF(OR(F21="",Results!F14=""),"",IF(AND(F21=Results!F14,Results!F14&lt;&gt;Games!$C$126),1,0))</f>
        <v/>
      </c>
      <c r="AN21" s="13" t="str">
        <f>IF(OR(G21="",Results!G14=""),"",IF(AND(G21=Results!G14,Results!G14&lt;&gt;Games!$C$127),1,0))</f>
        <v/>
      </c>
      <c r="AO21" s="13" t="str">
        <f>IF(OR(H21="",Results!H14=""),"",IF(AND(H21=Results!H14,Results!H14&lt;&gt;Games!$C$128),1,0))</f>
        <v/>
      </c>
      <c r="AP21" s="13" t="str">
        <f>IF(OR(I21="",Results!I14=""),"",IF(AND(I21=Results!I14,Results!I14&lt;&gt;Games!$C$129),1,0))</f>
        <v/>
      </c>
      <c r="AQ21" s="13" t="str">
        <f>IF(OR(J21="",Results!J14=""),"",IF(AND(J21=Results!J14,Results!J14&lt;&gt;Games!$C$130),1,0))</f>
        <v/>
      </c>
      <c r="AR21" s="13" t="str">
        <f>IF(OR(K21="",Results!K14=""),"",IF(AND(K21=Results!K14,Results!K14&lt;&gt;Games!$C$131),1,0))</f>
        <v/>
      </c>
      <c r="AS21" s="13" t="str">
        <f>IF(OR(L21="",Results!L14=""),"",IF(AND(L21=Results!L14,Results!L14&lt;&gt;Games!$C$132),1,0))</f>
        <v/>
      </c>
      <c r="AT21" s="13" t="str">
        <f>IF(OR(M21="",Results!M14=""),"",IF(AND(M21=Results!M14,Results!M14&lt;&gt;Games!$C$133),1,0))</f>
        <v/>
      </c>
      <c r="AU21" s="13" t="str">
        <f>IF(OR(N21="",Results!N14=""),"",IF(AND(N21=Results!N14,Results!N14&lt;&gt;Games!$C$134),1,0))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 t="str">
        <f>IF(OR(B22="",Results!B14=""),"",IF(B22=Results!B14,1+IF(OR($O22=1,$P22=1,$Q22=1),1,0),0))</f>
        <v/>
      </c>
      <c r="T22" s="4" t="str">
        <f>IF(OR(C22="",Results!C14=""),"",IF(C22=Results!C14,1+IF(OR($O22=2,$P22=2,$Q22=2),1,0),0))</f>
        <v/>
      </c>
      <c r="U22" s="4" t="str">
        <f>IF(OR(D22="",Results!D14=""),"",IF(D22=Results!D14,1+IF(OR($O22=3,$P22=3,$Q22=3),1,0),0))</f>
        <v/>
      </c>
      <c r="V22" s="4" t="str">
        <f>IF(OR(E22="",Results!E14=""),"",IF(E22=Results!E14,1+IF(OR($O22=4,$P22=4,$Q22=4),1,0),0))</f>
        <v/>
      </c>
      <c r="W22" s="4" t="str">
        <f>IF(OR(F22="",Results!F14=""),"",IF(F22=Results!F14,1+IF(OR($O22=5,$P22=5,$Q22=5),1,0),0))</f>
        <v/>
      </c>
      <c r="X22" s="4" t="str">
        <f>IF(OR(G22="",Results!G14=""),"",IF(G22=Results!G14,1+IF(OR($O22=6,$P22=6,$Q22=6),1,0),0))</f>
        <v/>
      </c>
      <c r="Y22" s="4" t="str">
        <f>IF(OR(H22="",Results!H14=""),"",IF(H22=Results!H14,1+IF(OR($O22=7,$P22=7,$Q22=7),1,0),0))</f>
        <v/>
      </c>
      <c r="Z22" s="4" t="str">
        <f>IF(OR(I22="",Results!I14=""),"",IF(I22=Results!I14,1+IF(OR($O22=8,$P22=8,$Q22=8),1,0),0))</f>
        <v/>
      </c>
      <c r="AA22" s="4" t="str">
        <f>IF(OR(J22="",Results!J14=""),"",IF(J22=Results!J14,1+IF(OR($O22=9,$P22=9,$Q22=9),1,0),0))</f>
        <v/>
      </c>
      <c r="AB22" s="4" t="str">
        <f>IF(OR(K22="",Results!K14=""),"",IF(K22=Results!K14,1+IF(OR($O22=10,$P22=10,$Q22=10),1,0),0))</f>
        <v/>
      </c>
      <c r="AC22" s="4" t="str">
        <f>IF(OR(L22="",Results!L14=""),"",IF(L22=Results!L14,1+IF(OR($O22=11,$P22=11,$Q22=11),1,0),0))</f>
        <v/>
      </c>
      <c r="AD22" s="4" t="str">
        <f>IF(OR(M22="",Results!M14=""),"",IF(M22=Results!M14,1+IF(OR($O22=12,$P22=12,$Q22=12),1,0),0))</f>
        <v/>
      </c>
      <c r="AE22" s="4" t="str">
        <f>IF(OR(N22="",Results!N14=""),"",IF(N22=Results!N14,1+IF(OR($O22=13,$P22=13,$Q22=13),1,0),0))</f>
        <v/>
      </c>
      <c r="AF22" s="11">
        <f t="shared" si="0"/>
        <v>0</v>
      </c>
      <c r="AG22" s="4" t="str">
        <f>IF(OR($R22="",Results!O14=""),"",ABS($R22-Results!O14))</f>
        <v/>
      </c>
      <c r="AH22" s="12">
        <v>10</v>
      </c>
      <c r="AI22" s="13" t="str">
        <f>IF(OR(B22="",Results!B14=""),"",IF(AND(B22=Results!B14,Results!B14&lt;&gt;Games!$C$122),1,0))</f>
        <v/>
      </c>
      <c r="AJ22" s="13" t="str">
        <f>IF(OR(C22="",Results!C14=""),"",IF(AND(C22=Results!C14,Results!C14&lt;&gt;Games!$C$123),1,0))</f>
        <v/>
      </c>
      <c r="AK22" s="13" t="str">
        <f>IF(OR(D22="",Results!D14=""),"",IF(AND(D22=Results!D14,Results!D14&lt;&gt;Games!$C$124),1,0))</f>
        <v/>
      </c>
      <c r="AL22" s="13" t="str">
        <f>IF(OR(E22="",Results!E14=""),"",IF(AND(E22=Results!E14,Results!E14&lt;&gt;Games!$C$125),1,0))</f>
        <v/>
      </c>
      <c r="AM22" s="13" t="str">
        <f>IF(OR(F22="",Results!F14=""),"",IF(AND(F22=Results!F14,Results!F14&lt;&gt;Games!$C$126),1,0))</f>
        <v/>
      </c>
      <c r="AN22" s="13" t="str">
        <f>IF(OR(G22="",Results!G14=""),"",IF(AND(G22=Results!G14,Results!G14&lt;&gt;Games!$C$127),1,0))</f>
        <v/>
      </c>
      <c r="AO22" s="13" t="str">
        <f>IF(OR(H22="",Results!H14=""),"",IF(AND(H22=Results!H14,Results!H14&lt;&gt;Games!$C$128),1,0))</f>
        <v/>
      </c>
      <c r="AP22" s="13" t="str">
        <f>IF(OR(I22="",Results!I14=""),"",IF(AND(I22=Results!I14,Results!I14&lt;&gt;Games!$C$129),1,0))</f>
        <v/>
      </c>
      <c r="AQ22" s="13" t="str">
        <f>IF(OR(J22="",Results!J14=""),"",IF(AND(J22=Results!J14,Results!J14&lt;&gt;Games!$C$130),1,0))</f>
        <v/>
      </c>
      <c r="AR22" s="13" t="str">
        <f>IF(OR(K22="",Results!K14=""),"",IF(AND(K22=Results!K14,Results!K14&lt;&gt;Games!$C$131),1,0))</f>
        <v/>
      </c>
      <c r="AS22" s="13" t="str">
        <f>IF(OR(L22="",Results!L14=""),"",IF(AND(L22=Results!L14,Results!L14&lt;&gt;Games!$C$132),1,0))</f>
        <v/>
      </c>
      <c r="AT22" s="13" t="str">
        <f>IF(OR(M22="",Results!M14=""),"",IF(AND(M22=Results!M14,Results!M14&lt;&gt;Games!$C$133),1,0))</f>
        <v/>
      </c>
      <c r="AU22" s="13" t="str">
        <f>IF(OR(N22="",Results!N14=""),"",IF(AND(N22=Results!N14,Results!N14&lt;&gt;Games!$C$134),1,0))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 t="str">
        <f>IF(OR(B23="",Results!B14=""),"",IF(B23=Results!B14,1+IF(OR($O23=1,$P23=1,$Q23=1),1,0),0))</f>
        <v/>
      </c>
      <c r="T23" s="4" t="str">
        <f>IF(OR(C23="",Results!C14=""),"",IF(C23=Results!C14,1+IF(OR($O23=2,$P23=2,$Q23=2),1,0),0))</f>
        <v/>
      </c>
      <c r="U23" s="4" t="str">
        <f>IF(OR(D23="",Results!D14=""),"",IF(D23=Results!D14,1+IF(OR($O23=3,$P23=3,$Q23=3),1,0),0))</f>
        <v/>
      </c>
      <c r="V23" s="4" t="str">
        <f>IF(OR(E23="",Results!E14=""),"",IF(E23=Results!E14,1+IF(OR($O23=4,$P23=4,$Q23=4),1,0),0))</f>
        <v/>
      </c>
      <c r="W23" s="4" t="str">
        <f>IF(OR(F23="",Results!F14=""),"",IF(F23=Results!F14,1+IF(OR($O23=5,$P23=5,$Q23=5),1,0),0))</f>
        <v/>
      </c>
      <c r="X23" s="4" t="str">
        <f>IF(OR(G23="",Results!G14=""),"",IF(G23=Results!G14,1+IF(OR($O23=6,$P23=6,$Q23=6),1,0),0))</f>
        <v/>
      </c>
      <c r="Y23" s="4" t="str">
        <f>IF(OR(H23="",Results!H14=""),"",IF(H23=Results!H14,1+IF(OR($O23=7,$P23=7,$Q23=7),1,0),0))</f>
        <v/>
      </c>
      <c r="Z23" s="4" t="str">
        <f>IF(OR(I23="",Results!I14=""),"",IF(I23=Results!I14,1+IF(OR($O23=8,$P23=8,$Q23=8),1,0),0))</f>
        <v/>
      </c>
      <c r="AA23" s="4" t="str">
        <f>IF(OR(J23="",Results!J14=""),"",IF(J23=Results!J14,1+IF(OR($O23=9,$P23=9,$Q23=9),1,0),0))</f>
        <v/>
      </c>
      <c r="AB23" s="4" t="str">
        <f>IF(OR(K23="",Results!K14=""),"",IF(K23=Results!K14,1+IF(OR($O23=10,$P23=10,$Q23=10),1,0),0))</f>
        <v/>
      </c>
      <c r="AC23" s="4" t="str">
        <f>IF(OR(L23="",Results!L14=""),"",IF(L23=Results!L14,1+IF(OR($O23=11,$P23=11,$Q23=11),1,0),0))</f>
        <v/>
      </c>
      <c r="AD23" s="4" t="str">
        <f>IF(OR(M23="",Results!M14=""),"",IF(M23=Results!M14,1+IF(OR($O23=12,$P23=12,$Q23=12),1,0),0))</f>
        <v/>
      </c>
      <c r="AE23" s="4" t="str">
        <f>IF(OR(N23="",Results!N14=""),"",IF(N23=Results!N14,1+IF(OR($O23=13,$P23=13,$Q23=13),1,0),0))</f>
        <v/>
      </c>
      <c r="AF23" s="11">
        <f t="shared" si="0"/>
        <v>0</v>
      </c>
      <c r="AG23" s="4" t="str">
        <f>IF(OR($R23="",Results!O14=""),"",ABS($R23-Results!O14))</f>
        <v/>
      </c>
      <c r="AH23" s="12">
        <v>55</v>
      </c>
      <c r="AI23" s="13" t="str">
        <f>IF(OR(B23="",Results!B14=""),"",IF(AND(B23=Results!B14,Results!B14&lt;&gt;Games!$C$122),1,0))</f>
        <v/>
      </c>
      <c r="AJ23" s="13" t="str">
        <f>IF(OR(C23="",Results!C14=""),"",IF(AND(C23=Results!C14,Results!C14&lt;&gt;Games!$C$123),1,0))</f>
        <v/>
      </c>
      <c r="AK23" s="13" t="str">
        <f>IF(OR(D23="",Results!D14=""),"",IF(AND(D23=Results!D14,Results!D14&lt;&gt;Games!$C$124),1,0))</f>
        <v/>
      </c>
      <c r="AL23" s="13" t="str">
        <f>IF(OR(E23="",Results!E14=""),"",IF(AND(E23=Results!E14,Results!E14&lt;&gt;Games!$C$125),1,0))</f>
        <v/>
      </c>
      <c r="AM23" s="13" t="str">
        <f>IF(OR(F23="",Results!F14=""),"",IF(AND(F23=Results!F14,Results!F14&lt;&gt;Games!$C$126),1,0))</f>
        <v/>
      </c>
      <c r="AN23" s="13" t="str">
        <f>IF(OR(G23="",Results!G14=""),"",IF(AND(G23=Results!G14,Results!G14&lt;&gt;Games!$C$127),1,0))</f>
        <v/>
      </c>
      <c r="AO23" s="13" t="str">
        <f>IF(OR(H23="",Results!H14=""),"",IF(AND(H23=Results!H14,Results!H14&lt;&gt;Games!$C$128),1,0))</f>
        <v/>
      </c>
      <c r="AP23" s="13" t="str">
        <f>IF(OR(I23="",Results!I14=""),"",IF(AND(I23=Results!I14,Results!I14&lt;&gt;Games!$C$129),1,0))</f>
        <v/>
      </c>
      <c r="AQ23" s="13" t="str">
        <f>IF(OR(J23="",Results!J14=""),"",IF(AND(J23=Results!J14,Results!J14&lt;&gt;Games!$C$130),1,0))</f>
        <v/>
      </c>
      <c r="AR23" s="13" t="str">
        <f>IF(OR(K23="",Results!K14=""),"",IF(AND(K23=Results!K14,Results!K14&lt;&gt;Games!$C$131),1,0))</f>
        <v/>
      </c>
      <c r="AS23" s="13" t="str">
        <f>IF(OR(L23="",Results!L14=""),"",IF(AND(L23=Results!L14,Results!L14&lt;&gt;Games!$C$132),1,0))</f>
        <v/>
      </c>
      <c r="AT23" s="13" t="str">
        <f>IF(OR(M23="",Results!M14=""),"",IF(AND(M23=Results!M14,Results!M14&lt;&gt;Games!$C$133),1,0))</f>
        <v/>
      </c>
      <c r="AU23" s="13" t="str">
        <f>IF(OR(N23="",Results!N14=""),"",IF(AND(N23=Results!N14,Results!N14&lt;&gt;Games!$C$134),1,0))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IF(OR(B24="",Results!B14=""),"",IF(B24=Results!B14,1+IF(OR($O24=1,$P24=1,$Q24=1),1,0),0))</f>
        <v/>
      </c>
      <c r="T24" s="4" t="str">
        <f>IF(OR(C24="",Results!C14=""),"",IF(C24=Results!C14,1+IF(OR($O24=2,$P24=2,$Q24=2),1,0),0))</f>
        <v/>
      </c>
      <c r="U24" s="4" t="str">
        <f>IF(OR(D24="",Results!D14=""),"",IF(D24=Results!D14,1+IF(OR($O24=3,$P24=3,$Q24=3),1,0),0))</f>
        <v/>
      </c>
      <c r="V24" s="4" t="str">
        <f>IF(OR(E24="",Results!E14=""),"",IF(E24=Results!E14,1+IF(OR($O24=4,$P24=4,$Q24=4),1,0),0))</f>
        <v/>
      </c>
      <c r="W24" s="4" t="str">
        <f>IF(OR(F24="",Results!F14=""),"",IF(F24=Results!F14,1+IF(OR($O24=5,$P24=5,$Q24=5),1,0),0))</f>
        <v/>
      </c>
      <c r="X24" s="4" t="str">
        <f>IF(OR(G24="",Results!G14=""),"",IF(G24=Results!G14,1+IF(OR($O24=6,$P24=6,$Q24=6),1,0),0))</f>
        <v/>
      </c>
      <c r="Y24" s="4" t="str">
        <f>IF(OR(H24="",Results!H14=""),"",IF(H24=Results!H14,1+IF(OR($O24=7,$P24=7,$Q24=7),1,0),0))</f>
        <v/>
      </c>
      <c r="Z24" s="4" t="str">
        <f>IF(OR(I24="",Results!I14=""),"",IF(I24=Results!I14,1+IF(OR($O24=8,$P24=8,$Q24=8),1,0),0))</f>
        <v/>
      </c>
      <c r="AA24" s="4" t="str">
        <f>IF(OR(J24="",Results!J14=""),"",IF(J24=Results!J14,1+IF(OR($O24=9,$P24=9,$Q24=9),1,0),0))</f>
        <v/>
      </c>
      <c r="AB24" s="4" t="str">
        <f>IF(OR(K24="",Results!K14=""),"",IF(K24=Results!K14,1+IF(OR($O24=10,$P24=10,$Q24=10),1,0),0))</f>
        <v/>
      </c>
      <c r="AC24" s="4" t="str">
        <f>IF(OR(L24="",Results!L14=""),"",IF(L24=Results!L14,1+IF(OR($O24=11,$P24=11,$Q24=11),1,0),0))</f>
        <v/>
      </c>
      <c r="AD24" s="4" t="str">
        <f>IF(OR(M24="",Results!M14=""),"",IF(M24=Results!M14,1+IF(OR($O24=12,$P24=12,$Q24=12),1,0),0))</f>
        <v/>
      </c>
      <c r="AE24" s="4" t="str">
        <f>IF(OR(N24="",Results!N14=""),"",IF(N24=Results!N14,1+IF(OR($O24=13,$P24=13,$Q24=13),1,0),0))</f>
        <v/>
      </c>
      <c r="AF24" s="11">
        <f t="shared" si="0"/>
        <v>0</v>
      </c>
      <c r="AG24" s="4" t="str">
        <f>IF(OR($R24="",Results!O14=""),"",ABS($R24-Results!O14))</f>
        <v/>
      </c>
      <c r="AH24" s="12">
        <v>47</v>
      </c>
      <c r="AI24" s="13" t="str">
        <f>IF(OR(B24="",Results!B14=""),"",IF(AND(B24=Results!B14,Results!B14&lt;&gt;Games!$C$122),1,0))</f>
        <v/>
      </c>
      <c r="AJ24" s="13" t="str">
        <f>IF(OR(C24="",Results!C14=""),"",IF(AND(C24=Results!C14,Results!C14&lt;&gt;Games!$C$123),1,0))</f>
        <v/>
      </c>
      <c r="AK24" s="13" t="str">
        <f>IF(OR(D24="",Results!D14=""),"",IF(AND(D24=Results!D14,Results!D14&lt;&gt;Games!$C$124),1,0))</f>
        <v/>
      </c>
      <c r="AL24" s="13" t="str">
        <f>IF(OR(E24="",Results!E14=""),"",IF(AND(E24=Results!E14,Results!E14&lt;&gt;Games!$C$125),1,0))</f>
        <v/>
      </c>
      <c r="AM24" s="13" t="str">
        <f>IF(OR(F24="",Results!F14=""),"",IF(AND(F24=Results!F14,Results!F14&lt;&gt;Games!$C$126),1,0))</f>
        <v/>
      </c>
      <c r="AN24" s="13" t="str">
        <f>IF(OR(G24="",Results!G14=""),"",IF(AND(G24=Results!G14,Results!G14&lt;&gt;Games!$C$127),1,0))</f>
        <v/>
      </c>
      <c r="AO24" s="13" t="str">
        <f>IF(OR(H24="",Results!H14=""),"",IF(AND(H24=Results!H14,Results!H14&lt;&gt;Games!$C$128),1,0))</f>
        <v/>
      </c>
      <c r="AP24" s="13" t="str">
        <f>IF(OR(I24="",Results!I14=""),"",IF(AND(I24=Results!I14,Results!I14&lt;&gt;Games!$C$129),1,0))</f>
        <v/>
      </c>
      <c r="AQ24" s="13" t="str">
        <f>IF(OR(J24="",Results!J14=""),"",IF(AND(J24=Results!J14,Results!J14&lt;&gt;Games!$C$130),1,0))</f>
        <v/>
      </c>
      <c r="AR24" s="13" t="str">
        <f>IF(OR(K24="",Results!K14=""),"",IF(AND(K24=Results!K14,Results!K14&lt;&gt;Games!$C$131),1,0))</f>
        <v/>
      </c>
      <c r="AS24" s="13" t="str">
        <f>IF(OR(L24="",Results!L14=""),"",IF(AND(L24=Results!L14,Results!L14&lt;&gt;Games!$C$132),1,0))</f>
        <v/>
      </c>
      <c r="AT24" s="13" t="str">
        <f>IF(OR(M24="",Results!M14=""),"",IF(AND(M24=Results!M14,Results!M14&lt;&gt;Games!$C$133),1,0))</f>
        <v/>
      </c>
      <c r="AU24" s="13" t="str">
        <f>IF(OR(N24="",Results!N14=""),"",IF(AND(N24=Results!N14,Results!N14&lt;&gt;Games!$C$134),1,0))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 t="str">
        <f>IF(OR(B25="",Results!B14=""),"",IF(B25=Results!B14,1+IF(OR($O25=1,$P25=1,$Q25=1),1,0),0))</f>
        <v/>
      </c>
      <c r="T25" s="4" t="str">
        <f>IF(OR(C25="",Results!C14=""),"",IF(C25=Results!C14,1+IF(OR($O25=2,$P25=2,$Q25=2),1,0),0))</f>
        <v/>
      </c>
      <c r="U25" s="4" t="str">
        <f>IF(OR(D25="",Results!D14=""),"",IF(D25=Results!D14,1+IF(OR($O25=3,$P25=3,$Q25=3),1,0),0))</f>
        <v/>
      </c>
      <c r="V25" s="4" t="str">
        <f>IF(OR(E25="",Results!E14=""),"",IF(E25=Results!E14,1+IF(OR($O25=4,$P25=4,$Q25=4),1,0),0))</f>
        <v/>
      </c>
      <c r="W25" s="4" t="str">
        <f>IF(OR(F25="",Results!F14=""),"",IF(F25=Results!F14,1+IF(OR($O25=5,$P25=5,$Q25=5),1,0),0))</f>
        <v/>
      </c>
      <c r="X25" s="4" t="str">
        <f>IF(OR(G25="",Results!G14=""),"",IF(G25=Results!G14,1+IF(OR($O25=6,$P25=6,$Q25=6),1,0),0))</f>
        <v/>
      </c>
      <c r="Y25" s="4" t="str">
        <f>IF(OR(H25="",Results!H14=""),"",IF(H25=Results!H14,1+IF(OR($O25=7,$P25=7,$Q25=7),1,0),0))</f>
        <v/>
      </c>
      <c r="Z25" s="4" t="str">
        <f>IF(OR(I25="",Results!I14=""),"",IF(I25=Results!I14,1+IF(OR($O25=8,$P25=8,$Q25=8),1,0),0))</f>
        <v/>
      </c>
      <c r="AA25" s="4" t="str">
        <f>IF(OR(J25="",Results!J14=""),"",IF(J25=Results!J14,1+IF(OR($O25=9,$P25=9,$Q25=9),1,0),0))</f>
        <v/>
      </c>
      <c r="AB25" s="4" t="str">
        <f>IF(OR(K25="",Results!K14=""),"",IF(K25=Results!K14,1+IF(OR($O25=10,$P25=10,$Q25=10),1,0),0))</f>
        <v/>
      </c>
      <c r="AC25" s="4" t="str">
        <f>IF(OR(L25="",Results!L14=""),"",IF(L25=Results!L14,1+IF(OR($O25=11,$P25=11,$Q25=11),1,0),0))</f>
        <v/>
      </c>
      <c r="AD25" s="4" t="str">
        <f>IF(OR(M25="",Results!M14=""),"",IF(M25=Results!M14,1+IF(OR($O25=12,$P25=12,$Q25=12),1,0),0))</f>
        <v/>
      </c>
      <c r="AE25" s="4" t="str">
        <f>IF(OR(N25="",Results!N14=""),"",IF(N25=Results!N14,1+IF(OR($O25=13,$P25=13,$Q25=13),1,0),0))</f>
        <v/>
      </c>
      <c r="AF25" s="11">
        <f t="shared" si="0"/>
        <v>0</v>
      </c>
      <c r="AG25" s="4" t="str">
        <f>IF(OR($R25="",Results!O14=""),"",ABS($R25-Results!O14))</f>
        <v/>
      </c>
      <c r="AH25" s="12">
        <v>54</v>
      </c>
      <c r="AI25" s="13" t="str">
        <f>IF(OR(B25="",Results!B14=""),"",IF(AND(B25=Results!B14,Results!B14&lt;&gt;Games!$C$122),1,0))</f>
        <v/>
      </c>
      <c r="AJ25" s="13" t="str">
        <f>IF(OR(C25="",Results!C14=""),"",IF(AND(C25=Results!C14,Results!C14&lt;&gt;Games!$C$123),1,0))</f>
        <v/>
      </c>
      <c r="AK25" s="13" t="str">
        <f>IF(OR(D25="",Results!D14=""),"",IF(AND(D25=Results!D14,Results!D14&lt;&gt;Games!$C$124),1,0))</f>
        <v/>
      </c>
      <c r="AL25" s="13" t="str">
        <f>IF(OR(E25="",Results!E14=""),"",IF(AND(E25=Results!E14,Results!E14&lt;&gt;Games!$C$125),1,0))</f>
        <v/>
      </c>
      <c r="AM25" s="13" t="str">
        <f>IF(OR(F25="",Results!F14=""),"",IF(AND(F25=Results!F14,Results!F14&lt;&gt;Games!$C$126),1,0))</f>
        <v/>
      </c>
      <c r="AN25" s="13" t="str">
        <f>IF(OR(G25="",Results!G14=""),"",IF(AND(G25=Results!G14,Results!G14&lt;&gt;Games!$C$127),1,0))</f>
        <v/>
      </c>
      <c r="AO25" s="13" t="str">
        <f>IF(OR(H25="",Results!H14=""),"",IF(AND(H25=Results!H14,Results!H14&lt;&gt;Games!$C$128),1,0))</f>
        <v/>
      </c>
      <c r="AP25" s="13" t="str">
        <f>IF(OR(I25="",Results!I14=""),"",IF(AND(I25=Results!I14,Results!I14&lt;&gt;Games!$C$129),1,0))</f>
        <v/>
      </c>
      <c r="AQ25" s="13" t="str">
        <f>IF(OR(J25="",Results!J14=""),"",IF(AND(J25=Results!J14,Results!J14&lt;&gt;Games!$C$130),1,0))</f>
        <v/>
      </c>
      <c r="AR25" s="13" t="str">
        <f>IF(OR(K25="",Results!K14=""),"",IF(AND(K25=Results!K14,Results!K14&lt;&gt;Games!$C$131),1,0))</f>
        <v/>
      </c>
      <c r="AS25" s="13" t="str">
        <f>IF(OR(L25="",Results!L14=""),"",IF(AND(L25=Results!L14,Results!L14&lt;&gt;Games!$C$132),1,0))</f>
        <v/>
      </c>
      <c r="AT25" s="13" t="str">
        <f>IF(OR(M25="",Results!M14=""),"",IF(AND(M25=Results!M14,Results!M14&lt;&gt;Games!$C$133),1,0))</f>
        <v/>
      </c>
      <c r="AU25" s="13" t="str">
        <f>IF(OR(N25="",Results!N14=""),"",IF(AND(N25=Results!N14,Results!N14&lt;&gt;Games!$C$134),1,0))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tr">
        <f>IF(OR(B26="",Results!B14=""),"",IF(B26=Results!B14,1+IF(OR($O26=1,$P26=1,$Q26=1),1,0),0))</f>
        <v/>
      </c>
      <c r="T26" s="4" t="str">
        <f>IF(OR(C26="",Results!C14=""),"",IF(C26=Results!C14,1+IF(OR($O26=2,$P26=2,$Q26=2),1,0),0))</f>
        <v/>
      </c>
      <c r="U26" s="4" t="str">
        <f>IF(OR(D26="",Results!D14=""),"",IF(D26=Results!D14,1+IF(OR($O26=3,$P26=3,$Q26=3),1,0),0))</f>
        <v/>
      </c>
      <c r="V26" s="4" t="str">
        <f>IF(OR(E26="",Results!E14=""),"",IF(E26=Results!E14,1+IF(OR($O26=4,$P26=4,$Q26=4),1,0),0))</f>
        <v/>
      </c>
      <c r="W26" s="4" t="str">
        <f>IF(OR(F26="",Results!F14=""),"",IF(F26=Results!F14,1+IF(OR($O26=5,$P26=5,$Q26=5),1,0),0))</f>
        <v/>
      </c>
      <c r="X26" s="4" t="str">
        <f>IF(OR(G26="",Results!G14=""),"",IF(G26=Results!G14,1+IF(OR($O26=6,$P26=6,$Q26=6),1,0),0))</f>
        <v/>
      </c>
      <c r="Y26" s="4" t="str">
        <f>IF(OR(H26="",Results!H14=""),"",IF(H26=Results!H14,1+IF(OR($O26=7,$P26=7,$Q26=7),1,0),0))</f>
        <v/>
      </c>
      <c r="Z26" s="4" t="str">
        <f>IF(OR(I26="",Results!I14=""),"",IF(I26=Results!I14,1+IF(OR($O26=8,$P26=8,$Q26=8),1,0),0))</f>
        <v/>
      </c>
      <c r="AA26" s="4" t="str">
        <f>IF(OR(J26="",Results!J14=""),"",IF(J26=Results!J14,1+IF(OR($O26=9,$P26=9,$Q26=9),1,0),0))</f>
        <v/>
      </c>
      <c r="AB26" s="4" t="str">
        <f>IF(OR(K26="",Results!K14=""),"",IF(K26=Results!K14,1+IF(OR($O26=10,$P26=10,$Q26=10),1,0),0))</f>
        <v/>
      </c>
      <c r="AC26" s="4" t="str">
        <f>IF(OR(L26="",Results!L14=""),"",IF(L26=Results!L14,1+IF(OR($O26=11,$P26=11,$Q26=11),1,0),0))</f>
        <v/>
      </c>
      <c r="AD26" s="4" t="str">
        <f>IF(OR(M26="",Results!M14=""),"",IF(M26=Results!M14,1+IF(OR($O26=12,$P26=12,$Q26=12),1,0),0))</f>
        <v/>
      </c>
      <c r="AE26" s="4" t="str">
        <f>IF(OR(N26="",Results!N14=""),"",IF(N26=Results!N14,1+IF(OR($O26=13,$P26=13,$Q26=13),1,0),0))</f>
        <v/>
      </c>
      <c r="AF26" s="11">
        <f t="shared" si="0"/>
        <v>0</v>
      </c>
      <c r="AG26" s="4" t="str">
        <f>IF(OR($R26="",Results!O14=""),"",ABS($R26-Results!O14))</f>
        <v/>
      </c>
      <c r="AH26" s="12">
        <v>48</v>
      </c>
      <c r="AI26" s="13" t="str">
        <f>IF(OR(B26="",Results!B14=""),"",IF(AND(B26=Results!B14,Results!B14&lt;&gt;Games!$C$122),1,0))</f>
        <v/>
      </c>
      <c r="AJ26" s="13" t="str">
        <f>IF(OR(C26="",Results!C14=""),"",IF(AND(C26=Results!C14,Results!C14&lt;&gt;Games!$C$123),1,0))</f>
        <v/>
      </c>
      <c r="AK26" s="13" t="str">
        <f>IF(OR(D26="",Results!D14=""),"",IF(AND(D26=Results!D14,Results!D14&lt;&gt;Games!$C$124),1,0))</f>
        <v/>
      </c>
      <c r="AL26" s="13" t="str">
        <f>IF(OR(E26="",Results!E14=""),"",IF(AND(E26=Results!E14,Results!E14&lt;&gt;Games!$C$125),1,0))</f>
        <v/>
      </c>
      <c r="AM26" s="13" t="str">
        <f>IF(OR(F26="",Results!F14=""),"",IF(AND(F26=Results!F14,Results!F14&lt;&gt;Games!$C$126),1,0))</f>
        <v/>
      </c>
      <c r="AN26" s="13" t="str">
        <f>IF(OR(G26="",Results!G14=""),"",IF(AND(G26=Results!G14,Results!G14&lt;&gt;Games!$C$127),1,0))</f>
        <v/>
      </c>
      <c r="AO26" s="13" t="str">
        <f>IF(OR(H26="",Results!H14=""),"",IF(AND(H26=Results!H14,Results!H14&lt;&gt;Games!$C$128),1,0))</f>
        <v/>
      </c>
      <c r="AP26" s="13" t="str">
        <f>IF(OR(I26="",Results!I14=""),"",IF(AND(I26=Results!I14,Results!I14&lt;&gt;Games!$C$129),1,0))</f>
        <v/>
      </c>
      <c r="AQ26" s="13" t="str">
        <f>IF(OR(J26="",Results!J14=""),"",IF(AND(J26=Results!J14,Results!J14&lt;&gt;Games!$C$130),1,0))</f>
        <v/>
      </c>
      <c r="AR26" s="13" t="str">
        <f>IF(OR(K26="",Results!K14=""),"",IF(AND(K26=Results!K14,Results!K14&lt;&gt;Games!$C$131),1,0))</f>
        <v/>
      </c>
      <c r="AS26" s="13" t="str">
        <f>IF(OR(L26="",Results!L14=""),"",IF(AND(L26=Results!L14,Results!L14&lt;&gt;Games!$C$132),1,0))</f>
        <v/>
      </c>
      <c r="AT26" s="13" t="str">
        <f>IF(OR(M26="",Results!M14=""),"",IF(AND(M26=Results!M14,Results!M14&lt;&gt;Games!$C$133),1,0))</f>
        <v/>
      </c>
      <c r="AU26" s="13" t="str">
        <f>IF(OR(N26="",Results!N14=""),"",IF(AND(N26=Results!N14,Results!N14&lt;&gt;Games!$C$134),1,0))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 t="str">
        <f>IF(OR(B27="",Results!B14=""),"",IF(B27=Results!B14,1+IF(OR($O27=1,$P27=1,$Q27=1),1,0),0))</f>
        <v/>
      </c>
      <c r="T27" s="4" t="str">
        <f>IF(OR(C27="",Results!C14=""),"",IF(C27=Results!C14,1+IF(OR($O27=2,$P27=2,$Q27=2),1,0),0))</f>
        <v/>
      </c>
      <c r="U27" s="4" t="str">
        <f>IF(OR(D27="",Results!D14=""),"",IF(D27=Results!D14,1+IF(OR($O27=3,$P27=3,$Q27=3),1,0),0))</f>
        <v/>
      </c>
      <c r="V27" s="4" t="str">
        <f>IF(OR(E27="",Results!E14=""),"",IF(E27=Results!E14,1+IF(OR($O27=4,$P27=4,$Q27=4),1,0),0))</f>
        <v/>
      </c>
      <c r="W27" s="4" t="str">
        <f>IF(OR(F27="",Results!F14=""),"",IF(F27=Results!F14,1+IF(OR($O27=5,$P27=5,$Q27=5),1,0),0))</f>
        <v/>
      </c>
      <c r="X27" s="4" t="str">
        <f>IF(OR(G27="",Results!G14=""),"",IF(G27=Results!G14,1+IF(OR($O27=6,$P27=6,$Q27=6),1,0),0))</f>
        <v/>
      </c>
      <c r="Y27" s="4" t="str">
        <f>IF(OR(H27="",Results!H14=""),"",IF(H27=Results!H14,1+IF(OR($O27=7,$P27=7,$Q27=7),1,0),0))</f>
        <v/>
      </c>
      <c r="Z27" s="4" t="str">
        <f>IF(OR(I27="",Results!I14=""),"",IF(I27=Results!I14,1+IF(OR($O27=8,$P27=8,$Q27=8),1,0),0))</f>
        <v/>
      </c>
      <c r="AA27" s="4" t="str">
        <f>IF(OR(J27="",Results!J14=""),"",IF(J27=Results!J14,1+IF(OR($O27=9,$P27=9,$Q27=9),1,0),0))</f>
        <v/>
      </c>
      <c r="AB27" s="4" t="str">
        <f>IF(OR(K27="",Results!K14=""),"",IF(K27=Results!K14,1+IF(OR($O27=10,$P27=10,$Q27=10),1,0),0))</f>
        <v/>
      </c>
      <c r="AC27" s="4" t="str">
        <f>IF(OR(L27="",Results!L14=""),"",IF(L27=Results!L14,1+IF(OR($O27=11,$P27=11,$Q27=11),1,0),0))</f>
        <v/>
      </c>
      <c r="AD27" s="4" t="str">
        <f>IF(OR(M27="",Results!M14=""),"",IF(M27=Results!M14,1+IF(OR($O27=12,$P27=12,$Q27=12),1,0),0))</f>
        <v/>
      </c>
      <c r="AE27" s="4" t="str">
        <f>IF(OR(N27="",Results!N14=""),"",IF(N27=Results!N14,1+IF(OR($O27=13,$P27=13,$Q27=13),1,0),0))</f>
        <v/>
      </c>
      <c r="AF27" s="11">
        <f t="shared" si="0"/>
        <v>0</v>
      </c>
      <c r="AG27" s="4" t="str">
        <f>IF(OR($R27="",Results!O14=""),"",ABS($R27-Results!O14))</f>
        <v/>
      </c>
      <c r="AH27" s="12">
        <v>38</v>
      </c>
      <c r="AI27" s="13" t="str">
        <f>IF(OR(B27="",Results!B14=""),"",IF(AND(B27=Results!B14,Results!B14&lt;&gt;Games!$C$122),1,0))</f>
        <v/>
      </c>
      <c r="AJ27" s="13" t="str">
        <f>IF(OR(C27="",Results!C14=""),"",IF(AND(C27=Results!C14,Results!C14&lt;&gt;Games!$C$123),1,0))</f>
        <v/>
      </c>
      <c r="AK27" s="13" t="str">
        <f>IF(OR(D27="",Results!D14=""),"",IF(AND(D27=Results!D14,Results!D14&lt;&gt;Games!$C$124),1,0))</f>
        <v/>
      </c>
      <c r="AL27" s="13" t="str">
        <f>IF(OR(E27="",Results!E14=""),"",IF(AND(E27=Results!E14,Results!E14&lt;&gt;Games!$C$125),1,0))</f>
        <v/>
      </c>
      <c r="AM27" s="13" t="str">
        <f>IF(OR(F27="",Results!F14=""),"",IF(AND(F27=Results!F14,Results!F14&lt;&gt;Games!$C$126),1,0))</f>
        <v/>
      </c>
      <c r="AN27" s="13" t="str">
        <f>IF(OR(G27="",Results!G14=""),"",IF(AND(G27=Results!G14,Results!G14&lt;&gt;Games!$C$127),1,0))</f>
        <v/>
      </c>
      <c r="AO27" s="13" t="str">
        <f>IF(OR(H27="",Results!H14=""),"",IF(AND(H27=Results!H14,Results!H14&lt;&gt;Games!$C$128),1,0))</f>
        <v/>
      </c>
      <c r="AP27" s="13" t="str">
        <f>IF(OR(I27="",Results!I14=""),"",IF(AND(I27=Results!I14,Results!I14&lt;&gt;Games!$C$129),1,0))</f>
        <v/>
      </c>
      <c r="AQ27" s="13" t="str">
        <f>IF(OR(J27="",Results!J14=""),"",IF(AND(J27=Results!J14,Results!J14&lt;&gt;Games!$C$130),1,0))</f>
        <v/>
      </c>
      <c r="AR27" s="13" t="str">
        <f>IF(OR(K27="",Results!K14=""),"",IF(AND(K27=Results!K14,Results!K14&lt;&gt;Games!$C$131),1,0))</f>
        <v/>
      </c>
      <c r="AS27" s="13" t="str">
        <f>IF(OR(L27="",Results!L14=""),"",IF(AND(L27=Results!L14,Results!L14&lt;&gt;Games!$C$132),1,0))</f>
        <v/>
      </c>
      <c r="AT27" s="13" t="str">
        <f>IF(OR(M27="",Results!M14=""),"",IF(AND(M27=Results!M14,Results!M14&lt;&gt;Games!$C$133),1,0))</f>
        <v/>
      </c>
      <c r="AU27" s="13" t="str">
        <f>IF(OR(N27="",Results!N14=""),"",IF(AND(N27=Results!N14,Results!N14&lt;&gt;Games!$C$134),1,0))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IF(OR(B28="",Results!B14=""),"",IF(B28=Results!B14,1+IF(OR($O28=1,$P28=1,$Q28=1),1,0),0))</f>
        <v/>
      </c>
      <c r="T28" s="4" t="str">
        <f>IF(OR(C28="",Results!C14=""),"",IF(C28=Results!C14,1+IF(OR($O28=2,$P28=2,$Q28=2),1,0),0))</f>
        <v/>
      </c>
      <c r="U28" s="4" t="str">
        <f>IF(OR(D28="",Results!D14=""),"",IF(D28=Results!D14,1+IF(OR($O28=3,$P28=3,$Q28=3),1,0),0))</f>
        <v/>
      </c>
      <c r="V28" s="4" t="str">
        <f>IF(OR(E28="",Results!E14=""),"",IF(E28=Results!E14,1+IF(OR($O28=4,$P28=4,$Q28=4),1,0),0))</f>
        <v/>
      </c>
      <c r="W28" s="4" t="str">
        <f>IF(OR(F28="",Results!F14=""),"",IF(F28=Results!F14,1+IF(OR($O28=5,$P28=5,$Q28=5),1,0),0))</f>
        <v/>
      </c>
      <c r="X28" s="4" t="str">
        <f>IF(OR(G28="",Results!G14=""),"",IF(G28=Results!G14,1+IF(OR($O28=6,$P28=6,$Q28=6),1,0),0))</f>
        <v/>
      </c>
      <c r="Y28" s="4" t="str">
        <f>IF(OR(H28="",Results!H14=""),"",IF(H28=Results!H14,1+IF(OR($O28=7,$P28=7,$Q28=7),1,0),0))</f>
        <v/>
      </c>
      <c r="Z28" s="4" t="str">
        <f>IF(OR(I28="",Results!I14=""),"",IF(I28=Results!I14,1+IF(OR($O28=8,$P28=8,$Q28=8),1,0),0))</f>
        <v/>
      </c>
      <c r="AA28" s="4" t="str">
        <f>IF(OR(J28="",Results!J14=""),"",IF(J28=Results!J14,1+IF(OR($O28=9,$P28=9,$Q28=9),1,0),0))</f>
        <v/>
      </c>
      <c r="AB28" s="4" t="str">
        <f>IF(OR(K28="",Results!K14=""),"",IF(K28=Results!K14,1+IF(OR($O28=10,$P28=10,$Q28=10),1,0),0))</f>
        <v/>
      </c>
      <c r="AC28" s="4" t="str">
        <f>IF(OR(L28="",Results!L14=""),"",IF(L28=Results!L14,1+IF(OR($O28=11,$P28=11,$Q28=11),1,0),0))</f>
        <v/>
      </c>
      <c r="AD28" s="4" t="str">
        <f>IF(OR(M28="",Results!M14=""),"",IF(M28=Results!M14,1+IF(OR($O28=12,$P28=12,$Q28=12),1,0),0))</f>
        <v/>
      </c>
      <c r="AE28" s="4" t="str">
        <f>IF(OR(N28="",Results!N14=""),"",IF(N28=Results!N14,1+IF(OR($O28=13,$P28=13,$Q28=13),1,0),0))</f>
        <v/>
      </c>
      <c r="AF28" s="11">
        <f t="shared" si="0"/>
        <v>0</v>
      </c>
      <c r="AG28" s="4" t="str">
        <f>IF(OR($R28="",Results!O14=""),"",ABS($R28-Results!O14))</f>
        <v/>
      </c>
      <c r="AH28" s="12">
        <v>60</v>
      </c>
      <c r="AI28" s="13" t="str">
        <f>IF(OR(B28="",Results!B14=""),"",IF(AND(B28=Results!B14,Results!B14&lt;&gt;Games!$C$122),1,0))</f>
        <v/>
      </c>
      <c r="AJ28" s="13" t="str">
        <f>IF(OR(C28="",Results!C14=""),"",IF(AND(C28=Results!C14,Results!C14&lt;&gt;Games!$C$123),1,0))</f>
        <v/>
      </c>
      <c r="AK28" s="13" t="str">
        <f>IF(OR(D28="",Results!D14=""),"",IF(AND(D28=Results!D14,Results!D14&lt;&gt;Games!$C$124),1,0))</f>
        <v/>
      </c>
      <c r="AL28" s="13" t="str">
        <f>IF(OR(E28="",Results!E14=""),"",IF(AND(E28=Results!E14,Results!E14&lt;&gt;Games!$C$125),1,0))</f>
        <v/>
      </c>
      <c r="AM28" s="13" t="str">
        <f>IF(OR(F28="",Results!F14=""),"",IF(AND(F28=Results!F14,Results!F14&lt;&gt;Games!$C$126),1,0))</f>
        <v/>
      </c>
      <c r="AN28" s="13" t="str">
        <f>IF(OR(G28="",Results!G14=""),"",IF(AND(G28=Results!G14,Results!G14&lt;&gt;Games!$C$127),1,0))</f>
        <v/>
      </c>
      <c r="AO28" s="13" t="str">
        <f>IF(OR(H28="",Results!H14=""),"",IF(AND(H28=Results!H14,Results!H14&lt;&gt;Games!$C$128),1,0))</f>
        <v/>
      </c>
      <c r="AP28" s="13" t="str">
        <f>IF(OR(I28="",Results!I14=""),"",IF(AND(I28=Results!I14,Results!I14&lt;&gt;Games!$C$129),1,0))</f>
        <v/>
      </c>
      <c r="AQ28" s="13" t="str">
        <f>IF(OR(J28="",Results!J14=""),"",IF(AND(J28=Results!J14,Results!J14&lt;&gt;Games!$C$130),1,0))</f>
        <v/>
      </c>
      <c r="AR28" s="13" t="str">
        <f>IF(OR(K28="",Results!K14=""),"",IF(AND(K28=Results!K14,Results!K14&lt;&gt;Games!$C$131),1,0))</f>
        <v/>
      </c>
      <c r="AS28" s="13" t="str">
        <f>IF(OR(L28="",Results!L14=""),"",IF(AND(L28=Results!L14,Results!L14&lt;&gt;Games!$C$132),1,0))</f>
        <v/>
      </c>
      <c r="AT28" s="13" t="str">
        <f>IF(OR(M28="",Results!M14=""),"",IF(AND(M28=Results!M14,Results!M14&lt;&gt;Games!$C$133),1,0))</f>
        <v/>
      </c>
      <c r="AU28" s="13" t="str">
        <f>IF(OR(N28="",Results!N14=""),"",IF(AND(N28=Results!N14,Results!N14&lt;&gt;Games!$C$134),1,0))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IF(OR(B29="",Results!B14=""),"",IF(B29=Results!B14,1+IF(OR($O29=1,$P29=1,$Q29=1),1,0),0))</f>
        <v/>
      </c>
      <c r="T29" s="4" t="str">
        <f>IF(OR(C29="",Results!C14=""),"",IF(C29=Results!C14,1+IF(OR($O29=2,$P29=2,$Q29=2),1,0),0))</f>
        <v/>
      </c>
      <c r="U29" s="4" t="str">
        <f>IF(OR(D29="",Results!D14=""),"",IF(D29=Results!D14,1+IF(OR($O29=3,$P29=3,$Q29=3),1,0),0))</f>
        <v/>
      </c>
      <c r="V29" s="4" t="str">
        <f>IF(OR(E29="",Results!E14=""),"",IF(E29=Results!E14,1+IF(OR($O29=4,$P29=4,$Q29=4),1,0),0))</f>
        <v/>
      </c>
      <c r="W29" s="4" t="str">
        <f>IF(OR(F29="",Results!F14=""),"",IF(F29=Results!F14,1+IF(OR($O29=5,$P29=5,$Q29=5),1,0),0))</f>
        <v/>
      </c>
      <c r="X29" s="4" t="str">
        <f>IF(OR(G29="",Results!G14=""),"",IF(G29=Results!G14,1+IF(OR($O29=6,$P29=6,$Q29=6),1,0),0))</f>
        <v/>
      </c>
      <c r="Y29" s="4" t="str">
        <f>IF(OR(H29="",Results!H14=""),"",IF(H29=Results!H14,1+IF(OR($O29=7,$P29=7,$Q29=7),1,0),0))</f>
        <v/>
      </c>
      <c r="Z29" s="4" t="str">
        <f>IF(OR(I29="",Results!I14=""),"",IF(I29=Results!I14,1+IF(OR($O29=8,$P29=8,$Q29=8),1,0),0))</f>
        <v/>
      </c>
      <c r="AA29" s="4" t="str">
        <f>IF(OR(J29="",Results!J14=""),"",IF(J29=Results!J14,1+IF(OR($O29=9,$P29=9,$Q29=9),1,0),0))</f>
        <v/>
      </c>
      <c r="AB29" s="4" t="str">
        <f>IF(OR(K29="",Results!K14=""),"",IF(K29=Results!K14,1+IF(OR($O29=10,$P29=10,$Q29=10),1,0),0))</f>
        <v/>
      </c>
      <c r="AC29" s="4" t="str">
        <f>IF(OR(L29="",Results!L14=""),"",IF(L29=Results!L14,1+IF(OR($O29=11,$P29=11,$Q29=11),1,0),0))</f>
        <v/>
      </c>
      <c r="AD29" s="4" t="str">
        <f>IF(OR(M29="",Results!M14=""),"",IF(M29=Results!M14,1+IF(OR($O29=12,$P29=12,$Q29=12),1,0),0))</f>
        <v/>
      </c>
      <c r="AE29" s="4" t="str">
        <f>IF(OR(N29="",Results!N14=""),"",IF(N29=Results!N14,1+IF(OR($O29=13,$P29=13,$Q29=13),1,0),0))</f>
        <v/>
      </c>
      <c r="AF29" s="11">
        <f t="shared" si="0"/>
        <v>0</v>
      </c>
      <c r="AG29" s="4" t="str">
        <f>IF(OR($R29="",Results!O14=""),"",ABS($R29-Results!O14))</f>
        <v/>
      </c>
      <c r="AH29" s="12">
        <v>11</v>
      </c>
      <c r="AI29" s="13" t="str">
        <f>IF(OR(B29="",Results!B14=""),"",IF(AND(B29=Results!B14,Results!B14&lt;&gt;Games!$C$122),1,0))</f>
        <v/>
      </c>
      <c r="AJ29" s="13" t="str">
        <f>IF(OR(C29="",Results!C14=""),"",IF(AND(C29=Results!C14,Results!C14&lt;&gt;Games!$C$123),1,0))</f>
        <v/>
      </c>
      <c r="AK29" s="13" t="str">
        <f>IF(OR(D29="",Results!D14=""),"",IF(AND(D29=Results!D14,Results!D14&lt;&gt;Games!$C$124),1,0))</f>
        <v/>
      </c>
      <c r="AL29" s="13" t="str">
        <f>IF(OR(E29="",Results!E14=""),"",IF(AND(E29=Results!E14,Results!E14&lt;&gt;Games!$C$125),1,0))</f>
        <v/>
      </c>
      <c r="AM29" s="13" t="str">
        <f>IF(OR(F29="",Results!F14=""),"",IF(AND(F29=Results!F14,Results!F14&lt;&gt;Games!$C$126),1,0))</f>
        <v/>
      </c>
      <c r="AN29" s="13" t="str">
        <f>IF(OR(G29="",Results!G14=""),"",IF(AND(G29=Results!G14,Results!G14&lt;&gt;Games!$C$127),1,0))</f>
        <v/>
      </c>
      <c r="AO29" s="13" t="str">
        <f>IF(OR(H29="",Results!H14=""),"",IF(AND(H29=Results!H14,Results!H14&lt;&gt;Games!$C$128),1,0))</f>
        <v/>
      </c>
      <c r="AP29" s="13" t="str">
        <f>IF(OR(I29="",Results!I14=""),"",IF(AND(I29=Results!I14,Results!I14&lt;&gt;Games!$C$129),1,0))</f>
        <v/>
      </c>
      <c r="AQ29" s="13" t="str">
        <f>IF(OR(J29="",Results!J14=""),"",IF(AND(J29=Results!J14,Results!J14&lt;&gt;Games!$C$130),1,0))</f>
        <v/>
      </c>
      <c r="AR29" s="13" t="str">
        <f>IF(OR(K29="",Results!K14=""),"",IF(AND(K29=Results!K14,Results!K14&lt;&gt;Games!$C$131),1,0))</f>
        <v/>
      </c>
      <c r="AS29" s="13" t="str">
        <f>IF(OR(L29="",Results!L14=""),"",IF(AND(L29=Results!L14,Results!L14&lt;&gt;Games!$C$132),1,0))</f>
        <v/>
      </c>
      <c r="AT29" s="13" t="str">
        <f>IF(OR(M29="",Results!M14=""),"",IF(AND(M29=Results!M14,Results!M14&lt;&gt;Games!$C$133),1,0))</f>
        <v/>
      </c>
      <c r="AU29" s="13" t="str">
        <f>IF(OR(N29="",Results!N14=""),"",IF(AND(N29=Results!N14,Results!N14&lt;&gt;Games!$C$134),1,0))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 t="str">
        <f>IF(OR(B30="",Results!B14=""),"",IF(B30=Results!B14,1+IF(OR($O30=1,$P30=1,$Q30=1),1,0),0))</f>
        <v/>
      </c>
      <c r="T30" s="4" t="str">
        <f>IF(OR(C30="",Results!C14=""),"",IF(C30=Results!C14,1+IF(OR($O30=2,$P30=2,$Q30=2),1,0),0))</f>
        <v/>
      </c>
      <c r="U30" s="4" t="str">
        <f>IF(OR(D30="",Results!D14=""),"",IF(D30=Results!D14,1+IF(OR($O30=3,$P30=3,$Q30=3),1,0),0))</f>
        <v/>
      </c>
      <c r="V30" s="4" t="str">
        <f>IF(OR(E30="",Results!E14=""),"",IF(E30=Results!E14,1+IF(OR($O30=4,$P30=4,$Q30=4),1,0),0))</f>
        <v/>
      </c>
      <c r="W30" s="4" t="str">
        <f>IF(OR(F30="",Results!F14=""),"",IF(F30=Results!F14,1+IF(OR($O30=5,$P30=5,$Q30=5),1,0),0))</f>
        <v/>
      </c>
      <c r="X30" s="4" t="str">
        <f>IF(OR(G30="",Results!G14=""),"",IF(G30=Results!G14,1+IF(OR($O30=6,$P30=6,$Q30=6),1,0),0))</f>
        <v/>
      </c>
      <c r="Y30" s="4" t="str">
        <f>IF(OR(H30="",Results!H14=""),"",IF(H30=Results!H14,1+IF(OR($O30=7,$P30=7,$Q30=7),1,0),0))</f>
        <v/>
      </c>
      <c r="Z30" s="4" t="str">
        <f>IF(OR(I30="",Results!I14=""),"",IF(I30=Results!I14,1+IF(OR($O30=8,$P30=8,$Q30=8),1,0),0))</f>
        <v/>
      </c>
      <c r="AA30" s="4" t="str">
        <f>IF(OR(J30="",Results!J14=""),"",IF(J30=Results!J14,1+IF(OR($O30=9,$P30=9,$Q30=9),1,0),0))</f>
        <v/>
      </c>
      <c r="AB30" s="4" t="str">
        <f>IF(OR(K30="",Results!K14=""),"",IF(K30=Results!K14,1+IF(OR($O30=10,$P30=10,$Q30=10),1,0),0))</f>
        <v/>
      </c>
      <c r="AC30" s="4" t="str">
        <f>IF(OR(L30="",Results!L14=""),"",IF(L30=Results!L14,1+IF(OR($O30=11,$P30=11,$Q30=11),1,0),0))</f>
        <v/>
      </c>
      <c r="AD30" s="4" t="str">
        <f>IF(OR(M30="",Results!M14=""),"",IF(M30=Results!M14,1+IF(OR($O30=12,$P30=12,$Q30=12),1,0),0))</f>
        <v/>
      </c>
      <c r="AE30" s="4" t="str">
        <f>IF(OR(N30="",Results!N14=""),"",IF(N30=Results!N14,1+IF(OR($O30=13,$P30=13,$Q30=13),1,0),0))</f>
        <v/>
      </c>
      <c r="AF30" s="11">
        <f t="shared" si="0"/>
        <v>0</v>
      </c>
      <c r="AG30" s="4" t="str">
        <f>IF(OR($R30="",Results!O14=""),"",ABS($R30-Results!O14))</f>
        <v/>
      </c>
      <c r="AH30" s="12">
        <v>12</v>
      </c>
      <c r="AI30" s="13" t="str">
        <f>IF(OR(B30="",Results!B14=""),"",IF(AND(B30=Results!B14,Results!B14&lt;&gt;Games!$C$122),1,0))</f>
        <v/>
      </c>
      <c r="AJ30" s="13" t="str">
        <f>IF(OR(C30="",Results!C14=""),"",IF(AND(C30=Results!C14,Results!C14&lt;&gt;Games!$C$123),1,0))</f>
        <v/>
      </c>
      <c r="AK30" s="13" t="str">
        <f>IF(OR(D30="",Results!D14=""),"",IF(AND(D30=Results!D14,Results!D14&lt;&gt;Games!$C$124),1,0))</f>
        <v/>
      </c>
      <c r="AL30" s="13" t="str">
        <f>IF(OR(E30="",Results!E14=""),"",IF(AND(E30=Results!E14,Results!E14&lt;&gt;Games!$C$125),1,0))</f>
        <v/>
      </c>
      <c r="AM30" s="13" t="str">
        <f>IF(OR(F30="",Results!F14=""),"",IF(AND(F30=Results!F14,Results!F14&lt;&gt;Games!$C$126),1,0))</f>
        <v/>
      </c>
      <c r="AN30" s="13" t="str">
        <f>IF(OR(G30="",Results!G14=""),"",IF(AND(G30=Results!G14,Results!G14&lt;&gt;Games!$C$127),1,0))</f>
        <v/>
      </c>
      <c r="AO30" s="13" t="str">
        <f>IF(OR(H30="",Results!H14=""),"",IF(AND(H30=Results!H14,Results!H14&lt;&gt;Games!$C$128),1,0))</f>
        <v/>
      </c>
      <c r="AP30" s="13" t="str">
        <f>IF(OR(I30="",Results!I14=""),"",IF(AND(I30=Results!I14,Results!I14&lt;&gt;Games!$C$129),1,0))</f>
        <v/>
      </c>
      <c r="AQ30" s="13" t="str">
        <f>IF(OR(J30="",Results!J14=""),"",IF(AND(J30=Results!J14,Results!J14&lt;&gt;Games!$C$130),1,0))</f>
        <v/>
      </c>
      <c r="AR30" s="13" t="str">
        <f>IF(OR(K30="",Results!K14=""),"",IF(AND(K30=Results!K14,Results!K14&lt;&gt;Games!$C$131),1,0))</f>
        <v/>
      </c>
      <c r="AS30" s="13" t="str">
        <f>IF(OR(L30="",Results!L14=""),"",IF(AND(L30=Results!L14,Results!L14&lt;&gt;Games!$C$132),1,0))</f>
        <v/>
      </c>
      <c r="AT30" s="13" t="str">
        <f>IF(OR(M30="",Results!M14=""),"",IF(AND(M30=Results!M14,Results!M14&lt;&gt;Games!$C$133),1,0))</f>
        <v/>
      </c>
      <c r="AU30" s="13" t="str">
        <f>IF(OR(N30="",Results!N14=""),"",IF(AND(N30=Results!N14,Results!N14&lt;&gt;Games!$C$134),1,0))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IF(OR(B31="",Results!B14=""),"",IF(B31=Results!B14,1+IF(OR($O31=1,$P31=1,$Q31=1),1,0),0))</f>
        <v/>
      </c>
      <c r="T31" s="4" t="str">
        <f>IF(OR(C31="",Results!C14=""),"",IF(C31=Results!C14,1+IF(OR($O31=2,$P31=2,$Q31=2),1,0),0))</f>
        <v/>
      </c>
      <c r="U31" s="4" t="str">
        <f>IF(OR(D31="",Results!D14=""),"",IF(D31=Results!D14,1+IF(OR($O31=3,$P31=3,$Q31=3),1,0),0))</f>
        <v/>
      </c>
      <c r="V31" s="4" t="str">
        <f>IF(OR(E31="",Results!E14=""),"",IF(E31=Results!E14,1+IF(OR($O31=4,$P31=4,$Q31=4),1,0),0))</f>
        <v/>
      </c>
      <c r="W31" s="4" t="str">
        <f>IF(OR(F31="",Results!F14=""),"",IF(F31=Results!F14,1+IF(OR($O31=5,$P31=5,$Q31=5),1,0),0))</f>
        <v/>
      </c>
      <c r="X31" s="4" t="str">
        <f>IF(OR(G31="",Results!G14=""),"",IF(G31=Results!G14,1+IF(OR($O31=6,$P31=6,$Q31=6),1,0),0))</f>
        <v/>
      </c>
      <c r="Y31" s="4" t="str">
        <f>IF(OR(H31="",Results!H14=""),"",IF(H31=Results!H14,1+IF(OR($O31=7,$P31=7,$Q31=7),1,0),0))</f>
        <v/>
      </c>
      <c r="Z31" s="4" t="str">
        <f>IF(OR(I31="",Results!I14=""),"",IF(I31=Results!I14,1+IF(OR($O31=8,$P31=8,$Q31=8),1,0),0))</f>
        <v/>
      </c>
      <c r="AA31" s="4" t="str">
        <f>IF(OR(J31="",Results!J14=""),"",IF(J31=Results!J14,1+IF(OR($O31=9,$P31=9,$Q31=9),1,0),0))</f>
        <v/>
      </c>
      <c r="AB31" s="4" t="str">
        <f>IF(OR(K31="",Results!K14=""),"",IF(K31=Results!K14,1+IF(OR($O31=10,$P31=10,$Q31=10),1,0),0))</f>
        <v/>
      </c>
      <c r="AC31" s="4" t="str">
        <f>IF(OR(L31="",Results!L14=""),"",IF(L31=Results!L14,1+IF(OR($O31=11,$P31=11,$Q31=11),1,0),0))</f>
        <v/>
      </c>
      <c r="AD31" s="4" t="str">
        <f>IF(OR(M31="",Results!M14=""),"",IF(M31=Results!M14,1+IF(OR($O31=12,$P31=12,$Q31=12),1,0),0))</f>
        <v/>
      </c>
      <c r="AE31" s="4" t="str">
        <f>IF(OR(N31="",Results!N14=""),"",IF(N31=Results!N14,1+IF(OR($O31=13,$P31=13,$Q31=13),1,0),0))</f>
        <v/>
      </c>
      <c r="AF31" s="11">
        <f t="shared" si="0"/>
        <v>0</v>
      </c>
      <c r="AG31" s="4" t="str">
        <f>IF(OR($R31="",Results!O14=""),"",ABS($R31-Results!O14))</f>
        <v/>
      </c>
      <c r="AH31" s="12">
        <v>13</v>
      </c>
      <c r="AI31" s="13" t="str">
        <f>IF(OR(B31="",Results!B14=""),"",IF(AND(B31=Results!B14,Results!B14&lt;&gt;Games!$C$122),1,0))</f>
        <v/>
      </c>
      <c r="AJ31" s="13" t="str">
        <f>IF(OR(C31="",Results!C14=""),"",IF(AND(C31=Results!C14,Results!C14&lt;&gt;Games!$C$123),1,0))</f>
        <v/>
      </c>
      <c r="AK31" s="13" t="str">
        <f>IF(OR(D31="",Results!D14=""),"",IF(AND(D31=Results!D14,Results!D14&lt;&gt;Games!$C$124),1,0))</f>
        <v/>
      </c>
      <c r="AL31" s="13" t="str">
        <f>IF(OR(E31="",Results!E14=""),"",IF(AND(E31=Results!E14,Results!E14&lt;&gt;Games!$C$125),1,0))</f>
        <v/>
      </c>
      <c r="AM31" s="13" t="str">
        <f>IF(OR(F31="",Results!F14=""),"",IF(AND(F31=Results!F14,Results!F14&lt;&gt;Games!$C$126),1,0))</f>
        <v/>
      </c>
      <c r="AN31" s="13" t="str">
        <f>IF(OR(G31="",Results!G14=""),"",IF(AND(G31=Results!G14,Results!G14&lt;&gt;Games!$C$127),1,0))</f>
        <v/>
      </c>
      <c r="AO31" s="13" t="str">
        <f>IF(OR(H31="",Results!H14=""),"",IF(AND(H31=Results!H14,Results!H14&lt;&gt;Games!$C$128),1,0))</f>
        <v/>
      </c>
      <c r="AP31" s="13" t="str">
        <f>IF(OR(I31="",Results!I14=""),"",IF(AND(I31=Results!I14,Results!I14&lt;&gt;Games!$C$129),1,0))</f>
        <v/>
      </c>
      <c r="AQ31" s="13" t="str">
        <f>IF(OR(J31="",Results!J14=""),"",IF(AND(J31=Results!J14,Results!J14&lt;&gt;Games!$C$130),1,0))</f>
        <v/>
      </c>
      <c r="AR31" s="13" t="str">
        <f>IF(OR(K31="",Results!K14=""),"",IF(AND(K31=Results!K14,Results!K14&lt;&gt;Games!$C$131),1,0))</f>
        <v/>
      </c>
      <c r="AS31" s="13" t="str">
        <f>IF(OR(L31="",Results!L14=""),"",IF(AND(L31=Results!L14,Results!L14&lt;&gt;Games!$C$132),1,0))</f>
        <v/>
      </c>
      <c r="AT31" s="13" t="str">
        <f>IF(OR(M31="",Results!M14=""),"",IF(AND(M31=Results!M14,Results!M14&lt;&gt;Games!$C$133),1,0))</f>
        <v/>
      </c>
      <c r="AU31" s="13" t="str">
        <f>IF(OR(N31="",Results!N14=""),"",IF(AND(N31=Results!N14,Results!N14&lt;&gt;Games!$C$134),1,0))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IF(OR(B32="",Results!B14=""),"",IF(B32=Results!B14,1+IF(OR($O32=1,$P32=1,$Q32=1),1,0),0))</f>
        <v/>
      </c>
      <c r="T32" s="4" t="str">
        <f>IF(OR(C32="",Results!C14=""),"",IF(C32=Results!C14,1+IF(OR($O32=2,$P32=2,$Q32=2),1,0),0))</f>
        <v/>
      </c>
      <c r="U32" s="4" t="str">
        <f>IF(OR(D32="",Results!D14=""),"",IF(D32=Results!D14,1+IF(OR($O32=3,$P32=3,$Q32=3),1,0),0))</f>
        <v/>
      </c>
      <c r="V32" s="4" t="str">
        <f>IF(OR(E32="",Results!E14=""),"",IF(E32=Results!E14,1+IF(OR($O32=4,$P32=4,$Q32=4),1,0),0))</f>
        <v/>
      </c>
      <c r="W32" s="4" t="str">
        <f>IF(OR(F32="",Results!F14=""),"",IF(F32=Results!F14,1+IF(OR($O32=5,$P32=5,$Q32=5),1,0),0))</f>
        <v/>
      </c>
      <c r="X32" s="4" t="str">
        <f>IF(OR(G32="",Results!G14=""),"",IF(G32=Results!G14,1+IF(OR($O32=6,$P32=6,$Q32=6),1,0),0))</f>
        <v/>
      </c>
      <c r="Y32" s="4" t="str">
        <f>IF(OR(H32="",Results!H14=""),"",IF(H32=Results!H14,1+IF(OR($O32=7,$P32=7,$Q32=7),1,0),0))</f>
        <v/>
      </c>
      <c r="Z32" s="4" t="str">
        <f>IF(OR(I32="",Results!I14=""),"",IF(I32=Results!I14,1+IF(OR($O32=8,$P32=8,$Q32=8),1,0),0))</f>
        <v/>
      </c>
      <c r="AA32" s="4" t="str">
        <f>IF(OR(J32="",Results!J14=""),"",IF(J32=Results!J14,1+IF(OR($O32=9,$P32=9,$Q32=9),1,0),0))</f>
        <v/>
      </c>
      <c r="AB32" s="4" t="str">
        <f>IF(OR(K32="",Results!K14=""),"",IF(K32=Results!K14,1+IF(OR($O32=10,$P32=10,$Q32=10),1,0),0))</f>
        <v/>
      </c>
      <c r="AC32" s="4" t="str">
        <f>IF(OR(L32="",Results!L14=""),"",IF(L32=Results!L14,1+IF(OR($O32=11,$P32=11,$Q32=11),1,0),0))</f>
        <v/>
      </c>
      <c r="AD32" s="4" t="str">
        <f>IF(OR(M32="",Results!M14=""),"",IF(M32=Results!M14,1+IF(OR($O32=12,$P32=12,$Q32=12),1,0),0))</f>
        <v/>
      </c>
      <c r="AE32" s="4" t="str">
        <f>IF(OR(N32="",Results!N14=""),"",IF(N32=Results!N14,1+IF(OR($O32=13,$P32=13,$Q32=13),1,0),0))</f>
        <v/>
      </c>
      <c r="AF32" s="11">
        <f t="shared" si="0"/>
        <v>0</v>
      </c>
      <c r="AG32" s="4" t="str">
        <f>IF(OR($R32="",Results!O14=""),"",ABS($R32-Results!O14))</f>
        <v/>
      </c>
      <c r="AH32" s="12">
        <v>14</v>
      </c>
      <c r="AI32" s="13" t="str">
        <f>IF(OR(B32="",Results!B14=""),"",IF(AND(B32=Results!B14,Results!B14&lt;&gt;Games!$C$122),1,0))</f>
        <v/>
      </c>
      <c r="AJ32" s="13" t="str">
        <f>IF(OR(C32="",Results!C14=""),"",IF(AND(C32=Results!C14,Results!C14&lt;&gt;Games!$C$123),1,0))</f>
        <v/>
      </c>
      <c r="AK32" s="13" t="str">
        <f>IF(OR(D32="",Results!D14=""),"",IF(AND(D32=Results!D14,Results!D14&lt;&gt;Games!$C$124),1,0))</f>
        <v/>
      </c>
      <c r="AL32" s="13" t="str">
        <f>IF(OR(E32="",Results!E14=""),"",IF(AND(E32=Results!E14,Results!E14&lt;&gt;Games!$C$125),1,0))</f>
        <v/>
      </c>
      <c r="AM32" s="13" t="str">
        <f>IF(OR(F32="",Results!F14=""),"",IF(AND(F32=Results!F14,Results!F14&lt;&gt;Games!$C$126),1,0))</f>
        <v/>
      </c>
      <c r="AN32" s="13" t="str">
        <f>IF(OR(G32="",Results!G14=""),"",IF(AND(G32=Results!G14,Results!G14&lt;&gt;Games!$C$127),1,0))</f>
        <v/>
      </c>
      <c r="AO32" s="13" t="str">
        <f>IF(OR(H32="",Results!H14=""),"",IF(AND(H32=Results!H14,Results!H14&lt;&gt;Games!$C$128),1,0))</f>
        <v/>
      </c>
      <c r="AP32" s="13" t="str">
        <f>IF(OR(I32="",Results!I14=""),"",IF(AND(I32=Results!I14,Results!I14&lt;&gt;Games!$C$129),1,0))</f>
        <v/>
      </c>
      <c r="AQ32" s="13" t="str">
        <f>IF(OR(J32="",Results!J14=""),"",IF(AND(J32=Results!J14,Results!J14&lt;&gt;Games!$C$130),1,0))</f>
        <v/>
      </c>
      <c r="AR32" s="13" t="str">
        <f>IF(OR(K32="",Results!K14=""),"",IF(AND(K32=Results!K14,Results!K14&lt;&gt;Games!$C$131),1,0))</f>
        <v/>
      </c>
      <c r="AS32" s="13" t="str">
        <f>IF(OR(L32="",Results!L14=""),"",IF(AND(L32=Results!L14,Results!L14&lt;&gt;Games!$C$132),1,0))</f>
        <v/>
      </c>
      <c r="AT32" s="13" t="str">
        <f>IF(OR(M32="",Results!M14=""),"",IF(AND(M32=Results!M14,Results!M14&lt;&gt;Games!$C$133),1,0))</f>
        <v/>
      </c>
      <c r="AU32" s="13" t="str">
        <f>IF(OR(N32="",Results!N14=""),"",IF(AND(N32=Results!N14,Results!N14&lt;&gt;Games!$C$134),1,0))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4" t="str">
        <f>IF(OR(B33="",Results!B14=""),"",IF(B33=Results!B14,1+IF(OR($O33=1,$P33=1,$Q33=1),1,0),0))</f>
        <v/>
      </c>
      <c r="T33" s="4" t="str">
        <f>IF(OR(C33="",Results!C14=""),"",IF(C33=Results!C14,1+IF(OR($O33=2,$P33=2,$Q33=2),1,0),0))</f>
        <v/>
      </c>
      <c r="U33" s="4" t="str">
        <f>IF(OR(D33="",Results!D14=""),"",IF(D33=Results!D14,1+IF(OR($O33=3,$P33=3,$Q33=3),1,0),0))</f>
        <v/>
      </c>
      <c r="V33" s="4" t="str">
        <f>IF(OR(E33="",Results!E14=""),"",IF(E33=Results!E14,1+IF(OR($O33=4,$P33=4,$Q33=4),1,0),0))</f>
        <v/>
      </c>
      <c r="W33" s="4" t="str">
        <f>IF(OR(F33="",Results!F14=""),"",IF(F33=Results!F14,1+IF(OR($O33=5,$P33=5,$Q33=5),1,0),0))</f>
        <v/>
      </c>
      <c r="X33" s="4" t="str">
        <f>IF(OR(G33="",Results!G14=""),"",IF(G33=Results!G14,1+IF(OR($O33=6,$P33=6,$Q33=6),1,0),0))</f>
        <v/>
      </c>
      <c r="Y33" s="4" t="str">
        <f>IF(OR(H33="",Results!H14=""),"",IF(H33=Results!H14,1+IF(OR($O33=7,$P33=7,$Q33=7),1,0),0))</f>
        <v/>
      </c>
      <c r="Z33" s="4" t="str">
        <f>IF(OR(I33="",Results!I14=""),"",IF(I33=Results!I14,1+IF(OR($O33=8,$P33=8,$Q33=8),1,0),0))</f>
        <v/>
      </c>
      <c r="AA33" s="4" t="str">
        <f>IF(OR(J33="",Results!J14=""),"",IF(J33=Results!J14,1+IF(OR($O33=9,$P33=9,$Q33=9),1,0),0))</f>
        <v/>
      </c>
      <c r="AB33" s="4" t="str">
        <f>IF(OR(K33="",Results!K14=""),"",IF(K33=Results!K14,1+IF(OR($O33=10,$P33=10,$Q33=10),1,0),0))</f>
        <v/>
      </c>
      <c r="AC33" s="4" t="str">
        <f>IF(OR(L33="",Results!L14=""),"",IF(L33=Results!L14,1+IF(OR($O33=11,$P33=11,$Q33=11),1,0),0))</f>
        <v/>
      </c>
      <c r="AD33" s="4" t="str">
        <f>IF(OR(M33="",Results!M14=""),"",IF(M33=Results!M14,1+IF(OR($O33=12,$P33=12,$Q33=12),1,0),0))</f>
        <v/>
      </c>
      <c r="AE33" s="4" t="str">
        <f>IF(OR(N33="",Results!N14=""),"",IF(N33=Results!N14,1+IF(OR($O33=13,$P33=13,$Q33=13),1,0),0))</f>
        <v/>
      </c>
      <c r="AF33" s="11">
        <f t="shared" si="0"/>
        <v>0</v>
      </c>
      <c r="AG33" s="4" t="str">
        <f>IF(OR($R33="",Results!O14=""),"",ABS($R33-Results!O14))</f>
        <v/>
      </c>
      <c r="AH33" s="12">
        <v>15</v>
      </c>
      <c r="AI33" s="13" t="str">
        <f>IF(OR(B33="",Results!B14=""),"",IF(AND(B33=Results!B14,Results!B14&lt;&gt;Games!$C$122),1,0))</f>
        <v/>
      </c>
      <c r="AJ33" s="13" t="str">
        <f>IF(OR(C33="",Results!C14=""),"",IF(AND(C33=Results!C14,Results!C14&lt;&gt;Games!$C$123),1,0))</f>
        <v/>
      </c>
      <c r="AK33" s="13" t="str">
        <f>IF(OR(D33="",Results!D14=""),"",IF(AND(D33=Results!D14,Results!D14&lt;&gt;Games!$C$124),1,0))</f>
        <v/>
      </c>
      <c r="AL33" s="13" t="str">
        <f>IF(OR(E33="",Results!E14=""),"",IF(AND(E33=Results!E14,Results!E14&lt;&gt;Games!$C$125),1,0))</f>
        <v/>
      </c>
      <c r="AM33" s="13" t="str">
        <f>IF(OR(F33="",Results!F14=""),"",IF(AND(F33=Results!F14,Results!F14&lt;&gt;Games!$C$126),1,0))</f>
        <v/>
      </c>
      <c r="AN33" s="13" t="str">
        <f>IF(OR(G33="",Results!G14=""),"",IF(AND(G33=Results!G14,Results!G14&lt;&gt;Games!$C$127),1,0))</f>
        <v/>
      </c>
      <c r="AO33" s="13" t="str">
        <f>IF(OR(H33="",Results!H14=""),"",IF(AND(H33=Results!H14,Results!H14&lt;&gt;Games!$C$128),1,0))</f>
        <v/>
      </c>
      <c r="AP33" s="13" t="str">
        <f>IF(OR(I33="",Results!I14=""),"",IF(AND(I33=Results!I14,Results!I14&lt;&gt;Games!$C$129),1,0))</f>
        <v/>
      </c>
      <c r="AQ33" s="13" t="str">
        <f>IF(OR(J33="",Results!J14=""),"",IF(AND(J33=Results!J14,Results!J14&lt;&gt;Games!$C$130),1,0))</f>
        <v/>
      </c>
      <c r="AR33" s="13" t="str">
        <f>IF(OR(K33="",Results!K14=""),"",IF(AND(K33=Results!K14,Results!K14&lt;&gt;Games!$C$131),1,0))</f>
        <v/>
      </c>
      <c r="AS33" s="13" t="str">
        <f>IF(OR(L33="",Results!L14=""),"",IF(AND(L33=Results!L14,Results!L14&lt;&gt;Games!$C$132),1,0))</f>
        <v/>
      </c>
      <c r="AT33" s="13" t="str">
        <f>IF(OR(M33="",Results!M14=""),"",IF(AND(M33=Results!M14,Results!M14&lt;&gt;Games!$C$133),1,0))</f>
        <v/>
      </c>
      <c r="AU33" s="13" t="str">
        <f>IF(OR(N33="",Results!N14=""),"",IF(AND(N33=Results!N14,Results!N14&lt;&gt;Games!$C$134),1,0))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IF(OR(B34="",Results!B14=""),"",IF(B34=Results!B14,1+IF(OR($O34=1,$P34=1,$Q34=1),1,0),0))</f>
        <v/>
      </c>
      <c r="T34" s="4" t="str">
        <f>IF(OR(C34="",Results!C14=""),"",IF(C34=Results!C14,1+IF(OR($O34=2,$P34=2,$Q34=2),1,0),0))</f>
        <v/>
      </c>
      <c r="U34" s="4" t="str">
        <f>IF(OR(D34="",Results!D14=""),"",IF(D34=Results!D14,1+IF(OR($O34=3,$P34=3,$Q34=3),1,0),0))</f>
        <v/>
      </c>
      <c r="V34" s="4" t="str">
        <f>IF(OR(E34="",Results!E14=""),"",IF(E34=Results!E14,1+IF(OR($O34=4,$P34=4,$Q34=4),1,0),0))</f>
        <v/>
      </c>
      <c r="W34" s="4" t="str">
        <f>IF(OR(F34="",Results!F14=""),"",IF(F34=Results!F14,1+IF(OR($O34=5,$P34=5,$Q34=5),1,0),0))</f>
        <v/>
      </c>
      <c r="X34" s="4" t="str">
        <f>IF(OR(G34="",Results!G14=""),"",IF(G34=Results!G14,1+IF(OR($O34=6,$P34=6,$Q34=6),1,0),0))</f>
        <v/>
      </c>
      <c r="Y34" s="4" t="str">
        <f>IF(OR(H34="",Results!H14=""),"",IF(H34=Results!H14,1+IF(OR($O34=7,$P34=7,$Q34=7),1,0),0))</f>
        <v/>
      </c>
      <c r="Z34" s="4" t="str">
        <f>IF(OR(I34="",Results!I14=""),"",IF(I34=Results!I14,1+IF(OR($O34=8,$P34=8,$Q34=8),1,0),0))</f>
        <v/>
      </c>
      <c r="AA34" s="4" t="str">
        <f>IF(OR(J34="",Results!J14=""),"",IF(J34=Results!J14,1+IF(OR($O34=9,$P34=9,$Q34=9),1,0),0))</f>
        <v/>
      </c>
      <c r="AB34" s="4" t="str">
        <f>IF(OR(K34="",Results!K14=""),"",IF(K34=Results!K14,1+IF(OR($O34=10,$P34=10,$Q34=10),1,0),0))</f>
        <v/>
      </c>
      <c r="AC34" s="4" t="str">
        <f>IF(OR(L34="",Results!L14=""),"",IF(L34=Results!L14,1+IF(OR($O34=11,$P34=11,$Q34=11),1,0),0))</f>
        <v/>
      </c>
      <c r="AD34" s="4" t="str">
        <f>IF(OR(M34="",Results!M14=""),"",IF(M34=Results!M14,1+IF(OR($O34=12,$P34=12,$Q34=12),1,0),0))</f>
        <v/>
      </c>
      <c r="AE34" s="4" t="str">
        <f>IF(OR(N34="",Results!N14=""),"",IF(N34=Results!N14,1+IF(OR($O34=13,$P34=13,$Q34=13),1,0),0))</f>
        <v/>
      </c>
      <c r="AF34" s="11">
        <f t="shared" si="0"/>
        <v>0</v>
      </c>
      <c r="AG34" s="4" t="str">
        <f>IF(OR($R34="",Results!O14=""),"",ABS($R34-Results!O14))</f>
        <v/>
      </c>
      <c r="AH34" s="12">
        <v>16</v>
      </c>
      <c r="AI34" s="13" t="str">
        <f>IF(OR(B34="",Results!B14=""),"",IF(AND(B34=Results!B14,Results!B14&lt;&gt;Games!$C$122),1,0))</f>
        <v/>
      </c>
      <c r="AJ34" s="13" t="str">
        <f>IF(OR(C34="",Results!C14=""),"",IF(AND(C34=Results!C14,Results!C14&lt;&gt;Games!$C$123),1,0))</f>
        <v/>
      </c>
      <c r="AK34" s="13" t="str">
        <f>IF(OR(D34="",Results!D14=""),"",IF(AND(D34=Results!D14,Results!D14&lt;&gt;Games!$C$124),1,0))</f>
        <v/>
      </c>
      <c r="AL34" s="13" t="str">
        <f>IF(OR(E34="",Results!E14=""),"",IF(AND(E34=Results!E14,Results!E14&lt;&gt;Games!$C$125),1,0))</f>
        <v/>
      </c>
      <c r="AM34" s="13" t="str">
        <f>IF(OR(F34="",Results!F14=""),"",IF(AND(F34=Results!F14,Results!F14&lt;&gt;Games!$C$126),1,0))</f>
        <v/>
      </c>
      <c r="AN34" s="13" t="str">
        <f>IF(OR(G34="",Results!G14=""),"",IF(AND(G34=Results!G14,Results!G14&lt;&gt;Games!$C$127),1,0))</f>
        <v/>
      </c>
      <c r="AO34" s="13" t="str">
        <f>IF(OR(H34="",Results!H14=""),"",IF(AND(H34=Results!H14,Results!H14&lt;&gt;Games!$C$128),1,0))</f>
        <v/>
      </c>
      <c r="AP34" s="13" t="str">
        <f>IF(OR(I34="",Results!I14=""),"",IF(AND(I34=Results!I14,Results!I14&lt;&gt;Games!$C$129),1,0))</f>
        <v/>
      </c>
      <c r="AQ34" s="13" t="str">
        <f>IF(OR(J34="",Results!J14=""),"",IF(AND(J34=Results!J14,Results!J14&lt;&gt;Games!$C$130),1,0))</f>
        <v/>
      </c>
      <c r="AR34" s="13" t="str">
        <f>IF(OR(K34="",Results!K14=""),"",IF(AND(K34=Results!K14,Results!K14&lt;&gt;Games!$C$131),1,0))</f>
        <v/>
      </c>
      <c r="AS34" s="13" t="str">
        <f>IF(OR(L34="",Results!L14=""),"",IF(AND(L34=Results!L14,Results!L14&lt;&gt;Games!$C$132),1,0))</f>
        <v/>
      </c>
      <c r="AT34" s="13" t="str">
        <f>IF(OR(M34="",Results!M14=""),"",IF(AND(M34=Results!M14,Results!M14&lt;&gt;Games!$C$133),1,0))</f>
        <v/>
      </c>
      <c r="AU34" s="13" t="str">
        <f>IF(OR(N34="",Results!N14=""),"",IF(AND(N34=Results!N14,Results!N14&lt;&gt;Games!$C$134),1,0))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IF(OR(B35="",Results!B14=""),"",IF(B35=Results!B14,1+IF(OR($O35=1,$P35=1,$Q35=1),1,0),0))</f>
        <v/>
      </c>
      <c r="T35" s="4" t="str">
        <f>IF(OR(C35="",Results!C14=""),"",IF(C35=Results!C14,1+IF(OR($O35=2,$P35=2,$Q35=2),1,0),0))</f>
        <v/>
      </c>
      <c r="U35" s="4" t="str">
        <f>IF(OR(D35="",Results!D14=""),"",IF(D35=Results!D14,1+IF(OR($O35=3,$P35=3,$Q35=3),1,0),0))</f>
        <v/>
      </c>
      <c r="V35" s="4" t="str">
        <f>IF(OR(E35="",Results!E14=""),"",IF(E35=Results!E14,1+IF(OR($O35=4,$P35=4,$Q35=4),1,0),0))</f>
        <v/>
      </c>
      <c r="W35" s="4" t="str">
        <f>IF(OR(F35="",Results!F14=""),"",IF(F35=Results!F14,1+IF(OR($O35=5,$P35=5,$Q35=5),1,0),0))</f>
        <v/>
      </c>
      <c r="X35" s="4" t="str">
        <f>IF(OR(G35="",Results!G14=""),"",IF(G35=Results!G14,1+IF(OR($O35=6,$P35=6,$Q35=6),1,0),0))</f>
        <v/>
      </c>
      <c r="Y35" s="4" t="str">
        <f>IF(OR(H35="",Results!H14=""),"",IF(H35=Results!H14,1+IF(OR($O35=7,$P35=7,$Q35=7),1,0),0))</f>
        <v/>
      </c>
      <c r="Z35" s="4" t="str">
        <f>IF(OR(I35="",Results!I14=""),"",IF(I35=Results!I14,1+IF(OR($O35=8,$P35=8,$Q35=8),1,0),0))</f>
        <v/>
      </c>
      <c r="AA35" s="4" t="str">
        <f>IF(OR(J35="",Results!J14=""),"",IF(J35=Results!J14,1+IF(OR($O35=9,$P35=9,$Q35=9),1,0),0))</f>
        <v/>
      </c>
      <c r="AB35" s="4" t="str">
        <f>IF(OR(K35="",Results!K14=""),"",IF(K35=Results!K14,1+IF(OR($O35=10,$P35=10,$Q35=10),1,0),0))</f>
        <v/>
      </c>
      <c r="AC35" s="4" t="str">
        <f>IF(OR(L35="",Results!L14=""),"",IF(L35=Results!L14,1+IF(OR($O35=11,$P35=11,$Q35=11),1,0),0))</f>
        <v/>
      </c>
      <c r="AD35" s="4" t="str">
        <f>IF(OR(M35="",Results!M14=""),"",IF(M35=Results!M14,1+IF(OR($O35=12,$P35=12,$Q35=12),1,0),0))</f>
        <v/>
      </c>
      <c r="AE35" s="4" t="str">
        <f>IF(OR(N35="",Results!N14=""),"",IF(N35=Results!N14,1+IF(OR($O35=13,$P35=13,$Q35=13),1,0),0))</f>
        <v/>
      </c>
      <c r="AF35" s="11">
        <f t="shared" si="0"/>
        <v>0</v>
      </c>
      <c r="AG35" s="4" t="str">
        <f>IF(OR($R35="",Results!O14=""),"",ABS($R35-Results!O14))</f>
        <v/>
      </c>
      <c r="AH35" s="12">
        <v>17</v>
      </c>
      <c r="AI35" s="13" t="str">
        <f>IF(OR(B35="",Results!B14=""),"",IF(AND(B35=Results!B14,Results!B14&lt;&gt;Games!$C$122),1,0))</f>
        <v/>
      </c>
      <c r="AJ35" s="13" t="str">
        <f>IF(OR(C35="",Results!C14=""),"",IF(AND(C35=Results!C14,Results!C14&lt;&gt;Games!$C$123),1,0))</f>
        <v/>
      </c>
      <c r="AK35" s="13" t="str">
        <f>IF(OR(D35="",Results!D14=""),"",IF(AND(D35=Results!D14,Results!D14&lt;&gt;Games!$C$124),1,0))</f>
        <v/>
      </c>
      <c r="AL35" s="13" t="str">
        <f>IF(OR(E35="",Results!E14=""),"",IF(AND(E35=Results!E14,Results!E14&lt;&gt;Games!$C$125),1,0))</f>
        <v/>
      </c>
      <c r="AM35" s="13" t="str">
        <f>IF(OR(F35="",Results!F14=""),"",IF(AND(F35=Results!F14,Results!F14&lt;&gt;Games!$C$126),1,0))</f>
        <v/>
      </c>
      <c r="AN35" s="13" t="str">
        <f>IF(OR(G35="",Results!G14=""),"",IF(AND(G35=Results!G14,Results!G14&lt;&gt;Games!$C$127),1,0))</f>
        <v/>
      </c>
      <c r="AO35" s="13" t="str">
        <f>IF(OR(H35="",Results!H14=""),"",IF(AND(H35=Results!H14,Results!H14&lt;&gt;Games!$C$128),1,0))</f>
        <v/>
      </c>
      <c r="AP35" s="13" t="str">
        <f>IF(OR(I35="",Results!I14=""),"",IF(AND(I35=Results!I14,Results!I14&lt;&gt;Games!$C$129),1,0))</f>
        <v/>
      </c>
      <c r="AQ35" s="13" t="str">
        <f>IF(OR(J35="",Results!J14=""),"",IF(AND(J35=Results!J14,Results!J14&lt;&gt;Games!$C$130),1,0))</f>
        <v/>
      </c>
      <c r="AR35" s="13" t="str">
        <f>IF(OR(K35="",Results!K14=""),"",IF(AND(K35=Results!K14,Results!K14&lt;&gt;Games!$C$131),1,0))</f>
        <v/>
      </c>
      <c r="AS35" s="13" t="str">
        <f>IF(OR(L35="",Results!L14=""),"",IF(AND(L35=Results!L14,Results!L14&lt;&gt;Games!$C$132),1,0))</f>
        <v/>
      </c>
      <c r="AT35" s="13" t="str">
        <f>IF(OR(M35="",Results!M14=""),"",IF(AND(M35=Results!M14,Results!M14&lt;&gt;Games!$C$133),1,0))</f>
        <v/>
      </c>
      <c r="AU35" s="13" t="str">
        <f>IF(OR(N35="",Results!N14=""),"",IF(AND(N35=Results!N14,Results!N14&lt;&gt;Games!$C$134),1,0))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IF(OR(B36="",Results!B14=""),"",IF(B36=Results!B14,1+IF(OR($O36=1,$P36=1,$Q36=1),1,0),0))</f>
        <v/>
      </c>
      <c r="T36" s="4" t="str">
        <f>IF(OR(C36="",Results!C14=""),"",IF(C36=Results!C14,1+IF(OR($O36=2,$P36=2,$Q36=2),1,0),0))</f>
        <v/>
      </c>
      <c r="U36" s="4" t="str">
        <f>IF(OR(D36="",Results!D14=""),"",IF(D36=Results!D14,1+IF(OR($O36=3,$P36=3,$Q36=3),1,0),0))</f>
        <v/>
      </c>
      <c r="V36" s="4" t="str">
        <f>IF(OR(E36="",Results!E14=""),"",IF(E36=Results!E14,1+IF(OR($O36=4,$P36=4,$Q36=4),1,0),0))</f>
        <v/>
      </c>
      <c r="W36" s="4" t="str">
        <f>IF(OR(F36="",Results!F14=""),"",IF(F36=Results!F14,1+IF(OR($O36=5,$P36=5,$Q36=5),1,0),0))</f>
        <v/>
      </c>
      <c r="X36" s="4" t="str">
        <f>IF(OR(G36="",Results!G14=""),"",IF(G36=Results!G14,1+IF(OR($O36=6,$P36=6,$Q36=6),1,0),0))</f>
        <v/>
      </c>
      <c r="Y36" s="4" t="str">
        <f>IF(OR(H36="",Results!H14=""),"",IF(H36=Results!H14,1+IF(OR($O36=7,$P36=7,$Q36=7),1,0),0))</f>
        <v/>
      </c>
      <c r="Z36" s="4" t="str">
        <f>IF(OR(I36="",Results!I14=""),"",IF(I36=Results!I14,1+IF(OR($O36=8,$P36=8,$Q36=8),1,0),0))</f>
        <v/>
      </c>
      <c r="AA36" s="4" t="str">
        <f>IF(OR(J36="",Results!J14=""),"",IF(J36=Results!J14,1+IF(OR($O36=9,$P36=9,$Q36=9),1,0),0))</f>
        <v/>
      </c>
      <c r="AB36" s="4" t="str">
        <f>IF(OR(K36="",Results!K14=""),"",IF(K36=Results!K14,1+IF(OR($O36=10,$P36=10,$Q36=10),1,0),0))</f>
        <v/>
      </c>
      <c r="AC36" s="4" t="str">
        <f>IF(OR(L36="",Results!L14=""),"",IF(L36=Results!L14,1+IF(OR($O36=11,$P36=11,$Q36=11),1,0),0))</f>
        <v/>
      </c>
      <c r="AD36" s="4" t="str">
        <f>IF(OR(M36="",Results!M14=""),"",IF(M36=Results!M14,1+IF(OR($O36=12,$P36=12,$Q36=12),1,0),0))</f>
        <v/>
      </c>
      <c r="AE36" s="4" t="str">
        <f>IF(OR(N36="",Results!N14=""),"",IF(N36=Results!N14,1+IF(OR($O36=13,$P36=13,$Q36=13),1,0),0))</f>
        <v/>
      </c>
      <c r="AF36" s="11">
        <f t="shared" si="0"/>
        <v>0</v>
      </c>
      <c r="AG36" s="4" t="str">
        <f>IF(OR($R36="",Results!O14=""),"",ABS($R36-Results!O14))</f>
        <v/>
      </c>
      <c r="AH36" s="12">
        <v>39</v>
      </c>
      <c r="AI36" s="13" t="str">
        <f>IF(OR(B36="",Results!B14=""),"",IF(AND(B36=Results!B14,Results!B14&lt;&gt;Games!$C$122),1,0))</f>
        <v/>
      </c>
      <c r="AJ36" s="13" t="str">
        <f>IF(OR(C36="",Results!C14=""),"",IF(AND(C36=Results!C14,Results!C14&lt;&gt;Games!$C$123),1,0))</f>
        <v/>
      </c>
      <c r="AK36" s="13" t="str">
        <f>IF(OR(D36="",Results!D14=""),"",IF(AND(D36=Results!D14,Results!D14&lt;&gt;Games!$C$124),1,0))</f>
        <v/>
      </c>
      <c r="AL36" s="13" t="str">
        <f>IF(OR(E36="",Results!E14=""),"",IF(AND(E36=Results!E14,Results!E14&lt;&gt;Games!$C$125),1,0))</f>
        <v/>
      </c>
      <c r="AM36" s="13" t="str">
        <f>IF(OR(F36="",Results!F14=""),"",IF(AND(F36=Results!F14,Results!F14&lt;&gt;Games!$C$126),1,0))</f>
        <v/>
      </c>
      <c r="AN36" s="13" t="str">
        <f>IF(OR(G36="",Results!G14=""),"",IF(AND(G36=Results!G14,Results!G14&lt;&gt;Games!$C$127),1,0))</f>
        <v/>
      </c>
      <c r="AO36" s="13" t="str">
        <f>IF(OR(H36="",Results!H14=""),"",IF(AND(H36=Results!H14,Results!H14&lt;&gt;Games!$C$128),1,0))</f>
        <v/>
      </c>
      <c r="AP36" s="13" t="str">
        <f>IF(OR(I36="",Results!I14=""),"",IF(AND(I36=Results!I14,Results!I14&lt;&gt;Games!$C$129),1,0))</f>
        <v/>
      </c>
      <c r="AQ36" s="13" t="str">
        <f>IF(OR(J36="",Results!J14=""),"",IF(AND(J36=Results!J14,Results!J14&lt;&gt;Games!$C$130),1,0))</f>
        <v/>
      </c>
      <c r="AR36" s="13" t="str">
        <f>IF(OR(K36="",Results!K14=""),"",IF(AND(K36=Results!K14,Results!K14&lt;&gt;Games!$C$131),1,0))</f>
        <v/>
      </c>
      <c r="AS36" s="13" t="str">
        <f>IF(OR(L36="",Results!L14=""),"",IF(AND(L36=Results!L14,Results!L14&lt;&gt;Games!$C$132),1,0))</f>
        <v/>
      </c>
      <c r="AT36" s="13" t="str">
        <f>IF(OR(M36="",Results!M14=""),"",IF(AND(M36=Results!M14,Results!M14&lt;&gt;Games!$C$133),1,0))</f>
        <v/>
      </c>
      <c r="AU36" s="13" t="str">
        <f>IF(OR(N36="",Results!N14=""),"",IF(AND(N36=Results!N14,Results!N14&lt;&gt;Games!$C$134),1,0))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IF(OR(B37="",Results!B14=""),"",IF(B37=Results!B14,1+IF(OR($O37=1,$P37=1,$Q37=1),1,0),0))</f>
        <v/>
      </c>
      <c r="T37" s="4" t="str">
        <f>IF(OR(C37="",Results!C14=""),"",IF(C37=Results!C14,1+IF(OR($O37=2,$P37=2,$Q37=2),1,0),0))</f>
        <v/>
      </c>
      <c r="U37" s="4" t="str">
        <f>IF(OR(D37="",Results!D14=""),"",IF(D37=Results!D14,1+IF(OR($O37=3,$P37=3,$Q37=3),1,0),0))</f>
        <v/>
      </c>
      <c r="V37" s="4" t="str">
        <f>IF(OR(E37="",Results!E14=""),"",IF(E37=Results!E14,1+IF(OR($O37=4,$P37=4,$Q37=4),1,0),0))</f>
        <v/>
      </c>
      <c r="W37" s="4" t="str">
        <f>IF(OR(F37="",Results!F14=""),"",IF(F37=Results!F14,1+IF(OR($O37=5,$P37=5,$Q37=5),1,0),0))</f>
        <v/>
      </c>
      <c r="X37" s="4" t="str">
        <f>IF(OR(G37="",Results!G14=""),"",IF(G37=Results!G14,1+IF(OR($O37=6,$P37=6,$Q37=6),1,0),0))</f>
        <v/>
      </c>
      <c r="Y37" s="4" t="str">
        <f>IF(OR(H37="",Results!H14=""),"",IF(H37=Results!H14,1+IF(OR($O37=7,$P37=7,$Q37=7),1,0),0))</f>
        <v/>
      </c>
      <c r="Z37" s="4" t="str">
        <f>IF(OR(I37="",Results!I14=""),"",IF(I37=Results!I14,1+IF(OR($O37=8,$P37=8,$Q37=8),1,0),0))</f>
        <v/>
      </c>
      <c r="AA37" s="4" t="str">
        <f>IF(OR(J37="",Results!J14=""),"",IF(J37=Results!J14,1+IF(OR($O37=9,$P37=9,$Q37=9),1,0),0))</f>
        <v/>
      </c>
      <c r="AB37" s="4" t="str">
        <f>IF(OR(K37="",Results!K14=""),"",IF(K37=Results!K14,1+IF(OR($O37=10,$P37=10,$Q37=10),1,0),0))</f>
        <v/>
      </c>
      <c r="AC37" s="4" t="str">
        <f>IF(OR(L37="",Results!L14=""),"",IF(L37=Results!L14,1+IF(OR($O37=11,$P37=11,$Q37=11),1,0),0))</f>
        <v/>
      </c>
      <c r="AD37" s="4" t="str">
        <f>IF(OR(M37="",Results!M14=""),"",IF(M37=Results!M14,1+IF(OR($O37=12,$P37=12,$Q37=12),1,0),0))</f>
        <v/>
      </c>
      <c r="AE37" s="4" t="str">
        <f>IF(OR(N37="",Results!N14=""),"",IF(N37=Results!N14,1+IF(OR($O37=13,$P37=13,$Q37=13),1,0),0))</f>
        <v/>
      </c>
      <c r="AF37" s="11">
        <f t="shared" si="0"/>
        <v>0</v>
      </c>
      <c r="AG37" s="4" t="str">
        <f>IF(OR($R37="",Results!O14=""),"",ABS($R37-Results!O14))</f>
        <v/>
      </c>
      <c r="AH37" s="12">
        <v>49</v>
      </c>
      <c r="AI37" s="13" t="str">
        <f>IF(OR(B37="",Results!B14=""),"",IF(AND(B37=Results!B14,Results!B14&lt;&gt;Games!$C$122),1,0))</f>
        <v/>
      </c>
      <c r="AJ37" s="13" t="str">
        <f>IF(OR(C37="",Results!C14=""),"",IF(AND(C37=Results!C14,Results!C14&lt;&gt;Games!$C$123),1,0))</f>
        <v/>
      </c>
      <c r="AK37" s="13" t="str">
        <f>IF(OR(D37="",Results!D14=""),"",IF(AND(D37=Results!D14,Results!D14&lt;&gt;Games!$C$124),1,0))</f>
        <v/>
      </c>
      <c r="AL37" s="13" t="str">
        <f>IF(OR(E37="",Results!E14=""),"",IF(AND(E37=Results!E14,Results!E14&lt;&gt;Games!$C$125),1,0))</f>
        <v/>
      </c>
      <c r="AM37" s="13" t="str">
        <f>IF(OR(F37="",Results!F14=""),"",IF(AND(F37=Results!F14,Results!F14&lt;&gt;Games!$C$126),1,0))</f>
        <v/>
      </c>
      <c r="AN37" s="13" t="str">
        <f>IF(OR(G37="",Results!G14=""),"",IF(AND(G37=Results!G14,Results!G14&lt;&gt;Games!$C$127),1,0))</f>
        <v/>
      </c>
      <c r="AO37" s="13" t="str">
        <f>IF(OR(H37="",Results!H14=""),"",IF(AND(H37=Results!H14,Results!H14&lt;&gt;Games!$C$128),1,0))</f>
        <v/>
      </c>
      <c r="AP37" s="13" t="str">
        <f>IF(OR(I37="",Results!I14=""),"",IF(AND(I37=Results!I14,Results!I14&lt;&gt;Games!$C$129),1,0))</f>
        <v/>
      </c>
      <c r="AQ37" s="13" t="str">
        <f>IF(OR(J37="",Results!J14=""),"",IF(AND(J37=Results!J14,Results!J14&lt;&gt;Games!$C$130),1,0))</f>
        <v/>
      </c>
      <c r="AR37" s="13" t="str">
        <f>IF(OR(K37="",Results!K14=""),"",IF(AND(K37=Results!K14,Results!K14&lt;&gt;Games!$C$131),1,0))</f>
        <v/>
      </c>
      <c r="AS37" s="13" t="str">
        <f>IF(OR(L37="",Results!L14=""),"",IF(AND(L37=Results!L14,Results!L14&lt;&gt;Games!$C$132),1,0))</f>
        <v/>
      </c>
      <c r="AT37" s="13" t="str">
        <f>IF(OR(M37="",Results!M14=""),"",IF(AND(M37=Results!M14,Results!M14&lt;&gt;Games!$C$133),1,0))</f>
        <v/>
      </c>
      <c r="AU37" s="13" t="str">
        <f>IF(OR(N37="",Results!N14=""),"",IF(AND(N37=Results!N14,Results!N14&lt;&gt;Games!$C$134),1,0))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tr">
        <f>IF(OR(B38="",Results!B14=""),"",IF(B38=Results!B14,1+IF(OR($O38=1,$P38=1,$Q38=1),1,0),0))</f>
        <v/>
      </c>
      <c r="T38" s="4" t="str">
        <f>IF(OR(C38="",Results!C14=""),"",IF(C38=Results!C14,1+IF(OR($O38=2,$P38=2,$Q38=2),1,0),0))</f>
        <v/>
      </c>
      <c r="U38" s="4" t="str">
        <f>IF(OR(D38="",Results!D14=""),"",IF(D38=Results!D14,1+IF(OR($O38=3,$P38=3,$Q38=3),1,0),0))</f>
        <v/>
      </c>
      <c r="V38" s="4" t="str">
        <f>IF(OR(E38="",Results!E14=""),"",IF(E38=Results!E14,1+IF(OR($O38=4,$P38=4,$Q38=4),1,0),0))</f>
        <v/>
      </c>
      <c r="W38" s="4" t="str">
        <f>IF(OR(F38="",Results!F14=""),"",IF(F38=Results!F14,1+IF(OR($O38=5,$P38=5,$Q38=5),1,0),0))</f>
        <v/>
      </c>
      <c r="X38" s="4" t="str">
        <f>IF(OR(G38="",Results!G14=""),"",IF(G38=Results!G14,1+IF(OR($O38=6,$P38=6,$Q38=6),1,0),0))</f>
        <v/>
      </c>
      <c r="Y38" s="4" t="str">
        <f>IF(OR(H38="",Results!H14=""),"",IF(H38=Results!H14,1+IF(OR($O38=7,$P38=7,$Q38=7),1,0),0))</f>
        <v/>
      </c>
      <c r="Z38" s="4" t="str">
        <f>IF(OR(I38="",Results!I14=""),"",IF(I38=Results!I14,1+IF(OR($O38=8,$P38=8,$Q38=8),1,0),0))</f>
        <v/>
      </c>
      <c r="AA38" s="4" t="str">
        <f>IF(OR(J38="",Results!J14=""),"",IF(J38=Results!J14,1+IF(OR($O38=9,$P38=9,$Q38=9),1,0),0))</f>
        <v/>
      </c>
      <c r="AB38" s="4" t="str">
        <f>IF(OR(K38="",Results!K14=""),"",IF(K38=Results!K14,1+IF(OR($O38=10,$P38=10,$Q38=10),1,0),0))</f>
        <v/>
      </c>
      <c r="AC38" s="4" t="str">
        <f>IF(OR(L38="",Results!L14=""),"",IF(L38=Results!L14,1+IF(OR($O38=11,$P38=11,$Q38=11),1,0),0))</f>
        <v/>
      </c>
      <c r="AD38" s="4" t="str">
        <f>IF(OR(M38="",Results!M14=""),"",IF(M38=Results!M14,1+IF(OR($O38=12,$P38=12,$Q38=12),1,0),0))</f>
        <v/>
      </c>
      <c r="AE38" s="4" t="str">
        <f>IF(OR(N38="",Results!N14=""),"",IF(N38=Results!N14,1+IF(OR($O38=13,$P38=13,$Q38=13),1,0),0))</f>
        <v/>
      </c>
      <c r="AF38" s="11">
        <f t="shared" ref="AF38:AF65" si="2">SUM(S38:AE38)</f>
        <v>0</v>
      </c>
      <c r="AG38" s="4" t="str">
        <f>IF(OR($R38="",Results!O14=""),"",ABS($R38-Results!O14))</f>
        <v/>
      </c>
      <c r="AH38" s="12">
        <v>18</v>
      </c>
      <c r="AI38" s="13" t="str">
        <f>IF(OR(B38="",Results!B14=""),"",IF(AND(B38=Results!B14,Results!B14&lt;&gt;Games!$C$122),1,0))</f>
        <v/>
      </c>
      <c r="AJ38" s="13" t="str">
        <f>IF(OR(C38="",Results!C14=""),"",IF(AND(C38=Results!C14,Results!C14&lt;&gt;Games!$C$123),1,0))</f>
        <v/>
      </c>
      <c r="AK38" s="13" t="str">
        <f>IF(OR(D38="",Results!D14=""),"",IF(AND(D38=Results!D14,Results!D14&lt;&gt;Games!$C$124),1,0))</f>
        <v/>
      </c>
      <c r="AL38" s="13" t="str">
        <f>IF(OR(E38="",Results!E14=""),"",IF(AND(E38=Results!E14,Results!E14&lt;&gt;Games!$C$125),1,0))</f>
        <v/>
      </c>
      <c r="AM38" s="13" t="str">
        <f>IF(OR(F38="",Results!F14=""),"",IF(AND(F38=Results!F14,Results!F14&lt;&gt;Games!$C$126),1,0))</f>
        <v/>
      </c>
      <c r="AN38" s="13" t="str">
        <f>IF(OR(G38="",Results!G14=""),"",IF(AND(G38=Results!G14,Results!G14&lt;&gt;Games!$C$127),1,0))</f>
        <v/>
      </c>
      <c r="AO38" s="13" t="str">
        <f>IF(OR(H38="",Results!H14=""),"",IF(AND(H38=Results!H14,Results!H14&lt;&gt;Games!$C$128),1,0))</f>
        <v/>
      </c>
      <c r="AP38" s="13" t="str">
        <f>IF(OR(I38="",Results!I14=""),"",IF(AND(I38=Results!I14,Results!I14&lt;&gt;Games!$C$129),1,0))</f>
        <v/>
      </c>
      <c r="AQ38" s="13" t="str">
        <f>IF(OR(J38="",Results!J14=""),"",IF(AND(J38=Results!J14,Results!J14&lt;&gt;Games!$C$130),1,0))</f>
        <v/>
      </c>
      <c r="AR38" s="13" t="str">
        <f>IF(OR(K38="",Results!K14=""),"",IF(AND(K38=Results!K14,Results!K14&lt;&gt;Games!$C$131),1,0))</f>
        <v/>
      </c>
      <c r="AS38" s="13" t="str">
        <f>IF(OR(L38="",Results!L14=""),"",IF(AND(L38=Results!L14,Results!L14&lt;&gt;Games!$C$132),1,0))</f>
        <v/>
      </c>
      <c r="AT38" s="13" t="str">
        <f>IF(OR(M38="",Results!M14=""),"",IF(AND(M38=Results!M14,Results!M14&lt;&gt;Games!$C$133),1,0))</f>
        <v/>
      </c>
      <c r="AU38" s="13" t="str">
        <f>IF(OR(N38="",Results!N14=""),"",IF(AND(N38=Results!N14,Results!N14&lt;&gt;Games!$C$134),1,0))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IF(OR(B39="",Results!B14=""),"",IF(B39=Results!B14,1+IF(OR($O39=1,$P39=1,$Q39=1),1,0),0))</f>
        <v/>
      </c>
      <c r="T39" s="4" t="str">
        <f>IF(OR(C39="",Results!C14=""),"",IF(C39=Results!C14,1+IF(OR($O39=2,$P39=2,$Q39=2),1,0),0))</f>
        <v/>
      </c>
      <c r="U39" s="4" t="str">
        <f>IF(OR(D39="",Results!D14=""),"",IF(D39=Results!D14,1+IF(OR($O39=3,$P39=3,$Q39=3),1,0),0))</f>
        <v/>
      </c>
      <c r="V39" s="4" t="str">
        <f>IF(OR(E39="",Results!E14=""),"",IF(E39=Results!E14,1+IF(OR($O39=4,$P39=4,$Q39=4),1,0),0))</f>
        <v/>
      </c>
      <c r="W39" s="4" t="str">
        <f>IF(OR(F39="",Results!F14=""),"",IF(F39=Results!F14,1+IF(OR($O39=5,$P39=5,$Q39=5),1,0),0))</f>
        <v/>
      </c>
      <c r="X39" s="4" t="str">
        <f>IF(OR(G39="",Results!G14=""),"",IF(G39=Results!G14,1+IF(OR($O39=6,$P39=6,$Q39=6),1,0),0))</f>
        <v/>
      </c>
      <c r="Y39" s="4" t="str">
        <f>IF(OR(H39="",Results!H14=""),"",IF(H39=Results!H14,1+IF(OR($O39=7,$P39=7,$Q39=7),1,0),0))</f>
        <v/>
      </c>
      <c r="Z39" s="4" t="str">
        <f>IF(OR(I39="",Results!I14=""),"",IF(I39=Results!I14,1+IF(OR($O39=8,$P39=8,$Q39=8),1,0),0))</f>
        <v/>
      </c>
      <c r="AA39" s="4" t="str">
        <f>IF(OR(J39="",Results!J14=""),"",IF(J39=Results!J14,1+IF(OR($O39=9,$P39=9,$Q39=9),1,0),0))</f>
        <v/>
      </c>
      <c r="AB39" s="4" t="str">
        <f>IF(OR(K39="",Results!K14=""),"",IF(K39=Results!K14,1+IF(OR($O39=10,$P39=10,$Q39=10),1,0),0))</f>
        <v/>
      </c>
      <c r="AC39" s="4" t="str">
        <f>IF(OR(L39="",Results!L14=""),"",IF(L39=Results!L14,1+IF(OR($O39=11,$P39=11,$Q39=11),1,0),0))</f>
        <v/>
      </c>
      <c r="AD39" s="4" t="str">
        <f>IF(OR(M39="",Results!M14=""),"",IF(M39=Results!M14,1+IF(OR($O39=12,$P39=12,$Q39=12),1,0),0))</f>
        <v/>
      </c>
      <c r="AE39" s="4" t="str">
        <f>IF(OR(N39="",Results!N14=""),"",IF(N39=Results!N14,1+IF(OR($O39=13,$P39=13,$Q39=13),1,0),0))</f>
        <v/>
      </c>
      <c r="AF39" s="11">
        <f t="shared" si="2"/>
        <v>0</v>
      </c>
      <c r="AG39" s="4" t="str">
        <f>IF(OR($R39="",Results!O14=""),"",ABS($R39-Results!O14))</f>
        <v/>
      </c>
      <c r="AH39" s="12">
        <v>50</v>
      </c>
      <c r="AI39" s="13" t="str">
        <f>IF(OR(B39="",Results!B14=""),"",IF(AND(B39=Results!B14,Results!B14&lt;&gt;Games!$C$122),1,0))</f>
        <v/>
      </c>
      <c r="AJ39" s="13" t="str">
        <f>IF(OR(C39="",Results!C14=""),"",IF(AND(C39=Results!C14,Results!C14&lt;&gt;Games!$C$123),1,0))</f>
        <v/>
      </c>
      <c r="AK39" s="13" t="str">
        <f>IF(OR(D39="",Results!D14=""),"",IF(AND(D39=Results!D14,Results!D14&lt;&gt;Games!$C$124),1,0))</f>
        <v/>
      </c>
      <c r="AL39" s="13" t="str">
        <f>IF(OR(E39="",Results!E14=""),"",IF(AND(E39=Results!E14,Results!E14&lt;&gt;Games!$C$125),1,0))</f>
        <v/>
      </c>
      <c r="AM39" s="13" t="str">
        <f>IF(OR(F39="",Results!F14=""),"",IF(AND(F39=Results!F14,Results!F14&lt;&gt;Games!$C$126),1,0))</f>
        <v/>
      </c>
      <c r="AN39" s="13" t="str">
        <f>IF(OR(G39="",Results!G14=""),"",IF(AND(G39=Results!G14,Results!G14&lt;&gt;Games!$C$127),1,0))</f>
        <v/>
      </c>
      <c r="AO39" s="13" t="str">
        <f>IF(OR(H39="",Results!H14=""),"",IF(AND(H39=Results!H14,Results!H14&lt;&gt;Games!$C$128),1,0))</f>
        <v/>
      </c>
      <c r="AP39" s="13" t="str">
        <f>IF(OR(I39="",Results!I14=""),"",IF(AND(I39=Results!I14,Results!I14&lt;&gt;Games!$C$129),1,0))</f>
        <v/>
      </c>
      <c r="AQ39" s="13" t="str">
        <f>IF(OR(J39="",Results!J14=""),"",IF(AND(J39=Results!J14,Results!J14&lt;&gt;Games!$C$130),1,0))</f>
        <v/>
      </c>
      <c r="AR39" s="13" t="str">
        <f>IF(OR(K39="",Results!K14=""),"",IF(AND(K39=Results!K14,Results!K14&lt;&gt;Games!$C$131),1,0))</f>
        <v/>
      </c>
      <c r="AS39" s="13" t="str">
        <f>IF(OR(L39="",Results!L14=""),"",IF(AND(L39=Results!L14,Results!L14&lt;&gt;Games!$C$132),1,0))</f>
        <v/>
      </c>
      <c r="AT39" s="13" t="str">
        <f>IF(OR(M39="",Results!M14=""),"",IF(AND(M39=Results!M14,Results!M14&lt;&gt;Games!$C$133),1,0))</f>
        <v/>
      </c>
      <c r="AU39" s="13" t="str">
        <f>IF(OR(N39="",Results!N14=""),"",IF(AND(N39=Results!N14,Results!N14&lt;&gt;Games!$C$134),1,0))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4" t="str">
        <f>IF(OR(B40="",Results!B14=""),"",IF(B40=Results!B14,1+IF(OR($O40=1,$P40=1,$Q40=1),1,0),0))</f>
        <v/>
      </c>
      <c r="T40" s="4" t="str">
        <f>IF(OR(C40="",Results!C14=""),"",IF(C40=Results!C14,1+IF(OR($O40=2,$P40=2,$Q40=2),1,0),0))</f>
        <v/>
      </c>
      <c r="U40" s="4" t="str">
        <f>IF(OR(D40="",Results!D14=""),"",IF(D40=Results!D14,1+IF(OR($O40=3,$P40=3,$Q40=3),1,0),0))</f>
        <v/>
      </c>
      <c r="V40" s="4" t="str">
        <f>IF(OR(E40="",Results!E14=""),"",IF(E40=Results!E14,1+IF(OR($O40=4,$P40=4,$Q40=4),1,0),0))</f>
        <v/>
      </c>
      <c r="W40" s="4" t="str">
        <f>IF(OR(F40="",Results!F14=""),"",IF(F40=Results!F14,1+IF(OR($O40=5,$P40=5,$Q40=5),1,0),0))</f>
        <v/>
      </c>
      <c r="X40" s="4" t="str">
        <f>IF(OR(G40="",Results!G14=""),"",IF(G40=Results!G14,1+IF(OR($O40=6,$P40=6,$Q40=6),1,0),0))</f>
        <v/>
      </c>
      <c r="Y40" s="4" t="str">
        <f>IF(OR(H40="",Results!H14=""),"",IF(H40=Results!H14,1+IF(OR($O40=7,$P40=7,$Q40=7),1,0),0))</f>
        <v/>
      </c>
      <c r="Z40" s="4" t="str">
        <f>IF(OR(I40="",Results!I14=""),"",IF(I40=Results!I14,1+IF(OR($O40=8,$P40=8,$Q40=8),1,0),0))</f>
        <v/>
      </c>
      <c r="AA40" s="4" t="str">
        <f>IF(OR(J40="",Results!J14=""),"",IF(J40=Results!J14,1+IF(OR($O40=9,$P40=9,$Q40=9),1,0),0))</f>
        <v/>
      </c>
      <c r="AB40" s="4" t="str">
        <f>IF(OR(K40="",Results!K14=""),"",IF(K40=Results!K14,1+IF(OR($O40=10,$P40=10,$Q40=10),1,0),0))</f>
        <v/>
      </c>
      <c r="AC40" s="4" t="str">
        <f>IF(OR(L40="",Results!L14=""),"",IF(L40=Results!L14,1+IF(OR($O40=11,$P40=11,$Q40=11),1,0),0))</f>
        <v/>
      </c>
      <c r="AD40" s="4" t="str">
        <f>IF(OR(M40="",Results!M14=""),"",IF(M40=Results!M14,1+IF(OR($O40=12,$P40=12,$Q40=12),1,0),0))</f>
        <v/>
      </c>
      <c r="AE40" s="4" t="str">
        <f>IF(OR(N40="",Results!N14=""),"",IF(N40=Results!N14,1+IF(OR($O40=13,$P40=13,$Q40=13),1,0),0))</f>
        <v/>
      </c>
      <c r="AF40" s="11">
        <f t="shared" si="2"/>
        <v>0</v>
      </c>
      <c r="AG40" s="4" t="str">
        <f>IF(OR($R40="",Results!O14=""),"",ABS($R40-Results!O14))</f>
        <v/>
      </c>
      <c r="AH40" s="12">
        <v>19</v>
      </c>
      <c r="AI40" s="13" t="str">
        <f>IF(OR(B40="",Results!B14=""),"",IF(AND(B40=Results!B14,Results!B14&lt;&gt;Games!$C$122),1,0))</f>
        <v/>
      </c>
      <c r="AJ40" s="13" t="str">
        <f>IF(OR(C40="",Results!C14=""),"",IF(AND(C40=Results!C14,Results!C14&lt;&gt;Games!$C$123),1,0))</f>
        <v/>
      </c>
      <c r="AK40" s="13" t="str">
        <f>IF(OR(D40="",Results!D14=""),"",IF(AND(D40=Results!D14,Results!D14&lt;&gt;Games!$C$124),1,0))</f>
        <v/>
      </c>
      <c r="AL40" s="13" t="str">
        <f>IF(OR(E40="",Results!E14=""),"",IF(AND(E40=Results!E14,Results!E14&lt;&gt;Games!$C$125),1,0))</f>
        <v/>
      </c>
      <c r="AM40" s="13" t="str">
        <f>IF(OR(F40="",Results!F14=""),"",IF(AND(F40=Results!F14,Results!F14&lt;&gt;Games!$C$126),1,0))</f>
        <v/>
      </c>
      <c r="AN40" s="13" t="str">
        <f>IF(OR(G40="",Results!G14=""),"",IF(AND(G40=Results!G14,Results!G14&lt;&gt;Games!$C$127),1,0))</f>
        <v/>
      </c>
      <c r="AO40" s="13" t="str">
        <f>IF(OR(H40="",Results!H14=""),"",IF(AND(H40=Results!H14,Results!H14&lt;&gt;Games!$C$128),1,0))</f>
        <v/>
      </c>
      <c r="AP40" s="13" t="str">
        <f>IF(OR(I40="",Results!I14=""),"",IF(AND(I40=Results!I14,Results!I14&lt;&gt;Games!$C$129),1,0))</f>
        <v/>
      </c>
      <c r="AQ40" s="13" t="str">
        <f>IF(OR(J40="",Results!J14=""),"",IF(AND(J40=Results!J14,Results!J14&lt;&gt;Games!$C$130),1,0))</f>
        <v/>
      </c>
      <c r="AR40" s="13" t="str">
        <f>IF(OR(K40="",Results!K14=""),"",IF(AND(K40=Results!K14,Results!K14&lt;&gt;Games!$C$131),1,0))</f>
        <v/>
      </c>
      <c r="AS40" s="13" t="str">
        <f>IF(OR(L40="",Results!L14=""),"",IF(AND(L40=Results!L14,Results!L14&lt;&gt;Games!$C$132),1,0))</f>
        <v/>
      </c>
      <c r="AT40" s="13" t="str">
        <f>IF(OR(M40="",Results!M14=""),"",IF(AND(M40=Results!M14,Results!M14&lt;&gt;Games!$C$133),1,0))</f>
        <v/>
      </c>
      <c r="AU40" s="13" t="str">
        <f>IF(OR(N40="",Results!N14=""),"",IF(AND(N40=Results!N14,Results!N14&lt;&gt;Games!$C$134),1,0))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IF(OR(B41="",Results!B14=""),"",IF(B41=Results!B14,1+IF(OR($O41=1,$P41=1,$Q41=1),1,0),0))</f>
        <v/>
      </c>
      <c r="T41" s="4" t="str">
        <f>IF(OR(C41="",Results!C14=""),"",IF(C41=Results!C14,1+IF(OR($O41=2,$P41=2,$Q41=2),1,0),0))</f>
        <v/>
      </c>
      <c r="U41" s="4" t="str">
        <f>IF(OR(D41="",Results!D14=""),"",IF(D41=Results!D14,1+IF(OR($O41=3,$P41=3,$Q41=3),1,0),0))</f>
        <v/>
      </c>
      <c r="V41" s="4" t="str">
        <f>IF(OR(E41="",Results!E14=""),"",IF(E41=Results!E14,1+IF(OR($O41=4,$P41=4,$Q41=4),1,0),0))</f>
        <v/>
      </c>
      <c r="W41" s="4" t="str">
        <f>IF(OR(F41="",Results!F14=""),"",IF(F41=Results!F14,1+IF(OR($O41=5,$P41=5,$Q41=5),1,0),0))</f>
        <v/>
      </c>
      <c r="X41" s="4" t="str">
        <f>IF(OR(G41="",Results!G14=""),"",IF(G41=Results!G14,1+IF(OR($O41=6,$P41=6,$Q41=6),1,0),0))</f>
        <v/>
      </c>
      <c r="Y41" s="4" t="str">
        <f>IF(OR(H41="",Results!H14=""),"",IF(H41=Results!H14,1+IF(OR($O41=7,$P41=7,$Q41=7),1,0),0))</f>
        <v/>
      </c>
      <c r="Z41" s="4" t="str">
        <f>IF(OR(I41="",Results!I14=""),"",IF(I41=Results!I14,1+IF(OR($O41=8,$P41=8,$Q41=8),1,0),0))</f>
        <v/>
      </c>
      <c r="AA41" s="4" t="str">
        <f>IF(OR(J41="",Results!J14=""),"",IF(J41=Results!J14,1+IF(OR($O41=9,$P41=9,$Q41=9),1,0),0))</f>
        <v/>
      </c>
      <c r="AB41" s="4" t="str">
        <f>IF(OR(K41="",Results!K14=""),"",IF(K41=Results!K14,1+IF(OR($O41=10,$P41=10,$Q41=10),1,0),0))</f>
        <v/>
      </c>
      <c r="AC41" s="4" t="str">
        <f>IF(OR(L41="",Results!L14=""),"",IF(L41=Results!L14,1+IF(OR($O41=11,$P41=11,$Q41=11),1,0),0))</f>
        <v/>
      </c>
      <c r="AD41" s="4" t="str">
        <f>IF(OR(M41="",Results!M14=""),"",IF(M41=Results!M14,1+IF(OR($O41=12,$P41=12,$Q41=12),1,0),0))</f>
        <v/>
      </c>
      <c r="AE41" s="4" t="str">
        <f>IF(OR(N41="",Results!N14=""),"",IF(N41=Results!N14,1+IF(OR($O41=13,$P41=13,$Q41=13),1,0),0))</f>
        <v/>
      </c>
      <c r="AF41" s="11">
        <f t="shared" si="2"/>
        <v>0</v>
      </c>
      <c r="AG41" s="4" t="str">
        <f>IF(OR($R41="",Results!O14=""),"",ABS($R41-Results!O14))</f>
        <v/>
      </c>
      <c r="AH41" s="12">
        <v>20</v>
      </c>
      <c r="AI41" s="13" t="str">
        <f>IF(OR(B41="",Results!B14=""),"",IF(AND(B41=Results!B14,Results!B14&lt;&gt;Games!$C$122),1,0))</f>
        <v/>
      </c>
      <c r="AJ41" s="13" t="str">
        <f>IF(OR(C41="",Results!C14=""),"",IF(AND(C41=Results!C14,Results!C14&lt;&gt;Games!$C$123),1,0))</f>
        <v/>
      </c>
      <c r="AK41" s="13" t="str">
        <f>IF(OR(D41="",Results!D14=""),"",IF(AND(D41=Results!D14,Results!D14&lt;&gt;Games!$C$124),1,0))</f>
        <v/>
      </c>
      <c r="AL41" s="13" t="str">
        <f>IF(OR(E41="",Results!E14=""),"",IF(AND(E41=Results!E14,Results!E14&lt;&gt;Games!$C$125),1,0))</f>
        <v/>
      </c>
      <c r="AM41" s="13" t="str">
        <f>IF(OR(F41="",Results!F14=""),"",IF(AND(F41=Results!F14,Results!F14&lt;&gt;Games!$C$126),1,0))</f>
        <v/>
      </c>
      <c r="AN41" s="13" t="str">
        <f>IF(OR(G41="",Results!G14=""),"",IF(AND(G41=Results!G14,Results!G14&lt;&gt;Games!$C$127),1,0))</f>
        <v/>
      </c>
      <c r="AO41" s="13" t="str">
        <f>IF(OR(H41="",Results!H14=""),"",IF(AND(H41=Results!H14,Results!H14&lt;&gt;Games!$C$128),1,0))</f>
        <v/>
      </c>
      <c r="AP41" s="13" t="str">
        <f>IF(OR(I41="",Results!I14=""),"",IF(AND(I41=Results!I14,Results!I14&lt;&gt;Games!$C$129),1,0))</f>
        <v/>
      </c>
      <c r="AQ41" s="13" t="str">
        <f>IF(OR(J41="",Results!J14=""),"",IF(AND(J41=Results!J14,Results!J14&lt;&gt;Games!$C$130),1,0))</f>
        <v/>
      </c>
      <c r="AR41" s="13" t="str">
        <f>IF(OR(K41="",Results!K14=""),"",IF(AND(K41=Results!K14,Results!K14&lt;&gt;Games!$C$131),1,0))</f>
        <v/>
      </c>
      <c r="AS41" s="13" t="str">
        <f>IF(OR(L41="",Results!L14=""),"",IF(AND(L41=Results!L14,Results!L14&lt;&gt;Games!$C$132),1,0))</f>
        <v/>
      </c>
      <c r="AT41" s="13" t="str">
        <f>IF(OR(M41="",Results!M14=""),"",IF(AND(M41=Results!M14,Results!M14&lt;&gt;Games!$C$133),1,0))</f>
        <v/>
      </c>
      <c r="AU41" s="13" t="str">
        <f>IF(OR(N41="",Results!N14=""),"",IF(AND(N41=Results!N14,Results!N14&lt;&gt;Games!$C$134),1,0))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4" t="str">
        <f>IF(OR(B42="",Results!B14=""),"",IF(B42=Results!B14,1+IF(OR($O42=1,$P42=1,$Q42=1),1,0),0))</f>
        <v/>
      </c>
      <c r="T42" s="4" t="str">
        <f>IF(OR(C42="",Results!C14=""),"",IF(C42=Results!C14,1+IF(OR($O42=2,$P42=2,$Q42=2),1,0),0))</f>
        <v/>
      </c>
      <c r="U42" s="4" t="str">
        <f>IF(OR(D42="",Results!D14=""),"",IF(D42=Results!D14,1+IF(OR($O42=3,$P42=3,$Q42=3),1,0),0))</f>
        <v/>
      </c>
      <c r="V42" s="4" t="str">
        <f>IF(OR(E42="",Results!E14=""),"",IF(E42=Results!E14,1+IF(OR($O42=4,$P42=4,$Q42=4),1,0),0))</f>
        <v/>
      </c>
      <c r="W42" s="4" t="str">
        <f>IF(OR(F42="",Results!F14=""),"",IF(F42=Results!F14,1+IF(OR($O42=5,$P42=5,$Q42=5),1,0),0))</f>
        <v/>
      </c>
      <c r="X42" s="4" t="str">
        <f>IF(OR(G42="",Results!G14=""),"",IF(G42=Results!G14,1+IF(OR($O42=6,$P42=6,$Q42=6),1,0),0))</f>
        <v/>
      </c>
      <c r="Y42" s="4" t="str">
        <f>IF(OR(H42="",Results!H14=""),"",IF(H42=Results!H14,1+IF(OR($O42=7,$P42=7,$Q42=7),1,0),0))</f>
        <v/>
      </c>
      <c r="Z42" s="4" t="str">
        <f>IF(OR(I42="",Results!I14=""),"",IF(I42=Results!I14,1+IF(OR($O42=8,$P42=8,$Q42=8),1,0),0))</f>
        <v/>
      </c>
      <c r="AA42" s="4" t="str">
        <f>IF(OR(J42="",Results!J14=""),"",IF(J42=Results!J14,1+IF(OR($O42=9,$P42=9,$Q42=9),1,0),0))</f>
        <v/>
      </c>
      <c r="AB42" s="4" t="str">
        <f>IF(OR(K42="",Results!K14=""),"",IF(K42=Results!K14,1+IF(OR($O42=10,$P42=10,$Q42=10),1,0),0))</f>
        <v/>
      </c>
      <c r="AC42" s="4" t="str">
        <f>IF(OR(L42="",Results!L14=""),"",IF(L42=Results!L14,1+IF(OR($O42=11,$P42=11,$Q42=11),1,0),0))</f>
        <v/>
      </c>
      <c r="AD42" s="4" t="str">
        <f>IF(OR(M42="",Results!M14=""),"",IF(M42=Results!M14,1+IF(OR($O42=12,$P42=12,$Q42=12),1,0),0))</f>
        <v/>
      </c>
      <c r="AE42" s="4" t="str">
        <f>IF(OR(N42="",Results!N14=""),"",IF(N42=Results!N14,1+IF(OR($O42=13,$P42=13,$Q42=13),1,0),0))</f>
        <v/>
      </c>
      <c r="AF42" s="11">
        <f t="shared" si="2"/>
        <v>0</v>
      </c>
      <c r="AG42" s="4" t="str">
        <f>IF(OR($R42="",Results!O14=""),"",ABS($R42-Results!O14))</f>
        <v/>
      </c>
      <c r="AH42" s="12">
        <v>21</v>
      </c>
      <c r="AI42" s="13" t="str">
        <f>IF(OR(B42="",Results!B14=""),"",IF(AND(B42=Results!B14,Results!B14&lt;&gt;Games!$C$122),1,0))</f>
        <v/>
      </c>
      <c r="AJ42" s="13" t="str">
        <f>IF(OR(C42="",Results!C14=""),"",IF(AND(C42=Results!C14,Results!C14&lt;&gt;Games!$C$123),1,0))</f>
        <v/>
      </c>
      <c r="AK42" s="13" t="str">
        <f>IF(OR(D42="",Results!D14=""),"",IF(AND(D42=Results!D14,Results!D14&lt;&gt;Games!$C$124),1,0))</f>
        <v/>
      </c>
      <c r="AL42" s="13" t="str">
        <f>IF(OR(E42="",Results!E14=""),"",IF(AND(E42=Results!E14,Results!E14&lt;&gt;Games!$C$125),1,0))</f>
        <v/>
      </c>
      <c r="AM42" s="13" t="str">
        <f>IF(OR(F42="",Results!F14=""),"",IF(AND(F42=Results!F14,Results!F14&lt;&gt;Games!$C$126),1,0))</f>
        <v/>
      </c>
      <c r="AN42" s="13" t="str">
        <f>IF(OR(G42="",Results!G14=""),"",IF(AND(G42=Results!G14,Results!G14&lt;&gt;Games!$C$127),1,0))</f>
        <v/>
      </c>
      <c r="AO42" s="13" t="str">
        <f>IF(OR(H42="",Results!H14=""),"",IF(AND(H42=Results!H14,Results!H14&lt;&gt;Games!$C$128),1,0))</f>
        <v/>
      </c>
      <c r="AP42" s="13" t="str">
        <f>IF(OR(I42="",Results!I14=""),"",IF(AND(I42=Results!I14,Results!I14&lt;&gt;Games!$C$129),1,0))</f>
        <v/>
      </c>
      <c r="AQ42" s="13" t="str">
        <f>IF(OR(J42="",Results!J14=""),"",IF(AND(J42=Results!J14,Results!J14&lt;&gt;Games!$C$130),1,0))</f>
        <v/>
      </c>
      <c r="AR42" s="13" t="str">
        <f>IF(OR(K42="",Results!K14=""),"",IF(AND(K42=Results!K14,Results!K14&lt;&gt;Games!$C$131),1,0))</f>
        <v/>
      </c>
      <c r="AS42" s="13" t="str">
        <f>IF(OR(L42="",Results!L14=""),"",IF(AND(L42=Results!L14,Results!L14&lt;&gt;Games!$C$132),1,0))</f>
        <v/>
      </c>
      <c r="AT42" s="13" t="str">
        <f>IF(OR(M42="",Results!M14=""),"",IF(AND(M42=Results!M14,Results!M14&lt;&gt;Games!$C$133),1,0))</f>
        <v/>
      </c>
      <c r="AU42" s="13" t="str">
        <f>IF(OR(N42="",Results!N14=""),"",IF(AND(N42=Results!N14,Results!N14&lt;&gt;Games!$C$134),1,0))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4" t="str">
        <f>IF(OR(B43="",Results!B14=""),"",IF(B43=Results!B14,1+IF(OR($O43=1,$P43=1,$Q43=1),1,0),0))</f>
        <v/>
      </c>
      <c r="T43" s="4" t="str">
        <f>IF(OR(C43="",Results!C14=""),"",IF(C43=Results!C14,1+IF(OR($O43=2,$P43=2,$Q43=2),1,0),0))</f>
        <v/>
      </c>
      <c r="U43" s="4" t="str">
        <f>IF(OR(D43="",Results!D14=""),"",IF(D43=Results!D14,1+IF(OR($O43=3,$P43=3,$Q43=3),1,0),0))</f>
        <v/>
      </c>
      <c r="V43" s="4" t="str">
        <f>IF(OR(E43="",Results!E14=""),"",IF(E43=Results!E14,1+IF(OR($O43=4,$P43=4,$Q43=4),1,0),0))</f>
        <v/>
      </c>
      <c r="W43" s="4" t="str">
        <f>IF(OR(F43="",Results!F14=""),"",IF(F43=Results!F14,1+IF(OR($O43=5,$P43=5,$Q43=5),1,0),0))</f>
        <v/>
      </c>
      <c r="X43" s="4" t="str">
        <f>IF(OR(G43="",Results!G14=""),"",IF(G43=Results!G14,1+IF(OR($O43=6,$P43=6,$Q43=6),1,0),0))</f>
        <v/>
      </c>
      <c r="Y43" s="4" t="str">
        <f>IF(OR(H43="",Results!H14=""),"",IF(H43=Results!H14,1+IF(OR($O43=7,$P43=7,$Q43=7),1,0),0))</f>
        <v/>
      </c>
      <c r="Z43" s="4" t="str">
        <f>IF(OR(I43="",Results!I14=""),"",IF(I43=Results!I14,1+IF(OR($O43=8,$P43=8,$Q43=8),1,0),0))</f>
        <v/>
      </c>
      <c r="AA43" s="4" t="str">
        <f>IF(OR(J43="",Results!J14=""),"",IF(J43=Results!J14,1+IF(OR($O43=9,$P43=9,$Q43=9),1,0),0))</f>
        <v/>
      </c>
      <c r="AB43" s="4" t="str">
        <f>IF(OR(K43="",Results!K14=""),"",IF(K43=Results!K14,1+IF(OR($O43=10,$P43=10,$Q43=10),1,0),0))</f>
        <v/>
      </c>
      <c r="AC43" s="4" t="str">
        <f>IF(OR(L43="",Results!L14=""),"",IF(L43=Results!L14,1+IF(OR($O43=11,$P43=11,$Q43=11),1,0),0))</f>
        <v/>
      </c>
      <c r="AD43" s="4" t="str">
        <f>IF(OR(M43="",Results!M14=""),"",IF(M43=Results!M14,1+IF(OR($O43=12,$P43=12,$Q43=12),1,0),0))</f>
        <v/>
      </c>
      <c r="AE43" s="4" t="str">
        <f>IF(OR(N43="",Results!N14=""),"",IF(N43=Results!N14,1+IF(OR($O43=13,$P43=13,$Q43=13),1,0),0))</f>
        <v/>
      </c>
      <c r="AF43" s="11">
        <f t="shared" si="2"/>
        <v>0</v>
      </c>
      <c r="AG43" s="4" t="str">
        <f>IF(OR($R43="",Results!O14=""),"",ABS($R43-Results!O14))</f>
        <v/>
      </c>
      <c r="AH43" s="12">
        <v>22</v>
      </c>
      <c r="AI43" s="13" t="str">
        <f>IF(OR(B43="",Results!B14=""),"",IF(AND(B43=Results!B14,Results!B14&lt;&gt;Games!$C$122),1,0))</f>
        <v/>
      </c>
      <c r="AJ43" s="13" t="str">
        <f>IF(OR(C43="",Results!C14=""),"",IF(AND(C43=Results!C14,Results!C14&lt;&gt;Games!$C$123),1,0))</f>
        <v/>
      </c>
      <c r="AK43" s="13" t="str">
        <f>IF(OR(D43="",Results!D14=""),"",IF(AND(D43=Results!D14,Results!D14&lt;&gt;Games!$C$124),1,0))</f>
        <v/>
      </c>
      <c r="AL43" s="13" t="str">
        <f>IF(OR(E43="",Results!E14=""),"",IF(AND(E43=Results!E14,Results!E14&lt;&gt;Games!$C$125),1,0))</f>
        <v/>
      </c>
      <c r="AM43" s="13" t="str">
        <f>IF(OR(F43="",Results!F14=""),"",IF(AND(F43=Results!F14,Results!F14&lt;&gt;Games!$C$126),1,0))</f>
        <v/>
      </c>
      <c r="AN43" s="13" t="str">
        <f>IF(OR(G43="",Results!G14=""),"",IF(AND(G43=Results!G14,Results!G14&lt;&gt;Games!$C$127),1,0))</f>
        <v/>
      </c>
      <c r="AO43" s="13" t="str">
        <f>IF(OR(H43="",Results!H14=""),"",IF(AND(H43=Results!H14,Results!H14&lt;&gt;Games!$C$128),1,0))</f>
        <v/>
      </c>
      <c r="AP43" s="13" t="str">
        <f>IF(OR(I43="",Results!I14=""),"",IF(AND(I43=Results!I14,Results!I14&lt;&gt;Games!$C$129),1,0))</f>
        <v/>
      </c>
      <c r="AQ43" s="13" t="str">
        <f>IF(OR(J43="",Results!J14=""),"",IF(AND(J43=Results!J14,Results!J14&lt;&gt;Games!$C$130),1,0))</f>
        <v/>
      </c>
      <c r="AR43" s="13" t="str">
        <f>IF(OR(K43="",Results!K14=""),"",IF(AND(K43=Results!K14,Results!K14&lt;&gt;Games!$C$131),1,0))</f>
        <v/>
      </c>
      <c r="AS43" s="13" t="str">
        <f>IF(OR(L43="",Results!L14=""),"",IF(AND(L43=Results!L14,Results!L14&lt;&gt;Games!$C$132),1,0))</f>
        <v/>
      </c>
      <c r="AT43" s="13" t="str">
        <f>IF(OR(M43="",Results!M14=""),"",IF(AND(M43=Results!M14,Results!M14&lt;&gt;Games!$C$133),1,0))</f>
        <v/>
      </c>
      <c r="AU43" s="13" t="str">
        <f>IF(OR(N43="",Results!N14=""),"",IF(AND(N43=Results!N14,Results!N14&lt;&gt;Games!$C$134),1,0))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tr">
        <f>IF(OR(B44="",Results!B14=""),"",IF(B44=Results!B14,1+IF(OR($O44=1,$P44=1,$Q44=1),1,0),0))</f>
        <v/>
      </c>
      <c r="T44" s="4" t="str">
        <f>IF(OR(C44="",Results!C14=""),"",IF(C44=Results!C14,1+IF(OR($O44=2,$P44=2,$Q44=2),1,0),0))</f>
        <v/>
      </c>
      <c r="U44" s="4" t="str">
        <f>IF(OR(D44="",Results!D14=""),"",IF(D44=Results!D14,1+IF(OR($O44=3,$P44=3,$Q44=3),1,0),0))</f>
        <v/>
      </c>
      <c r="V44" s="4" t="str">
        <f>IF(OR(E44="",Results!E14=""),"",IF(E44=Results!E14,1+IF(OR($O44=4,$P44=4,$Q44=4),1,0),0))</f>
        <v/>
      </c>
      <c r="W44" s="4" t="str">
        <f>IF(OR(F44="",Results!F14=""),"",IF(F44=Results!F14,1+IF(OR($O44=5,$P44=5,$Q44=5),1,0),0))</f>
        <v/>
      </c>
      <c r="X44" s="4" t="str">
        <f>IF(OR(G44="",Results!G14=""),"",IF(G44=Results!G14,1+IF(OR($O44=6,$P44=6,$Q44=6),1,0),0))</f>
        <v/>
      </c>
      <c r="Y44" s="4" t="str">
        <f>IF(OR(H44="",Results!H14=""),"",IF(H44=Results!H14,1+IF(OR($O44=7,$P44=7,$Q44=7),1,0),0))</f>
        <v/>
      </c>
      <c r="Z44" s="4" t="str">
        <f>IF(OR(I44="",Results!I14=""),"",IF(I44=Results!I14,1+IF(OR($O44=8,$P44=8,$Q44=8),1,0),0))</f>
        <v/>
      </c>
      <c r="AA44" s="4" t="str">
        <f>IF(OR(J44="",Results!J14=""),"",IF(J44=Results!J14,1+IF(OR($O44=9,$P44=9,$Q44=9),1,0),0))</f>
        <v/>
      </c>
      <c r="AB44" s="4" t="str">
        <f>IF(OR(K44="",Results!K14=""),"",IF(K44=Results!K14,1+IF(OR($O44=10,$P44=10,$Q44=10),1,0),0))</f>
        <v/>
      </c>
      <c r="AC44" s="4" t="str">
        <f>IF(OR(L44="",Results!L14=""),"",IF(L44=Results!L14,1+IF(OR($O44=11,$P44=11,$Q44=11),1,0),0))</f>
        <v/>
      </c>
      <c r="AD44" s="4" t="str">
        <f>IF(OR(M44="",Results!M14=""),"",IF(M44=Results!M14,1+IF(OR($O44=12,$P44=12,$Q44=12),1,0),0))</f>
        <v/>
      </c>
      <c r="AE44" s="4" t="str">
        <f>IF(OR(N44="",Results!N14=""),"",IF(N44=Results!N14,1+IF(OR($O44=13,$P44=13,$Q44=13),1,0),0))</f>
        <v/>
      </c>
      <c r="AF44" s="11">
        <f t="shared" si="2"/>
        <v>0</v>
      </c>
      <c r="AG44" s="4" t="str">
        <f>IF(OR($R44="",Results!O14=""),"",ABS($R44-Results!O14))</f>
        <v/>
      </c>
      <c r="AH44" s="12">
        <v>23</v>
      </c>
      <c r="AI44" s="13" t="str">
        <f>IF(OR(B44="",Results!B14=""),"",IF(AND(B44=Results!B14,Results!B14&lt;&gt;Games!$C$122),1,0))</f>
        <v/>
      </c>
      <c r="AJ44" s="13" t="str">
        <f>IF(OR(C44="",Results!C14=""),"",IF(AND(C44=Results!C14,Results!C14&lt;&gt;Games!$C$123),1,0))</f>
        <v/>
      </c>
      <c r="AK44" s="13" t="str">
        <f>IF(OR(D44="",Results!D14=""),"",IF(AND(D44=Results!D14,Results!D14&lt;&gt;Games!$C$124),1,0))</f>
        <v/>
      </c>
      <c r="AL44" s="13" t="str">
        <f>IF(OR(E44="",Results!E14=""),"",IF(AND(E44=Results!E14,Results!E14&lt;&gt;Games!$C$125),1,0))</f>
        <v/>
      </c>
      <c r="AM44" s="13" t="str">
        <f>IF(OR(F44="",Results!F14=""),"",IF(AND(F44=Results!F14,Results!F14&lt;&gt;Games!$C$126),1,0))</f>
        <v/>
      </c>
      <c r="AN44" s="13" t="str">
        <f>IF(OR(G44="",Results!G14=""),"",IF(AND(G44=Results!G14,Results!G14&lt;&gt;Games!$C$127),1,0))</f>
        <v/>
      </c>
      <c r="AO44" s="13" t="str">
        <f>IF(OR(H44="",Results!H14=""),"",IF(AND(H44=Results!H14,Results!H14&lt;&gt;Games!$C$128),1,0))</f>
        <v/>
      </c>
      <c r="AP44" s="13" t="str">
        <f>IF(OR(I44="",Results!I14=""),"",IF(AND(I44=Results!I14,Results!I14&lt;&gt;Games!$C$129),1,0))</f>
        <v/>
      </c>
      <c r="AQ44" s="13" t="str">
        <f>IF(OR(J44="",Results!J14=""),"",IF(AND(J44=Results!J14,Results!J14&lt;&gt;Games!$C$130),1,0))</f>
        <v/>
      </c>
      <c r="AR44" s="13" t="str">
        <f>IF(OR(K44="",Results!K14=""),"",IF(AND(K44=Results!K14,Results!K14&lt;&gt;Games!$C$131),1,0))</f>
        <v/>
      </c>
      <c r="AS44" s="13" t="str">
        <f>IF(OR(L44="",Results!L14=""),"",IF(AND(L44=Results!L14,Results!L14&lt;&gt;Games!$C$132),1,0))</f>
        <v/>
      </c>
      <c r="AT44" s="13" t="str">
        <f>IF(OR(M44="",Results!M14=""),"",IF(AND(M44=Results!M14,Results!M14&lt;&gt;Games!$C$133),1,0))</f>
        <v/>
      </c>
      <c r="AU44" s="13" t="str">
        <f>IF(OR(N44="",Results!N14=""),"",IF(AND(N44=Results!N14,Results!N14&lt;&gt;Games!$C$134),1,0))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IF(OR(B45="",Results!B14=""),"",IF(B45=Results!B14,1+IF(OR($O45=1,$P45=1,$Q45=1),1,0),0))</f>
        <v/>
      </c>
      <c r="T45" s="4" t="str">
        <f>IF(OR(C45="",Results!C14=""),"",IF(C45=Results!C14,1+IF(OR($O45=2,$P45=2,$Q45=2),1,0),0))</f>
        <v/>
      </c>
      <c r="U45" s="4" t="str">
        <f>IF(OR(D45="",Results!D14=""),"",IF(D45=Results!D14,1+IF(OR($O45=3,$P45=3,$Q45=3),1,0),0))</f>
        <v/>
      </c>
      <c r="V45" s="4" t="str">
        <f>IF(OR(E45="",Results!E14=""),"",IF(E45=Results!E14,1+IF(OR($O45=4,$P45=4,$Q45=4),1,0),0))</f>
        <v/>
      </c>
      <c r="W45" s="4" t="str">
        <f>IF(OR(F45="",Results!F14=""),"",IF(F45=Results!F14,1+IF(OR($O45=5,$P45=5,$Q45=5),1,0),0))</f>
        <v/>
      </c>
      <c r="X45" s="4" t="str">
        <f>IF(OR(G45="",Results!G14=""),"",IF(G45=Results!G14,1+IF(OR($O45=6,$P45=6,$Q45=6),1,0),0))</f>
        <v/>
      </c>
      <c r="Y45" s="4" t="str">
        <f>IF(OR(H45="",Results!H14=""),"",IF(H45=Results!H14,1+IF(OR($O45=7,$P45=7,$Q45=7),1,0),0))</f>
        <v/>
      </c>
      <c r="Z45" s="4" t="str">
        <f>IF(OR(I45="",Results!I14=""),"",IF(I45=Results!I14,1+IF(OR($O45=8,$P45=8,$Q45=8),1,0),0))</f>
        <v/>
      </c>
      <c r="AA45" s="4" t="str">
        <f>IF(OR(J45="",Results!J14=""),"",IF(J45=Results!J14,1+IF(OR($O45=9,$P45=9,$Q45=9),1,0),0))</f>
        <v/>
      </c>
      <c r="AB45" s="4" t="str">
        <f>IF(OR(K45="",Results!K14=""),"",IF(K45=Results!K14,1+IF(OR($O45=10,$P45=10,$Q45=10),1,0),0))</f>
        <v/>
      </c>
      <c r="AC45" s="4" t="str">
        <f>IF(OR(L45="",Results!L14=""),"",IF(L45=Results!L14,1+IF(OR($O45=11,$P45=11,$Q45=11),1,0),0))</f>
        <v/>
      </c>
      <c r="AD45" s="4" t="str">
        <f>IF(OR(M45="",Results!M14=""),"",IF(M45=Results!M14,1+IF(OR($O45=12,$P45=12,$Q45=12),1,0),0))</f>
        <v/>
      </c>
      <c r="AE45" s="4" t="str">
        <f>IF(OR(N45="",Results!N14=""),"",IF(N45=Results!N14,1+IF(OR($O45=13,$P45=13,$Q45=13),1,0),0))</f>
        <v/>
      </c>
      <c r="AF45" s="11">
        <f t="shared" si="2"/>
        <v>0</v>
      </c>
      <c r="AG45" s="4" t="str">
        <f>IF(OR($R45="",Results!O14=""),"",ABS($R45-Results!O14))</f>
        <v/>
      </c>
      <c r="AH45" s="12">
        <v>24</v>
      </c>
      <c r="AI45" s="13" t="str">
        <f>IF(OR(B45="",Results!B14=""),"",IF(AND(B45=Results!B14,Results!B14&lt;&gt;Games!$C$122),1,0))</f>
        <v/>
      </c>
      <c r="AJ45" s="13" t="str">
        <f>IF(OR(C45="",Results!C14=""),"",IF(AND(C45=Results!C14,Results!C14&lt;&gt;Games!$C$123),1,0))</f>
        <v/>
      </c>
      <c r="AK45" s="13" t="str">
        <f>IF(OR(D45="",Results!D14=""),"",IF(AND(D45=Results!D14,Results!D14&lt;&gt;Games!$C$124),1,0))</f>
        <v/>
      </c>
      <c r="AL45" s="13" t="str">
        <f>IF(OR(E45="",Results!E14=""),"",IF(AND(E45=Results!E14,Results!E14&lt;&gt;Games!$C$125),1,0))</f>
        <v/>
      </c>
      <c r="AM45" s="13" t="str">
        <f>IF(OR(F45="",Results!F14=""),"",IF(AND(F45=Results!F14,Results!F14&lt;&gt;Games!$C$126),1,0))</f>
        <v/>
      </c>
      <c r="AN45" s="13" t="str">
        <f>IF(OR(G45="",Results!G14=""),"",IF(AND(G45=Results!G14,Results!G14&lt;&gt;Games!$C$127),1,0))</f>
        <v/>
      </c>
      <c r="AO45" s="13" t="str">
        <f>IF(OR(H45="",Results!H14=""),"",IF(AND(H45=Results!H14,Results!H14&lt;&gt;Games!$C$128),1,0))</f>
        <v/>
      </c>
      <c r="AP45" s="13" t="str">
        <f>IF(OR(I45="",Results!I14=""),"",IF(AND(I45=Results!I14,Results!I14&lt;&gt;Games!$C$129),1,0))</f>
        <v/>
      </c>
      <c r="AQ45" s="13" t="str">
        <f>IF(OR(J45="",Results!J14=""),"",IF(AND(J45=Results!J14,Results!J14&lt;&gt;Games!$C$130),1,0))</f>
        <v/>
      </c>
      <c r="AR45" s="13" t="str">
        <f>IF(OR(K45="",Results!K14=""),"",IF(AND(K45=Results!K14,Results!K14&lt;&gt;Games!$C$131),1,0))</f>
        <v/>
      </c>
      <c r="AS45" s="13" t="str">
        <f>IF(OR(L45="",Results!L14=""),"",IF(AND(L45=Results!L14,Results!L14&lt;&gt;Games!$C$132),1,0))</f>
        <v/>
      </c>
      <c r="AT45" s="13" t="str">
        <f>IF(OR(M45="",Results!M14=""),"",IF(AND(M45=Results!M14,Results!M14&lt;&gt;Games!$C$133),1,0))</f>
        <v/>
      </c>
      <c r="AU45" s="13" t="str">
        <f>IF(OR(N45="",Results!N14=""),"",IF(AND(N45=Results!N14,Results!N14&lt;&gt;Games!$C$134),1,0))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IF(OR(B46="",Results!B14=""),"",IF(B46=Results!B14,1+IF(OR($O46=1,$P46=1,$Q46=1),1,0),0))</f>
        <v/>
      </c>
      <c r="T46" s="4" t="str">
        <f>IF(OR(C46="",Results!C14=""),"",IF(C46=Results!C14,1+IF(OR($O46=2,$P46=2,$Q46=2),1,0),0))</f>
        <v/>
      </c>
      <c r="U46" s="4" t="str">
        <f>IF(OR(D46="",Results!D14=""),"",IF(D46=Results!D14,1+IF(OR($O46=3,$P46=3,$Q46=3),1,0),0))</f>
        <v/>
      </c>
      <c r="V46" s="4" t="str">
        <f>IF(OR(E46="",Results!E14=""),"",IF(E46=Results!E14,1+IF(OR($O46=4,$P46=4,$Q46=4),1,0),0))</f>
        <v/>
      </c>
      <c r="W46" s="4" t="str">
        <f>IF(OR(F46="",Results!F14=""),"",IF(F46=Results!F14,1+IF(OR($O46=5,$P46=5,$Q46=5),1,0),0))</f>
        <v/>
      </c>
      <c r="X46" s="4" t="str">
        <f>IF(OR(G46="",Results!G14=""),"",IF(G46=Results!G14,1+IF(OR($O46=6,$P46=6,$Q46=6),1,0),0))</f>
        <v/>
      </c>
      <c r="Y46" s="4" t="str">
        <f>IF(OR(H46="",Results!H14=""),"",IF(H46=Results!H14,1+IF(OR($O46=7,$P46=7,$Q46=7),1,0),0))</f>
        <v/>
      </c>
      <c r="Z46" s="4" t="str">
        <f>IF(OR(I46="",Results!I14=""),"",IF(I46=Results!I14,1+IF(OR($O46=8,$P46=8,$Q46=8),1,0),0))</f>
        <v/>
      </c>
      <c r="AA46" s="4" t="str">
        <f>IF(OR(J46="",Results!J14=""),"",IF(J46=Results!J14,1+IF(OR($O46=9,$P46=9,$Q46=9),1,0),0))</f>
        <v/>
      </c>
      <c r="AB46" s="4" t="str">
        <f>IF(OR(K46="",Results!K14=""),"",IF(K46=Results!K14,1+IF(OR($O46=10,$P46=10,$Q46=10),1,0),0))</f>
        <v/>
      </c>
      <c r="AC46" s="4" t="str">
        <f>IF(OR(L46="",Results!L14=""),"",IF(L46=Results!L14,1+IF(OR($O46=11,$P46=11,$Q46=11),1,0),0))</f>
        <v/>
      </c>
      <c r="AD46" s="4" t="str">
        <f>IF(OR(M46="",Results!M14=""),"",IF(M46=Results!M14,1+IF(OR($O46=12,$P46=12,$Q46=12),1,0),0))</f>
        <v/>
      </c>
      <c r="AE46" s="4" t="str">
        <f>IF(OR(N46="",Results!N14=""),"",IF(N46=Results!N14,1+IF(OR($O46=13,$P46=13,$Q46=13),1,0),0))</f>
        <v/>
      </c>
      <c r="AF46" s="11">
        <f t="shared" si="2"/>
        <v>0</v>
      </c>
      <c r="AG46" s="4" t="str">
        <f>IF(OR($R46="",Results!O14=""),"",ABS($R46-Results!O14))</f>
        <v/>
      </c>
      <c r="AH46" s="12">
        <v>36</v>
      </c>
      <c r="AI46" s="13" t="str">
        <f>IF(OR(B46="",Results!B14=""),"",IF(AND(B46=Results!B14,Results!B14&lt;&gt;Games!$C$122),1,0))</f>
        <v/>
      </c>
      <c r="AJ46" s="13" t="str">
        <f>IF(OR(C46="",Results!C14=""),"",IF(AND(C46=Results!C14,Results!C14&lt;&gt;Games!$C$123),1,0))</f>
        <v/>
      </c>
      <c r="AK46" s="13" t="str">
        <f>IF(OR(D46="",Results!D14=""),"",IF(AND(D46=Results!D14,Results!D14&lt;&gt;Games!$C$124),1,0))</f>
        <v/>
      </c>
      <c r="AL46" s="13" t="str">
        <f>IF(OR(E46="",Results!E14=""),"",IF(AND(E46=Results!E14,Results!E14&lt;&gt;Games!$C$125),1,0))</f>
        <v/>
      </c>
      <c r="AM46" s="13" t="str">
        <f>IF(OR(F46="",Results!F14=""),"",IF(AND(F46=Results!F14,Results!F14&lt;&gt;Games!$C$126),1,0))</f>
        <v/>
      </c>
      <c r="AN46" s="13" t="str">
        <f>IF(OR(G46="",Results!G14=""),"",IF(AND(G46=Results!G14,Results!G14&lt;&gt;Games!$C$127),1,0))</f>
        <v/>
      </c>
      <c r="AO46" s="13" t="str">
        <f>IF(OR(H46="",Results!H14=""),"",IF(AND(H46=Results!H14,Results!H14&lt;&gt;Games!$C$128),1,0))</f>
        <v/>
      </c>
      <c r="AP46" s="13" t="str">
        <f>IF(OR(I46="",Results!I14=""),"",IF(AND(I46=Results!I14,Results!I14&lt;&gt;Games!$C$129),1,0))</f>
        <v/>
      </c>
      <c r="AQ46" s="13" t="str">
        <f>IF(OR(J46="",Results!J14=""),"",IF(AND(J46=Results!J14,Results!J14&lt;&gt;Games!$C$130),1,0))</f>
        <v/>
      </c>
      <c r="AR46" s="13" t="str">
        <f>IF(OR(K46="",Results!K14=""),"",IF(AND(K46=Results!K14,Results!K14&lt;&gt;Games!$C$131),1,0))</f>
        <v/>
      </c>
      <c r="AS46" s="13" t="str">
        <f>IF(OR(L46="",Results!L14=""),"",IF(AND(L46=Results!L14,Results!L14&lt;&gt;Games!$C$132),1,0))</f>
        <v/>
      </c>
      <c r="AT46" s="13" t="str">
        <f>IF(OR(M46="",Results!M14=""),"",IF(AND(M46=Results!M14,Results!M14&lt;&gt;Games!$C$133),1,0))</f>
        <v/>
      </c>
      <c r="AU46" s="13" t="str">
        <f>IF(OR(N46="",Results!N14=""),"",IF(AND(N46=Results!N14,Results!N14&lt;&gt;Games!$C$134),1,0))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 t="str">
        <f>IF(OR(B47="",Results!B14=""),"",IF(B47=Results!B14,1+IF(OR($O47=1,$P47=1,$Q47=1),1,0),0))</f>
        <v/>
      </c>
      <c r="T47" s="4" t="str">
        <f>IF(OR(C47="",Results!C14=""),"",IF(C47=Results!C14,1+IF(OR($O47=2,$P47=2,$Q47=2),1,0),0))</f>
        <v/>
      </c>
      <c r="U47" s="4" t="str">
        <f>IF(OR(D47="",Results!D14=""),"",IF(D47=Results!D14,1+IF(OR($O47=3,$P47=3,$Q47=3),1,0),0))</f>
        <v/>
      </c>
      <c r="V47" s="4" t="str">
        <f>IF(OR(E47="",Results!E14=""),"",IF(E47=Results!E14,1+IF(OR($O47=4,$P47=4,$Q47=4),1,0),0))</f>
        <v/>
      </c>
      <c r="W47" s="4" t="str">
        <f>IF(OR(F47="",Results!F14=""),"",IF(F47=Results!F14,1+IF(OR($O47=5,$P47=5,$Q47=5),1,0),0))</f>
        <v/>
      </c>
      <c r="X47" s="4" t="str">
        <f>IF(OR(G47="",Results!G14=""),"",IF(G47=Results!G14,1+IF(OR($O47=6,$P47=6,$Q47=6),1,0),0))</f>
        <v/>
      </c>
      <c r="Y47" s="4" t="str">
        <f>IF(OR(H47="",Results!H14=""),"",IF(H47=Results!H14,1+IF(OR($O47=7,$P47=7,$Q47=7),1,0),0))</f>
        <v/>
      </c>
      <c r="Z47" s="4" t="str">
        <f>IF(OR(I47="",Results!I14=""),"",IF(I47=Results!I14,1+IF(OR($O47=8,$P47=8,$Q47=8),1,0),0))</f>
        <v/>
      </c>
      <c r="AA47" s="4" t="str">
        <f>IF(OR(J47="",Results!J14=""),"",IF(J47=Results!J14,1+IF(OR($O47=9,$P47=9,$Q47=9),1,0),0))</f>
        <v/>
      </c>
      <c r="AB47" s="4" t="str">
        <f>IF(OR(K47="",Results!K14=""),"",IF(K47=Results!K14,1+IF(OR($O47=10,$P47=10,$Q47=10),1,0),0))</f>
        <v/>
      </c>
      <c r="AC47" s="4" t="str">
        <f>IF(OR(L47="",Results!L14=""),"",IF(L47=Results!L14,1+IF(OR($O47=11,$P47=11,$Q47=11),1,0),0))</f>
        <v/>
      </c>
      <c r="AD47" s="4" t="str">
        <f>IF(OR(M47="",Results!M14=""),"",IF(M47=Results!M14,1+IF(OR($O47=12,$P47=12,$Q47=12),1,0),0))</f>
        <v/>
      </c>
      <c r="AE47" s="4" t="str">
        <f>IF(OR(N47="",Results!N14=""),"",IF(N47=Results!N14,1+IF(OR($O47=13,$P47=13,$Q47=13),1,0),0))</f>
        <v/>
      </c>
      <c r="AF47" s="11">
        <f t="shared" si="2"/>
        <v>0</v>
      </c>
      <c r="AG47" s="4" t="str">
        <f>IF(OR($R47="",Results!O14=""),"",ABS($R47-Results!O14))</f>
        <v/>
      </c>
      <c r="AH47" s="12">
        <v>25</v>
      </c>
      <c r="AI47" s="13" t="str">
        <f>IF(OR(B47="",Results!B14=""),"",IF(AND(B47=Results!B14,Results!B14&lt;&gt;Games!$C$122),1,0))</f>
        <v/>
      </c>
      <c r="AJ47" s="13" t="str">
        <f>IF(OR(C47="",Results!C14=""),"",IF(AND(C47=Results!C14,Results!C14&lt;&gt;Games!$C$123),1,0))</f>
        <v/>
      </c>
      <c r="AK47" s="13" t="str">
        <f>IF(OR(D47="",Results!D14=""),"",IF(AND(D47=Results!D14,Results!D14&lt;&gt;Games!$C$124),1,0))</f>
        <v/>
      </c>
      <c r="AL47" s="13" t="str">
        <f>IF(OR(E47="",Results!E14=""),"",IF(AND(E47=Results!E14,Results!E14&lt;&gt;Games!$C$125),1,0))</f>
        <v/>
      </c>
      <c r="AM47" s="13" t="str">
        <f>IF(OR(F47="",Results!F14=""),"",IF(AND(F47=Results!F14,Results!F14&lt;&gt;Games!$C$126),1,0))</f>
        <v/>
      </c>
      <c r="AN47" s="13" t="str">
        <f>IF(OR(G47="",Results!G14=""),"",IF(AND(G47=Results!G14,Results!G14&lt;&gt;Games!$C$127),1,0))</f>
        <v/>
      </c>
      <c r="AO47" s="13" t="str">
        <f>IF(OR(H47="",Results!H14=""),"",IF(AND(H47=Results!H14,Results!H14&lt;&gt;Games!$C$128),1,0))</f>
        <v/>
      </c>
      <c r="AP47" s="13" t="str">
        <f>IF(OR(I47="",Results!I14=""),"",IF(AND(I47=Results!I14,Results!I14&lt;&gt;Games!$C$129),1,0))</f>
        <v/>
      </c>
      <c r="AQ47" s="13" t="str">
        <f>IF(OR(J47="",Results!J14=""),"",IF(AND(J47=Results!J14,Results!J14&lt;&gt;Games!$C$130),1,0))</f>
        <v/>
      </c>
      <c r="AR47" s="13" t="str">
        <f>IF(OR(K47="",Results!K14=""),"",IF(AND(K47=Results!K14,Results!K14&lt;&gt;Games!$C$131),1,0))</f>
        <v/>
      </c>
      <c r="AS47" s="13" t="str">
        <f>IF(OR(L47="",Results!L14=""),"",IF(AND(L47=Results!L14,Results!L14&lt;&gt;Games!$C$132),1,0))</f>
        <v/>
      </c>
      <c r="AT47" s="13" t="str">
        <f>IF(OR(M47="",Results!M14=""),"",IF(AND(M47=Results!M14,Results!M14&lt;&gt;Games!$C$133),1,0))</f>
        <v/>
      </c>
      <c r="AU47" s="13" t="str">
        <f>IF(OR(N47="",Results!N14=""),"",IF(AND(N47=Results!N14,Results!N14&lt;&gt;Games!$C$134),1,0))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IF(OR(B48="",Results!B14=""),"",IF(B48=Results!B14,1+IF(OR($O48=1,$P48=1,$Q48=1),1,0),0))</f>
        <v/>
      </c>
      <c r="T48" s="4" t="str">
        <f>IF(OR(C48="",Results!C14=""),"",IF(C48=Results!C14,1+IF(OR($O48=2,$P48=2,$Q48=2),1,0),0))</f>
        <v/>
      </c>
      <c r="U48" s="4" t="str">
        <f>IF(OR(D48="",Results!D14=""),"",IF(D48=Results!D14,1+IF(OR($O48=3,$P48=3,$Q48=3),1,0),0))</f>
        <v/>
      </c>
      <c r="V48" s="4" t="str">
        <f>IF(OR(E48="",Results!E14=""),"",IF(E48=Results!E14,1+IF(OR($O48=4,$P48=4,$Q48=4),1,0),0))</f>
        <v/>
      </c>
      <c r="W48" s="4" t="str">
        <f>IF(OR(F48="",Results!F14=""),"",IF(F48=Results!F14,1+IF(OR($O48=5,$P48=5,$Q48=5),1,0),0))</f>
        <v/>
      </c>
      <c r="X48" s="4" t="str">
        <f>IF(OR(G48="",Results!G14=""),"",IF(G48=Results!G14,1+IF(OR($O48=6,$P48=6,$Q48=6),1,0),0))</f>
        <v/>
      </c>
      <c r="Y48" s="4" t="str">
        <f>IF(OR(H48="",Results!H14=""),"",IF(H48=Results!H14,1+IF(OR($O48=7,$P48=7,$Q48=7),1,0),0))</f>
        <v/>
      </c>
      <c r="Z48" s="4" t="str">
        <f>IF(OR(I48="",Results!I14=""),"",IF(I48=Results!I14,1+IF(OR($O48=8,$P48=8,$Q48=8),1,0),0))</f>
        <v/>
      </c>
      <c r="AA48" s="4" t="str">
        <f>IF(OR(J48="",Results!J14=""),"",IF(J48=Results!J14,1+IF(OR($O48=9,$P48=9,$Q48=9),1,0),0))</f>
        <v/>
      </c>
      <c r="AB48" s="4" t="str">
        <f>IF(OR(K48="",Results!K14=""),"",IF(K48=Results!K14,1+IF(OR($O48=10,$P48=10,$Q48=10),1,0),0))</f>
        <v/>
      </c>
      <c r="AC48" s="4" t="str">
        <f>IF(OR(L48="",Results!L14=""),"",IF(L48=Results!L14,1+IF(OR($O48=11,$P48=11,$Q48=11),1,0),0))</f>
        <v/>
      </c>
      <c r="AD48" s="4" t="str">
        <f>IF(OR(M48="",Results!M14=""),"",IF(M48=Results!M14,1+IF(OR($O48=12,$P48=12,$Q48=12),1,0),0))</f>
        <v/>
      </c>
      <c r="AE48" s="4" t="str">
        <f>IF(OR(N48="",Results!N14=""),"",IF(N48=Results!N14,1+IF(OR($O48=13,$P48=13,$Q48=13),1,0),0))</f>
        <v/>
      </c>
      <c r="AF48" s="11">
        <f t="shared" si="2"/>
        <v>0</v>
      </c>
      <c r="AG48" s="4" t="str">
        <f>IF(OR($R48="",Results!O14=""),"",ABS($R48-Results!O14))</f>
        <v/>
      </c>
      <c r="AH48" s="12">
        <v>56</v>
      </c>
      <c r="AI48" s="13" t="str">
        <f>IF(OR(B48="",Results!B14=""),"",IF(AND(B48=Results!B14,Results!B14&lt;&gt;Games!$C$122),1,0))</f>
        <v/>
      </c>
      <c r="AJ48" s="13" t="str">
        <f>IF(OR(C48="",Results!C14=""),"",IF(AND(C48=Results!C14,Results!C14&lt;&gt;Games!$C$123),1,0))</f>
        <v/>
      </c>
      <c r="AK48" s="13" t="str">
        <f>IF(OR(D48="",Results!D14=""),"",IF(AND(D48=Results!D14,Results!D14&lt;&gt;Games!$C$124),1,0))</f>
        <v/>
      </c>
      <c r="AL48" s="13" t="str">
        <f>IF(OR(E48="",Results!E14=""),"",IF(AND(E48=Results!E14,Results!E14&lt;&gt;Games!$C$125),1,0))</f>
        <v/>
      </c>
      <c r="AM48" s="13" t="str">
        <f>IF(OR(F48="",Results!F14=""),"",IF(AND(F48=Results!F14,Results!F14&lt;&gt;Games!$C$126),1,0))</f>
        <v/>
      </c>
      <c r="AN48" s="13" t="str">
        <f>IF(OR(G48="",Results!G14=""),"",IF(AND(G48=Results!G14,Results!G14&lt;&gt;Games!$C$127),1,0))</f>
        <v/>
      </c>
      <c r="AO48" s="13" t="str">
        <f>IF(OR(H48="",Results!H14=""),"",IF(AND(H48=Results!H14,Results!H14&lt;&gt;Games!$C$128),1,0))</f>
        <v/>
      </c>
      <c r="AP48" s="13" t="str">
        <f>IF(OR(I48="",Results!I14=""),"",IF(AND(I48=Results!I14,Results!I14&lt;&gt;Games!$C$129),1,0))</f>
        <v/>
      </c>
      <c r="AQ48" s="13" t="str">
        <f>IF(OR(J48="",Results!J14=""),"",IF(AND(J48=Results!J14,Results!J14&lt;&gt;Games!$C$130),1,0))</f>
        <v/>
      </c>
      <c r="AR48" s="13" t="str">
        <f>IF(OR(K48="",Results!K14=""),"",IF(AND(K48=Results!K14,Results!K14&lt;&gt;Games!$C$131),1,0))</f>
        <v/>
      </c>
      <c r="AS48" s="13" t="str">
        <f>IF(OR(L48="",Results!L14=""),"",IF(AND(L48=Results!L14,Results!L14&lt;&gt;Games!$C$132),1,0))</f>
        <v/>
      </c>
      <c r="AT48" s="13" t="str">
        <f>IF(OR(M48="",Results!M14=""),"",IF(AND(M48=Results!M14,Results!M14&lt;&gt;Games!$C$133),1,0))</f>
        <v/>
      </c>
      <c r="AU48" s="13" t="str">
        <f>IF(OR(N48="",Results!N14=""),"",IF(AND(N48=Results!N14,Results!N14&lt;&gt;Games!$C$134),1,0))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 t="str">
        <f>IF(OR(B49="",Results!B14=""),"",IF(B49=Results!B14,1+IF(OR($O49=1,$P49=1,$Q49=1),1,0),0))</f>
        <v/>
      </c>
      <c r="T49" s="4" t="str">
        <f>IF(OR(C49="",Results!C14=""),"",IF(C49=Results!C14,1+IF(OR($O49=2,$P49=2,$Q49=2),1,0),0))</f>
        <v/>
      </c>
      <c r="U49" s="4" t="str">
        <f>IF(OR(D49="",Results!D14=""),"",IF(D49=Results!D14,1+IF(OR($O49=3,$P49=3,$Q49=3),1,0),0))</f>
        <v/>
      </c>
      <c r="V49" s="4" t="str">
        <f>IF(OR(E49="",Results!E14=""),"",IF(E49=Results!E14,1+IF(OR($O49=4,$P49=4,$Q49=4),1,0),0))</f>
        <v/>
      </c>
      <c r="W49" s="4" t="str">
        <f>IF(OR(F49="",Results!F14=""),"",IF(F49=Results!F14,1+IF(OR($O49=5,$P49=5,$Q49=5),1,0),0))</f>
        <v/>
      </c>
      <c r="X49" s="4" t="str">
        <f>IF(OR(G49="",Results!G14=""),"",IF(G49=Results!G14,1+IF(OR($O49=6,$P49=6,$Q49=6),1,0),0))</f>
        <v/>
      </c>
      <c r="Y49" s="4" t="str">
        <f>IF(OR(H49="",Results!H14=""),"",IF(H49=Results!H14,1+IF(OR($O49=7,$P49=7,$Q49=7),1,0),0))</f>
        <v/>
      </c>
      <c r="Z49" s="4" t="str">
        <f>IF(OR(I49="",Results!I14=""),"",IF(I49=Results!I14,1+IF(OR($O49=8,$P49=8,$Q49=8),1,0),0))</f>
        <v/>
      </c>
      <c r="AA49" s="4" t="str">
        <f>IF(OR(J49="",Results!J14=""),"",IF(J49=Results!J14,1+IF(OR($O49=9,$P49=9,$Q49=9),1,0),0))</f>
        <v/>
      </c>
      <c r="AB49" s="4" t="str">
        <f>IF(OR(K49="",Results!K14=""),"",IF(K49=Results!K14,1+IF(OR($O49=10,$P49=10,$Q49=10),1,0),0))</f>
        <v/>
      </c>
      <c r="AC49" s="4" t="str">
        <f>IF(OR(L49="",Results!L14=""),"",IF(L49=Results!L14,1+IF(OR($O49=11,$P49=11,$Q49=11),1,0),0))</f>
        <v/>
      </c>
      <c r="AD49" s="4" t="str">
        <f>IF(OR(M49="",Results!M14=""),"",IF(M49=Results!M14,1+IF(OR($O49=12,$P49=12,$Q49=12),1,0),0))</f>
        <v/>
      </c>
      <c r="AE49" s="4" t="str">
        <f>IF(OR(N49="",Results!N14=""),"",IF(N49=Results!N14,1+IF(OR($O49=13,$P49=13,$Q49=13),1,0),0))</f>
        <v/>
      </c>
      <c r="AF49" s="11">
        <f t="shared" si="2"/>
        <v>0</v>
      </c>
      <c r="AG49" s="4" t="str">
        <f>IF(OR($R49="",Results!O14=""),"",ABS($R49-Results!O14))</f>
        <v/>
      </c>
      <c r="AH49" s="12">
        <v>34</v>
      </c>
      <c r="AI49" s="13" t="str">
        <f>IF(OR(B49="",Results!B14=""),"",IF(AND(B49=Results!B14,Results!B14&lt;&gt;Games!$C$122),1,0))</f>
        <v/>
      </c>
      <c r="AJ49" s="13" t="str">
        <f>IF(OR(C49="",Results!C14=""),"",IF(AND(C49=Results!C14,Results!C14&lt;&gt;Games!$C$123),1,0))</f>
        <v/>
      </c>
      <c r="AK49" s="13" t="str">
        <f>IF(OR(D49="",Results!D14=""),"",IF(AND(D49=Results!D14,Results!D14&lt;&gt;Games!$C$124),1,0))</f>
        <v/>
      </c>
      <c r="AL49" s="13" t="str">
        <f>IF(OR(E49="",Results!E14=""),"",IF(AND(E49=Results!E14,Results!E14&lt;&gt;Games!$C$125),1,0))</f>
        <v/>
      </c>
      <c r="AM49" s="13" t="str">
        <f>IF(OR(F49="",Results!F14=""),"",IF(AND(F49=Results!F14,Results!F14&lt;&gt;Games!$C$126),1,0))</f>
        <v/>
      </c>
      <c r="AN49" s="13" t="str">
        <f>IF(OR(G49="",Results!G14=""),"",IF(AND(G49=Results!G14,Results!G14&lt;&gt;Games!$C$127),1,0))</f>
        <v/>
      </c>
      <c r="AO49" s="13" t="str">
        <f>IF(OR(H49="",Results!H14=""),"",IF(AND(H49=Results!H14,Results!H14&lt;&gt;Games!$C$128),1,0))</f>
        <v/>
      </c>
      <c r="AP49" s="13" t="str">
        <f>IF(OR(I49="",Results!I14=""),"",IF(AND(I49=Results!I14,Results!I14&lt;&gt;Games!$C$129),1,0))</f>
        <v/>
      </c>
      <c r="AQ49" s="13" t="str">
        <f>IF(OR(J49="",Results!J14=""),"",IF(AND(J49=Results!J14,Results!J14&lt;&gt;Games!$C$130),1,0))</f>
        <v/>
      </c>
      <c r="AR49" s="13" t="str">
        <f>IF(OR(K49="",Results!K14=""),"",IF(AND(K49=Results!K14,Results!K14&lt;&gt;Games!$C$131),1,0))</f>
        <v/>
      </c>
      <c r="AS49" s="13" t="str">
        <f>IF(OR(L49="",Results!L14=""),"",IF(AND(L49=Results!L14,Results!L14&lt;&gt;Games!$C$132),1,0))</f>
        <v/>
      </c>
      <c r="AT49" s="13" t="str">
        <f>IF(OR(M49="",Results!M14=""),"",IF(AND(M49=Results!M14,Results!M14&lt;&gt;Games!$C$133),1,0))</f>
        <v/>
      </c>
      <c r="AU49" s="13" t="str">
        <f>IF(OR(N49="",Results!N14=""),"",IF(AND(N49=Results!N14,Results!N14&lt;&gt;Games!$C$134),1,0))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IF(OR(B50="",Results!B14=""),"",IF(B50=Results!B14,1+IF(OR($O50=1,$P50=1,$Q50=1),1,0),0))</f>
        <v/>
      </c>
      <c r="T50" s="4" t="str">
        <f>IF(OR(C50="",Results!C14=""),"",IF(C50=Results!C14,1+IF(OR($O50=2,$P50=2,$Q50=2),1,0),0))</f>
        <v/>
      </c>
      <c r="U50" s="4" t="str">
        <f>IF(OR(D50="",Results!D14=""),"",IF(D50=Results!D14,1+IF(OR($O50=3,$P50=3,$Q50=3),1,0),0))</f>
        <v/>
      </c>
      <c r="V50" s="4" t="str">
        <f>IF(OR(E50="",Results!E14=""),"",IF(E50=Results!E14,1+IF(OR($O50=4,$P50=4,$Q50=4),1,0),0))</f>
        <v/>
      </c>
      <c r="W50" s="4" t="str">
        <f>IF(OR(F50="",Results!F14=""),"",IF(F50=Results!F14,1+IF(OR($O50=5,$P50=5,$Q50=5),1,0),0))</f>
        <v/>
      </c>
      <c r="X50" s="4" t="str">
        <f>IF(OR(G50="",Results!G14=""),"",IF(G50=Results!G14,1+IF(OR($O50=6,$P50=6,$Q50=6),1,0),0))</f>
        <v/>
      </c>
      <c r="Y50" s="4" t="str">
        <f>IF(OR(H50="",Results!H14=""),"",IF(H50=Results!H14,1+IF(OR($O50=7,$P50=7,$Q50=7),1,0),0))</f>
        <v/>
      </c>
      <c r="Z50" s="4" t="str">
        <f>IF(OR(I50="",Results!I14=""),"",IF(I50=Results!I14,1+IF(OR($O50=8,$P50=8,$Q50=8),1,0),0))</f>
        <v/>
      </c>
      <c r="AA50" s="4" t="str">
        <f>IF(OR(J50="",Results!J14=""),"",IF(J50=Results!J14,1+IF(OR($O50=9,$P50=9,$Q50=9),1,0),0))</f>
        <v/>
      </c>
      <c r="AB50" s="4" t="str">
        <f>IF(OR(K50="",Results!K14=""),"",IF(K50=Results!K14,1+IF(OR($O50=10,$P50=10,$Q50=10),1,0),0))</f>
        <v/>
      </c>
      <c r="AC50" s="4" t="str">
        <f>IF(OR(L50="",Results!L14=""),"",IF(L50=Results!L14,1+IF(OR($O50=11,$P50=11,$Q50=11),1,0),0))</f>
        <v/>
      </c>
      <c r="AD50" s="4" t="str">
        <f>IF(OR(M50="",Results!M14=""),"",IF(M50=Results!M14,1+IF(OR($O50=12,$P50=12,$Q50=12),1,0),0))</f>
        <v/>
      </c>
      <c r="AE50" s="4" t="str">
        <f>IF(OR(N50="",Results!N14=""),"",IF(N50=Results!N14,1+IF(OR($O50=13,$P50=13,$Q50=13),1,0),0))</f>
        <v/>
      </c>
      <c r="AF50" s="11">
        <f t="shared" si="2"/>
        <v>0</v>
      </c>
      <c r="AG50" s="4" t="str">
        <f>IF(OR($R50="",Results!O14=""),"",ABS($R50-Results!O14))</f>
        <v/>
      </c>
      <c r="AH50" s="12">
        <v>40</v>
      </c>
      <c r="AI50" s="13" t="str">
        <f>IF(OR(B50="",Results!B14=""),"",IF(AND(B50=Results!B14,Results!B14&lt;&gt;Games!$C$122),1,0))</f>
        <v/>
      </c>
      <c r="AJ50" s="13" t="str">
        <f>IF(OR(C50="",Results!C14=""),"",IF(AND(C50=Results!C14,Results!C14&lt;&gt;Games!$C$123),1,0))</f>
        <v/>
      </c>
      <c r="AK50" s="13" t="str">
        <f>IF(OR(D50="",Results!D14=""),"",IF(AND(D50=Results!D14,Results!D14&lt;&gt;Games!$C$124),1,0))</f>
        <v/>
      </c>
      <c r="AL50" s="13" t="str">
        <f>IF(OR(E50="",Results!E14=""),"",IF(AND(E50=Results!E14,Results!E14&lt;&gt;Games!$C$125),1,0))</f>
        <v/>
      </c>
      <c r="AM50" s="13" t="str">
        <f>IF(OR(F50="",Results!F14=""),"",IF(AND(F50=Results!F14,Results!F14&lt;&gt;Games!$C$126),1,0))</f>
        <v/>
      </c>
      <c r="AN50" s="13" t="str">
        <f>IF(OR(G50="",Results!G14=""),"",IF(AND(G50=Results!G14,Results!G14&lt;&gt;Games!$C$127),1,0))</f>
        <v/>
      </c>
      <c r="AO50" s="13" t="str">
        <f>IF(OR(H50="",Results!H14=""),"",IF(AND(H50=Results!H14,Results!H14&lt;&gt;Games!$C$128),1,0))</f>
        <v/>
      </c>
      <c r="AP50" s="13" t="str">
        <f>IF(OR(I50="",Results!I14=""),"",IF(AND(I50=Results!I14,Results!I14&lt;&gt;Games!$C$129),1,0))</f>
        <v/>
      </c>
      <c r="AQ50" s="13" t="str">
        <f>IF(OR(J50="",Results!J14=""),"",IF(AND(J50=Results!J14,Results!J14&lt;&gt;Games!$C$130),1,0))</f>
        <v/>
      </c>
      <c r="AR50" s="13" t="str">
        <f>IF(OR(K50="",Results!K14=""),"",IF(AND(K50=Results!K14,Results!K14&lt;&gt;Games!$C$131),1,0))</f>
        <v/>
      </c>
      <c r="AS50" s="13" t="str">
        <f>IF(OR(L50="",Results!L14=""),"",IF(AND(L50=Results!L14,Results!L14&lt;&gt;Games!$C$132),1,0))</f>
        <v/>
      </c>
      <c r="AT50" s="13" t="str">
        <f>IF(OR(M50="",Results!M14=""),"",IF(AND(M50=Results!M14,Results!M14&lt;&gt;Games!$C$133),1,0))</f>
        <v/>
      </c>
      <c r="AU50" s="13" t="str">
        <f>IF(OR(N50="",Results!N14=""),"",IF(AND(N50=Results!N14,Results!N14&lt;&gt;Games!$C$134),1,0))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IF(OR(B51="",Results!B14=""),"",IF(B51=Results!B14,1+IF(OR($O51=1,$P51=1,$Q51=1),1,0),0))</f>
        <v/>
      </c>
      <c r="T51" s="4" t="str">
        <f>IF(OR(C51="",Results!C14=""),"",IF(C51=Results!C14,1+IF(OR($O51=2,$P51=2,$Q51=2),1,0),0))</f>
        <v/>
      </c>
      <c r="U51" s="4" t="str">
        <f>IF(OR(D51="",Results!D14=""),"",IF(D51=Results!D14,1+IF(OR($O51=3,$P51=3,$Q51=3),1,0),0))</f>
        <v/>
      </c>
      <c r="V51" s="4" t="str">
        <f>IF(OR(E51="",Results!E14=""),"",IF(E51=Results!E14,1+IF(OR($O51=4,$P51=4,$Q51=4),1,0),0))</f>
        <v/>
      </c>
      <c r="W51" s="4" t="str">
        <f>IF(OR(F51="",Results!F14=""),"",IF(F51=Results!F14,1+IF(OR($O51=5,$P51=5,$Q51=5),1,0),0))</f>
        <v/>
      </c>
      <c r="X51" s="4" t="str">
        <f>IF(OR(G51="",Results!G14=""),"",IF(G51=Results!G14,1+IF(OR($O51=6,$P51=6,$Q51=6),1,0),0))</f>
        <v/>
      </c>
      <c r="Y51" s="4" t="str">
        <f>IF(OR(H51="",Results!H14=""),"",IF(H51=Results!H14,1+IF(OR($O51=7,$P51=7,$Q51=7),1,0),0))</f>
        <v/>
      </c>
      <c r="Z51" s="4" t="str">
        <f>IF(OR(I51="",Results!I14=""),"",IF(I51=Results!I14,1+IF(OR($O51=8,$P51=8,$Q51=8),1,0),0))</f>
        <v/>
      </c>
      <c r="AA51" s="4" t="str">
        <f>IF(OR(J51="",Results!J14=""),"",IF(J51=Results!J14,1+IF(OR($O51=9,$P51=9,$Q51=9),1,0),0))</f>
        <v/>
      </c>
      <c r="AB51" s="4" t="str">
        <f>IF(OR(K51="",Results!K14=""),"",IF(K51=Results!K14,1+IF(OR($O51=10,$P51=10,$Q51=10),1,0),0))</f>
        <v/>
      </c>
      <c r="AC51" s="4" t="str">
        <f>IF(OR(L51="",Results!L14=""),"",IF(L51=Results!L14,1+IF(OR($O51=11,$P51=11,$Q51=11),1,0),0))</f>
        <v/>
      </c>
      <c r="AD51" s="4" t="str">
        <f>IF(OR(M51="",Results!M14=""),"",IF(M51=Results!M14,1+IF(OR($O51=12,$P51=12,$Q51=12),1,0),0))</f>
        <v/>
      </c>
      <c r="AE51" s="4" t="str">
        <f>IF(OR(N51="",Results!N14=""),"",IF(N51=Results!N14,1+IF(OR($O51=13,$P51=13,$Q51=13),1,0),0))</f>
        <v/>
      </c>
      <c r="AF51" s="11">
        <f t="shared" si="2"/>
        <v>0</v>
      </c>
      <c r="AG51" s="4" t="str">
        <f>IF(OR($R51="",Results!O14=""),"",ABS($R51-Results!O14))</f>
        <v/>
      </c>
      <c r="AH51" s="12">
        <v>42</v>
      </c>
      <c r="AI51" s="13" t="str">
        <f>IF(OR(B51="",Results!B14=""),"",IF(AND(B51=Results!B14,Results!B14&lt;&gt;Games!$C$122),1,0))</f>
        <v/>
      </c>
      <c r="AJ51" s="13" t="str">
        <f>IF(OR(C51="",Results!C14=""),"",IF(AND(C51=Results!C14,Results!C14&lt;&gt;Games!$C$123),1,0))</f>
        <v/>
      </c>
      <c r="AK51" s="13" t="str">
        <f>IF(OR(D51="",Results!D14=""),"",IF(AND(D51=Results!D14,Results!D14&lt;&gt;Games!$C$124),1,0))</f>
        <v/>
      </c>
      <c r="AL51" s="13" t="str">
        <f>IF(OR(E51="",Results!E14=""),"",IF(AND(E51=Results!E14,Results!E14&lt;&gt;Games!$C$125),1,0))</f>
        <v/>
      </c>
      <c r="AM51" s="13" t="str">
        <f>IF(OR(F51="",Results!F14=""),"",IF(AND(F51=Results!F14,Results!F14&lt;&gt;Games!$C$126),1,0))</f>
        <v/>
      </c>
      <c r="AN51" s="13" t="str">
        <f>IF(OR(G51="",Results!G14=""),"",IF(AND(G51=Results!G14,Results!G14&lt;&gt;Games!$C$127),1,0))</f>
        <v/>
      </c>
      <c r="AO51" s="13" t="str">
        <f>IF(OR(H51="",Results!H14=""),"",IF(AND(H51=Results!H14,Results!H14&lt;&gt;Games!$C$128),1,0))</f>
        <v/>
      </c>
      <c r="AP51" s="13" t="str">
        <f>IF(OR(I51="",Results!I14=""),"",IF(AND(I51=Results!I14,Results!I14&lt;&gt;Games!$C$129),1,0))</f>
        <v/>
      </c>
      <c r="AQ51" s="13" t="str">
        <f>IF(OR(J51="",Results!J14=""),"",IF(AND(J51=Results!J14,Results!J14&lt;&gt;Games!$C$130),1,0))</f>
        <v/>
      </c>
      <c r="AR51" s="13" t="str">
        <f>IF(OR(K51="",Results!K14=""),"",IF(AND(K51=Results!K14,Results!K14&lt;&gt;Games!$C$131),1,0))</f>
        <v/>
      </c>
      <c r="AS51" s="13" t="str">
        <f>IF(OR(L51="",Results!L14=""),"",IF(AND(L51=Results!L14,Results!L14&lt;&gt;Games!$C$132),1,0))</f>
        <v/>
      </c>
      <c r="AT51" s="13" t="str">
        <f>IF(OR(M51="",Results!M14=""),"",IF(AND(M51=Results!M14,Results!M14&lt;&gt;Games!$C$133),1,0))</f>
        <v/>
      </c>
      <c r="AU51" s="13" t="str">
        <f>IF(OR(N51="",Results!N14=""),"",IF(AND(N51=Results!N14,Results!N14&lt;&gt;Games!$C$134),1,0))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 t="str">
        <f>IF(OR(B52="",Results!B14=""),"",IF(B52=Results!B14,1+IF(OR($O52=1,$P52=1,$Q52=1),1,0),0))</f>
        <v/>
      </c>
      <c r="T52" s="4" t="str">
        <f>IF(OR(C52="",Results!C14=""),"",IF(C52=Results!C14,1+IF(OR($O52=2,$P52=2,$Q52=2),1,0),0))</f>
        <v/>
      </c>
      <c r="U52" s="4" t="str">
        <f>IF(OR(D52="",Results!D14=""),"",IF(D52=Results!D14,1+IF(OR($O52=3,$P52=3,$Q52=3),1,0),0))</f>
        <v/>
      </c>
      <c r="V52" s="4" t="str">
        <f>IF(OR(E52="",Results!E14=""),"",IF(E52=Results!E14,1+IF(OR($O52=4,$P52=4,$Q52=4),1,0),0))</f>
        <v/>
      </c>
      <c r="W52" s="4" t="str">
        <f>IF(OR(F52="",Results!F14=""),"",IF(F52=Results!F14,1+IF(OR($O52=5,$P52=5,$Q52=5),1,0),0))</f>
        <v/>
      </c>
      <c r="X52" s="4" t="str">
        <f>IF(OR(G52="",Results!G14=""),"",IF(G52=Results!G14,1+IF(OR($O52=6,$P52=6,$Q52=6),1,0),0))</f>
        <v/>
      </c>
      <c r="Y52" s="4" t="str">
        <f>IF(OR(H52="",Results!H14=""),"",IF(H52=Results!H14,1+IF(OR($O52=7,$P52=7,$Q52=7),1,0),0))</f>
        <v/>
      </c>
      <c r="Z52" s="4" t="str">
        <f>IF(OR(I52="",Results!I14=""),"",IF(I52=Results!I14,1+IF(OR($O52=8,$P52=8,$Q52=8),1,0),0))</f>
        <v/>
      </c>
      <c r="AA52" s="4" t="str">
        <f>IF(OR(J52="",Results!J14=""),"",IF(J52=Results!J14,1+IF(OR($O52=9,$P52=9,$Q52=9),1,0),0))</f>
        <v/>
      </c>
      <c r="AB52" s="4" t="str">
        <f>IF(OR(K52="",Results!K14=""),"",IF(K52=Results!K14,1+IF(OR($O52=10,$P52=10,$Q52=10),1,0),0))</f>
        <v/>
      </c>
      <c r="AC52" s="4" t="str">
        <f>IF(OR(L52="",Results!L14=""),"",IF(L52=Results!L14,1+IF(OR($O52=11,$P52=11,$Q52=11),1,0),0))</f>
        <v/>
      </c>
      <c r="AD52" s="4" t="str">
        <f>IF(OR(M52="",Results!M14=""),"",IF(M52=Results!M14,1+IF(OR($O52=12,$P52=12,$Q52=12),1,0),0))</f>
        <v/>
      </c>
      <c r="AE52" s="4" t="str">
        <f>IF(OR(N52="",Results!N14=""),"",IF(N52=Results!N14,1+IF(OR($O52=13,$P52=13,$Q52=13),1,0),0))</f>
        <v/>
      </c>
      <c r="AF52" s="11">
        <f t="shared" si="2"/>
        <v>0</v>
      </c>
      <c r="AG52" s="4" t="str">
        <f>IF(OR($R52="",Results!O14=""),"",ABS($R52-Results!O14))</f>
        <v/>
      </c>
      <c r="AH52" s="12">
        <v>27</v>
      </c>
      <c r="AI52" s="13" t="str">
        <f>IF(OR(B52="",Results!B14=""),"",IF(AND(B52=Results!B14,Results!B14&lt;&gt;Games!$C$122),1,0))</f>
        <v/>
      </c>
      <c r="AJ52" s="13" t="str">
        <f>IF(OR(C52="",Results!C14=""),"",IF(AND(C52=Results!C14,Results!C14&lt;&gt;Games!$C$123),1,0))</f>
        <v/>
      </c>
      <c r="AK52" s="13" t="str">
        <f>IF(OR(D52="",Results!D14=""),"",IF(AND(D52=Results!D14,Results!D14&lt;&gt;Games!$C$124),1,0))</f>
        <v/>
      </c>
      <c r="AL52" s="13" t="str">
        <f>IF(OR(E52="",Results!E14=""),"",IF(AND(E52=Results!E14,Results!E14&lt;&gt;Games!$C$125),1,0))</f>
        <v/>
      </c>
      <c r="AM52" s="13" t="str">
        <f>IF(OR(F52="",Results!F14=""),"",IF(AND(F52=Results!F14,Results!F14&lt;&gt;Games!$C$126),1,0))</f>
        <v/>
      </c>
      <c r="AN52" s="13" t="str">
        <f>IF(OR(G52="",Results!G14=""),"",IF(AND(G52=Results!G14,Results!G14&lt;&gt;Games!$C$127),1,0))</f>
        <v/>
      </c>
      <c r="AO52" s="13" t="str">
        <f>IF(OR(H52="",Results!H14=""),"",IF(AND(H52=Results!H14,Results!H14&lt;&gt;Games!$C$128),1,0))</f>
        <v/>
      </c>
      <c r="AP52" s="13" t="str">
        <f>IF(OR(I52="",Results!I14=""),"",IF(AND(I52=Results!I14,Results!I14&lt;&gt;Games!$C$129),1,0))</f>
        <v/>
      </c>
      <c r="AQ52" s="13" t="str">
        <f>IF(OR(J52="",Results!J14=""),"",IF(AND(J52=Results!J14,Results!J14&lt;&gt;Games!$C$130),1,0))</f>
        <v/>
      </c>
      <c r="AR52" s="13" t="str">
        <f>IF(OR(K52="",Results!K14=""),"",IF(AND(K52=Results!K14,Results!K14&lt;&gt;Games!$C$131),1,0))</f>
        <v/>
      </c>
      <c r="AS52" s="13" t="str">
        <f>IF(OR(L52="",Results!L14=""),"",IF(AND(L52=Results!L14,Results!L14&lt;&gt;Games!$C$132),1,0))</f>
        <v/>
      </c>
      <c r="AT52" s="13" t="str">
        <f>IF(OR(M52="",Results!M14=""),"",IF(AND(M52=Results!M14,Results!M14&lt;&gt;Games!$C$133),1,0))</f>
        <v/>
      </c>
      <c r="AU52" s="13" t="str">
        <f>IF(OR(N52="",Results!N14=""),"",IF(AND(N52=Results!N14,Results!N14&lt;&gt;Games!$C$134),1,0))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IF(OR(B53="",Results!B14=""),"",IF(B53=Results!B14,1+IF(OR($O53=1,$P53=1,$Q53=1),1,0),0))</f>
        <v/>
      </c>
      <c r="T53" s="4" t="str">
        <f>IF(OR(C53="",Results!C14=""),"",IF(C53=Results!C14,1+IF(OR($O53=2,$P53=2,$Q53=2),1,0),0))</f>
        <v/>
      </c>
      <c r="U53" s="4" t="str">
        <f>IF(OR(D53="",Results!D14=""),"",IF(D53=Results!D14,1+IF(OR($O53=3,$P53=3,$Q53=3),1,0),0))</f>
        <v/>
      </c>
      <c r="V53" s="4" t="str">
        <f>IF(OR(E53="",Results!E14=""),"",IF(E53=Results!E14,1+IF(OR($O53=4,$P53=4,$Q53=4),1,0),0))</f>
        <v/>
      </c>
      <c r="W53" s="4" t="str">
        <f>IF(OR(F53="",Results!F14=""),"",IF(F53=Results!F14,1+IF(OR($O53=5,$P53=5,$Q53=5),1,0),0))</f>
        <v/>
      </c>
      <c r="X53" s="4" t="str">
        <f>IF(OR(G53="",Results!G14=""),"",IF(G53=Results!G14,1+IF(OR($O53=6,$P53=6,$Q53=6),1,0),0))</f>
        <v/>
      </c>
      <c r="Y53" s="4" t="str">
        <f>IF(OR(H53="",Results!H14=""),"",IF(H53=Results!H14,1+IF(OR($O53=7,$P53=7,$Q53=7),1,0),0))</f>
        <v/>
      </c>
      <c r="Z53" s="4" t="str">
        <f>IF(OR(I53="",Results!I14=""),"",IF(I53=Results!I14,1+IF(OR($O53=8,$P53=8,$Q53=8),1,0),0))</f>
        <v/>
      </c>
      <c r="AA53" s="4" t="str">
        <f>IF(OR(J53="",Results!J14=""),"",IF(J53=Results!J14,1+IF(OR($O53=9,$P53=9,$Q53=9),1,0),0))</f>
        <v/>
      </c>
      <c r="AB53" s="4" t="str">
        <f>IF(OR(K53="",Results!K14=""),"",IF(K53=Results!K14,1+IF(OR($O53=10,$P53=10,$Q53=10),1,0),0))</f>
        <v/>
      </c>
      <c r="AC53" s="4" t="str">
        <f>IF(OR(L53="",Results!L14=""),"",IF(L53=Results!L14,1+IF(OR($O53=11,$P53=11,$Q53=11),1,0),0))</f>
        <v/>
      </c>
      <c r="AD53" s="4" t="str">
        <f>IF(OR(M53="",Results!M14=""),"",IF(M53=Results!M14,1+IF(OR($O53=12,$P53=12,$Q53=12),1,0),0))</f>
        <v/>
      </c>
      <c r="AE53" s="4" t="str">
        <f>IF(OR(N53="",Results!N14=""),"",IF(N53=Results!N14,1+IF(OR($O53=13,$P53=13,$Q53=13),1,0),0))</f>
        <v/>
      </c>
      <c r="AF53" s="11">
        <f t="shared" si="2"/>
        <v>0</v>
      </c>
      <c r="AG53" s="4" t="str">
        <f>IF(OR($R53="",Results!O14=""),"",ABS($R53-Results!O14))</f>
        <v/>
      </c>
      <c r="AH53" s="12">
        <v>35</v>
      </c>
      <c r="AI53" s="13" t="str">
        <f>IF(OR(B53="",Results!B14=""),"",IF(AND(B53=Results!B14,Results!B14&lt;&gt;Games!$C$122),1,0))</f>
        <v/>
      </c>
      <c r="AJ53" s="13" t="str">
        <f>IF(OR(C53="",Results!C14=""),"",IF(AND(C53=Results!C14,Results!C14&lt;&gt;Games!$C$123),1,0))</f>
        <v/>
      </c>
      <c r="AK53" s="13" t="str">
        <f>IF(OR(D53="",Results!D14=""),"",IF(AND(D53=Results!D14,Results!D14&lt;&gt;Games!$C$124),1,0))</f>
        <v/>
      </c>
      <c r="AL53" s="13" t="str">
        <f>IF(OR(E53="",Results!E14=""),"",IF(AND(E53=Results!E14,Results!E14&lt;&gt;Games!$C$125),1,0))</f>
        <v/>
      </c>
      <c r="AM53" s="13" t="str">
        <f>IF(OR(F53="",Results!F14=""),"",IF(AND(F53=Results!F14,Results!F14&lt;&gt;Games!$C$126),1,0))</f>
        <v/>
      </c>
      <c r="AN53" s="13" t="str">
        <f>IF(OR(G53="",Results!G14=""),"",IF(AND(G53=Results!G14,Results!G14&lt;&gt;Games!$C$127),1,0))</f>
        <v/>
      </c>
      <c r="AO53" s="13" t="str">
        <f>IF(OR(H53="",Results!H14=""),"",IF(AND(H53=Results!H14,Results!H14&lt;&gt;Games!$C$128),1,0))</f>
        <v/>
      </c>
      <c r="AP53" s="13" t="str">
        <f>IF(OR(I53="",Results!I14=""),"",IF(AND(I53=Results!I14,Results!I14&lt;&gt;Games!$C$129),1,0))</f>
        <v/>
      </c>
      <c r="AQ53" s="13" t="str">
        <f>IF(OR(J53="",Results!J14=""),"",IF(AND(J53=Results!J14,Results!J14&lt;&gt;Games!$C$130),1,0))</f>
        <v/>
      </c>
      <c r="AR53" s="13" t="str">
        <f>IF(OR(K53="",Results!K14=""),"",IF(AND(K53=Results!K14,Results!K14&lt;&gt;Games!$C$131),1,0))</f>
        <v/>
      </c>
      <c r="AS53" s="13" t="str">
        <f>IF(OR(L53="",Results!L14=""),"",IF(AND(L53=Results!L14,Results!L14&lt;&gt;Games!$C$132),1,0))</f>
        <v/>
      </c>
      <c r="AT53" s="13" t="str">
        <f>IF(OR(M53="",Results!M14=""),"",IF(AND(M53=Results!M14,Results!M14&lt;&gt;Games!$C$133),1,0))</f>
        <v/>
      </c>
      <c r="AU53" s="13" t="str">
        <f>IF(OR(N53="",Results!N14=""),"",IF(AND(N53=Results!N14,Results!N14&lt;&gt;Games!$C$134),1,0))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 t="str">
        <f>IF(OR(B54="",Results!B14=""),"",IF(B54=Results!B14,1+IF(OR($O54=1,$P54=1,$Q54=1),1,0),0))</f>
        <v/>
      </c>
      <c r="T54" s="4" t="str">
        <f>IF(OR(C54="",Results!C14=""),"",IF(C54=Results!C14,1+IF(OR($O54=2,$P54=2,$Q54=2),1,0),0))</f>
        <v/>
      </c>
      <c r="U54" s="4" t="str">
        <f>IF(OR(D54="",Results!D14=""),"",IF(D54=Results!D14,1+IF(OR($O54=3,$P54=3,$Q54=3),1,0),0))</f>
        <v/>
      </c>
      <c r="V54" s="4" t="str">
        <f>IF(OR(E54="",Results!E14=""),"",IF(E54=Results!E14,1+IF(OR($O54=4,$P54=4,$Q54=4),1,0),0))</f>
        <v/>
      </c>
      <c r="W54" s="4" t="str">
        <f>IF(OR(F54="",Results!F14=""),"",IF(F54=Results!F14,1+IF(OR($O54=5,$P54=5,$Q54=5),1,0),0))</f>
        <v/>
      </c>
      <c r="X54" s="4" t="str">
        <f>IF(OR(G54="",Results!G14=""),"",IF(G54=Results!G14,1+IF(OR($O54=6,$P54=6,$Q54=6),1,0),0))</f>
        <v/>
      </c>
      <c r="Y54" s="4" t="str">
        <f>IF(OR(H54="",Results!H14=""),"",IF(H54=Results!H14,1+IF(OR($O54=7,$P54=7,$Q54=7),1,0),0))</f>
        <v/>
      </c>
      <c r="Z54" s="4" t="str">
        <f>IF(OR(I54="",Results!I14=""),"",IF(I54=Results!I14,1+IF(OR($O54=8,$P54=8,$Q54=8),1,0),0))</f>
        <v/>
      </c>
      <c r="AA54" s="4" t="str">
        <f>IF(OR(J54="",Results!J14=""),"",IF(J54=Results!J14,1+IF(OR($O54=9,$P54=9,$Q54=9),1,0),0))</f>
        <v/>
      </c>
      <c r="AB54" s="4" t="str">
        <f>IF(OR(K54="",Results!K14=""),"",IF(K54=Results!K14,1+IF(OR($O54=10,$P54=10,$Q54=10),1,0),0))</f>
        <v/>
      </c>
      <c r="AC54" s="4" t="str">
        <f>IF(OR(L54="",Results!L14=""),"",IF(L54=Results!L14,1+IF(OR($O54=11,$P54=11,$Q54=11),1,0),0))</f>
        <v/>
      </c>
      <c r="AD54" s="4" t="str">
        <f>IF(OR(M54="",Results!M14=""),"",IF(M54=Results!M14,1+IF(OR($O54=12,$P54=12,$Q54=12),1,0),0))</f>
        <v/>
      </c>
      <c r="AE54" s="4" t="str">
        <f>IF(OR(N54="",Results!N14=""),"",IF(N54=Results!N14,1+IF(OR($O54=13,$P54=13,$Q54=13),1,0),0))</f>
        <v/>
      </c>
      <c r="AF54" s="11">
        <f t="shared" si="2"/>
        <v>0</v>
      </c>
      <c r="AG54" s="4" t="str">
        <f>IF(OR($R54="",Results!O14=""),"",ABS($R54-Results!O14))</f>
        <v/>
      </c>
      <c r="AH54" s="12">
        <v>43</v>
      </c>
      <c r="AI54" s="13" t="str">
        <f>IF(OR(B54="",Results!B14=""),"",IF(AND(B54=Results!B14,Results!B14&lt;&gt;Games!$C$122),1,0))</f>
        <v/>
      </c>
      <c r="AJ54" s="13" t="str">
        <f>IF(OR(C54="",Results!C14=""),"",IF(AND(C54=Results!C14,Results!C14&lt;&gt;Games!$C$123),1,0))</f>
        <v/>
      </c>
      <c r="AK54" s="13" t="str">
        <f>IF(OR(D54="",Results!D14=""),"",IF(AND(D54=Results!D14,Results!D14&lt;&gt;Games!$C$124),1,0))</f>
        <v/>
      </c>
      <c r="AL54" s="13" t="str">
        <f>IF(OR(E54="",Results!E14=""),"",IF(AND(E54=Results!E14,Results!E14&lt;&gt;Games!$C$125),1,0))</f>
        <v/>
      </c>
      <c r="AM54" s="13" t="str">
        <f>IF(OR(F54="",Results!F14=""),"",IF(AND(F54=Results!F14,Results!F14&lt;&gt;Games!$C$126),1,0))</f>
        <v/>
      </c>
      <c r="AN54" s="13" t="str">
        <f>IF(OR(G54="",Results!G14=""),"",IF(AND(G54=Results!G14,Results!G14&lt;&gt;Games!$C$127),1,0))</f>
        <v/>
      </c>
      <c r="AO54" s="13" t="str">
        <f>IF(OR(H54="",Results!H14=""),"",IF(AND(H54=Results!H14,Results!H14&lt;&gt;Games!$C$128),1,0))</f>
        <v/>
      </c>
      <c r="AP54" s="13" t="str">
        <f>IF(OR(I54="",Results!I14=""),"",IF(AND(I54=Results!I14,Results!I14&lt;&gt;Games!$C$129),1,0))</f>
        <v/>
      </c>
      <c r="AQ54" s="13" t="str">
        <f>IF(OR(J54="",Results!J14=""),"",IF(AND(J54=Results!J14,Results!J14&lt;&gt;Games!$C$130),1,0))</f>
        <v/>
      </c>
      <c r="AR54" s="13" t="str">
        <f>IF(OR(K54="",Results!K14=""),"",IF(AND(K54=Results!K14,Results!K14&lt;&gt;Games!$C$131),1,0))</f>
        <v/>
      </c>
      <c r="AS54" s="13" t="str">
        <f>IF(OR(L54="",Results!L14=""),"",IF(AND(L54=Results!L14,Results!L14&lt;&gt;Games!$C$132),1,0))</f>
        <v/>
      </c>
      <c r="AT54" s="13" t="str">
        <f>IF(OR(M54="",Results!M14=""),"",IF(AND(M54=Results!M14,Results!M14&lt;&gt;Games!$C$133),1,0))</f>
        <v/>
      </c>
      <c r="AU54" s="13" t="str">
        <f>IF(OR(N54="",Results!N14=""),"",IF(AND(N54=Results!N14,Results!N14&lt;&gt;Games!$C$134),1,0))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IF(OR(B55="",Results!B14=""),"",IF(B55=Results!B14,1+IF(OR($O55=1,$P55=1,$Q55=1),1,0),0))</f>
        <v/>
      </c>
      <c r="T55" s="4" t="str">
        <f>IF(OR(C55="",Results!C14=""),"",IF(C55=Results!C14,1+IF(OR($O55=2,$P55=2,$Q55=2),1,0),0))</f>
        <v/>
      </c>
      <c r="U55" s="4" t="str">
        <f>IF(OR(D55="",Results!D14=""),"",IF(D55=Results!D14,1+IF(OR($O55=3,$P55=3,$Q55=3),1,0),0))</f>
        <v/>
      </c>
      <c r="V55" s="4" t="str">
        <f>IF(OR(E55="",Results!E14=""),"",IF(E55=Results!E14,1+IF(OR($O55=4,$P55=4,$Q55=4),1,0),0))</f>
        <v/>
      </c>
      <c r="W55" s="4" t="str">
        <f>IF(OR(F55="",Results!F14=""),"",IF(F55=Results!F14,1+IF(OR($O55=5,$P55=5,$Q55=5),1,0),0))</f>
        <v/>
      </c>
      <c r="X55" s="4" t="str">
        <f>IF(OR(G55="",Results!G14=""),"",IF(G55=Results!G14,1+IF(OR($O55=6,$P55=6,$Q55=6),1,0),0))</f>
        <v/>
      </c>
      <c r="Y55" s="4" t="str">
        <f>IF(OR(H55="",Results!H14=""),"",IF(H55=Results!H14,1+IF(OR($O55=7,$P55=7,$Q55=7),1,0),0))</f>
        <v/>
      </c>
      <c r="Z55" s="4" t="str">
        <f>IF(OR(I55="",Results!I14=""),"",IF(I55=Results!I14,1+IF(OR($O55=8,$P55=8,$Q55=8),1,0),0))</f>
        <v/>
      </c>
      <c r="AA55" s="4" t="str">
        <f>IF(OR(J55="",Results!J14=""),"",IF(J55=Results!J14,1+IF(OR($O55=9,$P55=9,$Q55=9),1,0),0))</f>
        <v/>
      </c>
      <c r="AB55" s="4" t="str">
        <f>IF(OR(K55="",Results!K14=""),"",IF(K55=Results!K14,1+IF(OR($O55=10,$P55=10,$Q55=10),1,0),0))</f>
        <v/>
      </c>
      <c r="AC55" s="4" t="str">
        <f>IF(OR(L55="",Results!L14=""),"",IF(L55=Results!L14,1+IF(OR($O55=11,$P55=11,$Q55=11),1,0),0))</f>
        <v/>
      </c>
      <c r="AD55" s="4" t="str">
        <f>IF(OR(M55="",Results!M14=""),"",IF(M55=Results!M14,1+IF(OR($O55=12,$P55=12,$Q55=12),1,0),0))</f>
        <v/>
      </c>
      <c r="AE55" s="4" t="str">
        <f>IF(OR(N55="",Results!N14=""),"",IF(N55=Results!N14,1+IF(OR($O55=13,$P55=13,$Q55=13),1,0),0))</f>
        <v/>
      </c>
      <c r="AF55" s="11">
        <f t="shared" si="2"/>
        <v>0</v>
      </c>
      <c r="AG55" s="4" t="str">
        <f>IF(OR($R55="",Results!O14=""),"",ABS($R55-Results!O14))</f>
        <v/>
      </c>
      <c r="AH55" s="12">
        <v>44</v>
      </c>
      <c r="AI55" s="13" t="str">
        <f>IF(OR(B55="",Results!B14=""),"",IF(AND(B55=Results!B14,Results!B14&lt;&gt;Games!$C$122),1,0))</f>
        <v/>
      </c>
      <c r="AJ55" s="13" t="str">
        <f>IF(OR(C55="",Results!C14=""),"",IF(AND(C55=Results!C14,Results!C14&lt;&gt;Games!$C$123),1,0))</f>
        <v/>
      </c>
      <c r="AK55" s="13" t="str">
        <f>IF(OR(D55="",Results!D14=""),"",IF(AND(D55=Results!D14,Results!D14&lt;&gt;Games!$C$124),1,0))</f>
        <v/>
      </c>
      <c r="AL55" s="13" t="str">
        <f>IF(OR(E55="",Results!E14=""),"",IF(AND(E55=Results!E14,Results!E14&lt;&gt;Games!$C$125),1,0))</f>
        <v/>
      </c>
      <c r="AM55" s="13" t="str">
        <f>IF(OR(F55="",Results!F14=""),"",IF(AND(F55=Results!F14,Results!F14&lt;&gt;Games!$C$126),1,0))</f>
        <v/>
      </c>
      <c r="AN55" s="13" t="str">
        <f>IF(OR(G55="",Results!G14=""),"",IF(AND(G55=Results!G14,Results!G14&lt;&gt;Games!$C$127),1,0))</f>
        <v/>
      </c>
      <c r="AO55" s="13" t="str">
        <f>IF(OR(H55="",Results!H14=""),"",IF(AND(H55=Results!H14,Results!H14&lt;&gt;Games!$C$128),1,0))</f>
        <v/>
      </c>
      <c r="AP55" s="13" t="str">
        <f>IF(OR(I55="",Results!I14=""),"",IF(AND(I55=Results!I14,Results!I14&lt;&gt;Games!$C$129),1,0))</f>
        <v/>
      </c>
      <c r="AQ55" s="13" t="str">
        <f>IF(OR(J55="",Results!J14=""),"",IF(AND(J55=Results!J14,Results!J14&lt;&gt;Games!$C$130),1,0))</f>
        <v/>
      </c>
      <c r="AR55" s="13" t="str">
        <f>IF(OR(K55="",Results!K14=""),"",IF(AND(K55=Results!K14,Results!K14&lt;&gt;Games!$C$131),1,0))</f>
        <v/>
      </c>
      <c r="AS55" s="13" t="str">
        <f>IF(OR(L55="",Results!L14=""),"",IF(AND(L55=Results!L14,Results!L14&lt;&gt;Games!$C$132),1,0))</f>
        <v/>
      </c>
      <c r="AT55" s="13" t="str">
        <f>IF(OR(M55="",Results!M14=""),"",IF(AND(M55=Results!M14,Results!M14&lt;&gt;Games!$C$133),1,0))</f>
        <v/>
      </c>
      <c r="AU55" s="13" t="str">
        <f>IF(OR(N55="",Results!N14=""),"",IF(AND(N55=Results!N14,Results!N14&lt;&gt;Games!$C$134),1,0))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IF(OR(B56="",Results!B14=""),"",IF(B56=Results!B14,1+IF(OR($O56=1,$P56=1,$Q56=1),1,0),0))</f>
        <v/>
      </c>
      <c r="T56" s="4" t="str">
        <f>IF(OR(C56="",Results!C14=""),"",IF(C56=Results!C14,1+IF(OR($O56=2,$P56=2,$Q56=2),1,0),0))</f>
        <v/>
      </c>
      <c r="U56" s="4" t="str">
        <f>IF(OR(D56="",Results!D14=""),"",IF(D56=Results!D14,1+IF(OR($O56=3,$P56=3,$Q56=3),1,0),0))</f>
        <v/>
      </c>
      <c r="V56" s="4" t="str">
        <f>IF(OR(E56="",Results!E14=""),"",IF(E56=Results!E14,1+IF(OR($O56=4,$P56=4,$Q56=4),1,0),0))</f>
        <v/>
      </c>
      <c r="W56" s="4" t="str">
        <f>IF(OR(F56="",Results!F14=""),"",IF(F56=Results!F14,1+IF(OR($O56=5,$P56=5,$Q56=5),1,0),0))</f>
        <v/>
      </c>
      <c r="X56" s="4" t="str">
        <f>IF(OR(G56="",Results!G14=""),"",IF(G56=Results!G14,1+IF(OR($O56=6,$P56=6,$Q56=6),1,0),0))</f>
        <v/>
      </c>
      <c r="Y56" s="4" t="str">
        <f>IF(OR(H56="",Results!H14=""),"",IF(H56=Results!H14,1+IF(OR($O56=7,$P56=7,$Q56=7),1,0),0))</f>
        <v/>
      </c>
      <c r="Z56" s="4" t="str">
        <f>IF(OR(I56="",Results!I14=""),"",IF(I56=Results!I14,1+IF(OR($O56=8,$P56=8,$Q56=8),1,0),0))</f>
        <v/>
      </c>
      <c r="AA56" s="4" t="str">
        <f>IF(OR(J56="",Results!J14=""),"",IF(J56=Results!J14,1+IF(OR($O56=9,$P56=9,$Q56=9),1,0),0))</f>
        <v/>
      </c>
      <c r="AB56" s="4" t="str">
        <f>IF(OR(K56="",Results!K14=""),"",IF(K56=Results!K14,1+IF(OR($O56=10,$P56=10,$Q56=10),1,0),0))</f>
        <v/>
      </c>
      <c r="AC56" s="4" t="str">
        <f>IF(OR(L56="",Results!L14=""),"",IF(L56=Results!L14,1+IF(OR($O56=11,$P56=11,$Q56=11),1,0),0))</f>
        <v/>
      </c>
      <c r="AD56" s="4" t="str">
        <f>IF(OR(M56="",Results!M14=""),"",IF(M56=Results!M14,1+IF(OR($O56=12,$P56=12,$Q56=12),1,0),0))</f>
        <v/>
      </c>
      <c r="AE56" s="4" t="str">
        <f>IF(OR(N56="",Results!N14=""),"",IF(N56=Results!N14,1+IF(OR($O56=13,$P56=13,$Q56=13),1,0),0))</f>
        <v/>
      </c>
      <c r="AF56" s="11">
        <f t="shared" si="2"/>
        <v>0</v>
      </c>
      <c r="AG56" s="4" t="str">
        <f>IF(OR($R56="",Results!O14=""),"",ABS($R56-Results!O14))</f>
        <v/>
      </c>
      <c r="AH56" s="12">
        <v>59</v>
      </c>
      <c r="AI56" s="13" t="str">
        <f>IF(OR(B56="",Results!B14=""),"",IF(AND(B56=Results!B14,Results!B14&lt;&gt;Games!$C$122),1,0))</f>
        <v/>
      </c>
      <c r="AJ56" s="13" t="str">
        <f>IF(OR(C56="",Results!C14=""),"",IF(AND(C56=Results!C14,Results!C14&lt;&gt;Games!$C$123),1,0))</f>
        <v/>
      </c>
      <c r="AK56" s="13" t="str">
        <f>IF(OR(D56="",Results!D14=""),"",IF(AND(D56=Results!D14,Results!D14&lt;&gt;Games!$C$124),1,0))</f>
        <v/>
      </c>
      <c r="AL56" s="13" t="str">
        <f>IF(OR(E56="",Results!E14=""),"",IF(AND(E56=Results!E14,Results!E14&lt;&gt;Games!$C$125),1,0))</f>
        <v/>
      </c>
      <c r="AM56" s="13" t="str">
        <f>IF(OR(F56="",Results!F14=""),"",IF(AND(F56=Results!F14,Results!F14&lt;&gt;Games!$C$126),1,0))</f>
        <v/>
      </c>
      <c r="AN56" s="13" t="str">
        <f>IF(OR(G56="",Results!G14=""),"",IF(AND(G56=Results!G14,Results!G14&lt;&gt;Games!$C$127),1,0))</f>
        <v/>
      </c>
      <c r="AO56" s="13" t="str">
        <f>IF(OR(H56="",Results!H14=""),"",IF(AND(H56=Results!H14,Results!H14&lt;&gt;Games!$C$128),1,0))</f>
        <v/>
      </c>
      <c r="AP56" s="13" t="str">
        <f>IF(OR(I56="",Results!I14=""),"",IF(AND(I56=Results!I14,Results!I14&lt;&gt;Games!$C$129),1,0))</f>
        <v/>
      </c>
      <c r="AQ56" s="13" t="str">
        <f>IF(OR(J56="",Results!J14=""),"",IF(AND(J56=Results!J14,Results!J14&lt;&gt;Games!$C$130),1,0))</f>
        <v/>
      </c>
      <c r="AR56" s="13" t="str">
        <f>IF(OR(K56="",Results!K14=""),"",IF(AND(K56=Results!K14,Results!K14&lt;&gt;Games!$C$131),1,0))</f>
        <v/>
      </c>
      <c r="AS56" s="13" t="str">
        <f>IF(OR(L56="",Results!L14=""),"",IF(AND(L56=Results!L14,Results!L14&lt;&gt;Games!$C$132),1,0))</f>
        <v/>
      </c>
      <c r="AT56" s="13" t="str">
        <f>IF(OR(M56="",Results!M14=""),"",IF(AND(M56=Results!M14,Results!M14&lt;&gt;Games!$C$133),1,0))</f>
        <v/>
      </c>
      <c r="AU56" s="13" t="str">
        <f>IF(OR(N56="",Results!N14=""),"",IF(AND(N56=Results!N14,Results!N14&lt;&gt;Games!$C$134),1,0))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tr">
        <f>IF(OR(B57="",Results!B14=""),"",IF(B57=Results!B14,1+IF(OR($O57=1,$P57=1,$Q57=1),1,0),0))</f>
        <v/>
      </c>
      <c r="T57" s="4" t="str">
        <f>IF(OR(C57="",Results!C14=""),"",IF(C57=Results!C14,1+IF(OR($O57=2,$P57=2,$Q57=2),1,0),0))</f>
        <v/>
      </c>
      <c r="U57" s="4" t="str">
        <f>IF(OR(D57="",Results!D14=""),"",IF(D57=Results!D14,1+IF(OR($O57=3,$P57=3,$Q57=3),1,0),0))</f>
        <v/>
      </c>
      <c r="V57" s="4" t="str">
        <f>IF(OR(E57="",Results!E14=""),"",IF(E57=Results!E14,1+IF(OR($O57=4,$P57=4,$Q57=4),1,0),0))</f>
        <v/>
      </c>
      <c r="W57" s="4" t="str">
        <f>IF(OR(F57="",Results!F14=""),"",IF(F57=Results!F14,1+IF(OR($O57=5,$P57=5,$Q57=5),1,0),0))</f>
        <v/>
      </c>
      <c r="X57" s="4" t="str">
        <f>IF(OR(G57="",Results!G14=""),"",IF(G57=Results!G14,1+IF(OR($O57=6,$P57=6,$Q57=6),1,0),0))</f>
        <v/>
      </c>
      <c r="Y57" s="4" t="str">
        <f>IF(OR(H57="",Results!H14=""),"",IF(H57=Results!H14,1+IF(OR($O57=7,$P57=7,$Q57=7),1,0),0))</f>
        <v/>
      </c>
      <c r="Z57" s="4" t="str">
        <f>IF(OR(I57="",Results!I14=""),"",IF(I57=Results!I14,1+IF(OR($O57=8,$P57=8,$Q57=8),1,0),0))</f>
        <v/>
      </c>
      <c r="AA57" s="4" t="str">
        <f>IF(OR(J57="",Results!J14=""),"",IF(J57=Results!J14,1+IF(OR($O57=9,$P57=9,$Q57=9),1,0),0))</f>
        <v/>
      </c>
      <c r="AB57" s="4" t="str">
        <f>IF(OR(K57="",Results!K14=""),"",IF(K57=Results!K14,1+IF(OR($O57=10,$P57=10,$Q57=10),1,0),0))</f>
        <v/>
      </c>
      <c r="AC57" s="4" t="str">
        <f>IF(OR(L57="",Results!L14=""),"",IF(L57=Results!L14,1+IF(OR($O57=11,$P57=11,$Q57=11),1,0),0))</f>
        <v/>
      </c>
      <c r="AD57" s="4" t="str">
        <f>IF(OR(M57="",Results!M14=""),"",IF(M57=Results!M14,1+IF(OR($O57=12,$P57=12,$Q57=12),1,0),0))</f>
        <v/>
      </c>
      <c r="AE57" s="4" t="str">
        <f>IF(OR(N57="",Results!N14=""),"",IF(N57=Results!N14,1+IF(OR($O57=13,$P57=13,$Q57=13),1,0),0))</f>
        <v/>
      </c>
      <c r="AF57" s="11">
        <f t="shared" si="2"/>
        <v>0</v>
      </c>
      <c r="AG57" s="4" t="str">
        <f>IF(OR($R57="",Results!O14=""),"",ABS($R57-Results!O14))</f>
        <v/>
      </c>
      <c r="AH57" s="12">
        <v>28</v>
      </c>
      <c r="AI57" s="13" t="str">
        <f>IF(OR(B57="",Results!B14=""),"",IF(AND(B57=Results!B14,Results!B14&lt;&gt;Games!$C$122),1,0))</f>
        <v/>
      </c>
      <c r="AJ57" s="13" t="str">
        <f>IF(OR(C57="",Results!C14=""),"",IF(AND(C57=Results!C14,Results!C14&lt;&gt;Games!$C$123),1,0))</f>
        <v/>
      </c>
      <c r="AK57" s="13" t="str">
        <f>IF(OR(D57="",Results!D14=""),"",IF(AND(D57=Results!D14,Results!D14&lt;&gt;Games!$C$124),1,0))</f>
        <v/>
      </c>
      <c r="AL57" s="13" t="str">
        <f>IF(OR(E57="",Results!E14=""),"",IF(AND(E57=Results!E14,Results!E14&lt;&gt;Games!$C$125),1,0))</f>
        <v/>
      </c>
      <c r="AM57" s="13" t="str">
        <f>IF(OR(F57="",Results!F14=""),"",IF(AND(F57=Results!F14,Results!F14&lt;&gt;Games!$C$126),1,0))</f>
        <v/>
      </c>
      <c r="AN57" s="13" t="str">
        <f>IF(OR(G57="",Results!G14=""),"",IF(AND(G57=Results!G14,Results!G14&lt;&gt;Games!$C$127),1,0))</f>
        <v/>
      </c>
      <c r="AO57" s="13" t="str">
        <f>IF(OR(H57="",Results!H14=""),"",IF(AND(H57=Results!H14,Results!H14&lt;&gt;Games!$C$128),1,0))</f>
        <v/>
      </c>
      <c r="AP57" s="13" t="str">
        <f>IF(OR(I57="",Results!I14=""),"",IF(AND(I57=Results!I14,Results!I14&lt;&gt;Games!$C$129),1,0))</f>
        <v/>
      </c>
      <c r="AQ57" s="13" t="str">
        <f>IF(OR(J57="",Results!J14=""),"",IF(AND(J57=Results!J14,Results!J14&lt;&gt;Games!$C$130),1,0))</f>
        <v/>
      </c>
      <c r="AR57" s="13" t="str">
        <f>IF(OR(K57="",Results!K14=""),"",IF(AND(K57=Results!K14,Results!K14&lt;&gt;Games!$C$131),1,0))</f>
        <v/>
      </c>
      <c r="AS57" s="13" t="str">
        <f>IF(OR(L57="",Results!L14=""),"",IF(AND(L57=Results!L14,Results!L14&lt;&gt;Games!$C$132),1,0))</f>
        <v/>
      </c>
      <c r="AT57" s="13" t="str">
        <f>IF(OR(M57="",Results!M14=""),"",IF(AND(M57=Results!M14,Results!M14&lt;&gt;Games!$C$133),1,0))</f>
        <v/>
      </c>
      <c r="AU57" s="13" t="str">
        <f>IF(OR(N57="",Results!N14=""),"",IF(AND(N57=Results!N14,Results!N14&lt;&gt;Games!$C$134),1,0))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 t="str">
        <f>IF(OR(B58="",Results!B14=""),"",IF(B58=Results!B14,1+IF(OR($O58=1,$P58=1,$Q58=1),1,0),0))</f>
        <v/>
      </c>
      <c r="T58" s="4" t="str">
        <f>IF(OR(C58="",Results!C14=""),"",IF(C58=Results!C14,1+IF(OR($O58=2,$P58=2,$Q58=2),1,0),0))</f>
        <v/>
      </c>
      <c r="U58" s="4" t="str">
        <f>IF(OR(D58="",Results!D14=""),"",IF(D58=Results!D14,1+IF(OR($O58=3,$P58=3,$Q58=3),1,0),0))</f>
        <v/>
      </c>
      <c r="V58" s="4" t="str">
        <f>IF(OR(E58="",Results!E14=""),"",IF(E58=Results!E14,1+IF(OR($O58=4,$P58=4,$Q58=4),1,0),0))</f>
        <v/>
      </c>
      <c r="W58" s="4" t="str">
        <f>IF(OR(F58="",Results!F14=""),"",IF(F58=Results!F14,1+IF(OR($O58=5,$P58=5,$Q58=5),1,0),0))</f>
        <v/>
      </c>
      <c r="X58" s="4" t="str">
        <f>IF(OR(G58="",Results!G14=""),"",IF(G58=Results!G14,1+IF(OR($O58=6,$P58=6,$Q58=6),1,0),0))</f>
        <v/>
      </c>
      <c r="Y58" s="4" t="str">
        <f>IF(OR(H58="",Results!H14=""),"",IF(H58=Results!H14,1+IF(OR($O58=7,$P58=7,$Q58=7),1,0),0))</f>
        <v/>
      </c>
      <c r="Z58" s="4" t="str">
        <f>IF(OR(I58="",Results!I14=""),"",IF(I58=Results!I14,1+IF(OR($O58=8,$P58=8,$Q58=8),1,0),0))</f>
        <v/>
      </c>
      <c r="AA58" s="4" t="str">
        <f>IF(OR(J58="",Results!J14=""),"",IF(J58=Results!J14,1+IF(OR($O58=9,$P58=9,$Q58=9),1,0),0))</f>
        <v/>
      </c>
      <c r="AB58" s="4" t="str">
        <f>IF(OR(K58="",Results!K14=""),"",IF(K58=Results!K14,1+IF(OR($O58=10,$P58=10,$Q58=10),1,0),0))</f>
        <v/>
      </c>
      <c r="AC58" s="4" t="str">
        <f>IF(OR(L58="",Results!L14=""),"",IF(L58=Results!L14,1+IF(OR($O58=11,$P58=11,$Q58=11),1,0),0))</f>
        <v/>
      </c>
      <c r="AD58" s="4" t="str">
        <f>IF(OR(M58="",Results!M14=""),"",IF(M58=Results!M14,1+IF(OR($O58=12,$P58=12,$Q58=12),1,0),0))</f>
        <v/>
      </c>
      <c r="AE58" s="4" t="str">
        <f>IF(OR(N58="",Results!N14=""),"",IF(N58=Results!N14,1+IF(OR($O58=13,$P58=13,$Q58=13),1,0),0))</f>
        <v/>
      </c>
      <c r="AF58" s="11">
        <f t="shared" si="2"/>
        <v>0</v>
      </c>
      <c r="AG58" s="4" t="str">
        <f>IF(OR($R58="",Results!O14=""),"",ABS($R58-Results!O14))</f>
        <v/>
      </c>
      <c r="AH58" s="12">
        <v>29</v>
      </c>
      <c r="AI58" s="13" t="str">
        <f>IF(OR(B58="",Results!B14=""),"",IF(AND(B58=Results!B14,Results!B14&lt;&gt;Games!$C$122),1,0))</f>
        <v/>
      </c>
      <c r="AJ58" s="13" t="str">
        <f>IF(OR(C58="",Results!C14=""),"",IF(AND(C58=Results!C14,Results!C14&lt;&gt;Games!$C$123),1,0))</f>
        <v/>
      </c>
      <c r="AK58" s="13" t="str">
        <f>IF(OR(D58="",Results!D14=""),"",IF(AND(D58=Results!D14,Results!D14&lt;&gt;Games!$C$124),1,0))</f>
        <v/>
      </c>
      <c r="AL58" s="13" t="str">
        <f>IF(OR(E58="",Results!E14=""),"",IF(AND(E58=Results!E14,Results!E14&lt;&gt;Games!$C$125),1,0))</f>
        <v/>
      </c>
      <c r="AM58" s="13" t="str">
        <f>IF(OR(F58="",Results!F14=""),"",IF(AND(F58=Results!F14,Results!F14&lt;&gt;Games!$C$126),1,0))</f>
        <v/>
      </c>
      <c r="AN58" s="13" t="str">
        <f>IF(OR(G58="",Results!G14=""),"",IF(AND(G58=Results!G14,Results!G14&lt;&gt;Games!$C$127),1,0))</f>
        <v/>
      </c>
      <c r="AO58" s="13" t="str">
        <f>IF(OR(H58="",Results!H14=""),"",IF(AND(H58=Results!H14,Results!H14&lt;&gt;Games!$C$128),1,0))</f>
        <v/>
      </c>
      <c r="AP58" s="13" t="str">
        <f>IF(OR(I58="",Results!I14=""),"",IF(AND(I58=Results!I14,Results!I14&lt;&gt;Games!$C$129),1,0))</f>
        <v/>
      </c>
      <c r="AQ58" s="13" t="str">
        <f>IF(OR(J58="",Results!J14=""),"",IF(AND(J58=Results!J14,Results!J14&lt;&gt;Games!$C$130),1,0))</f>
        <v/>
      </c>
      <c r="AR58" s="13" t="str">
        <f>IF(OR(K58="",Results!K14=""),"",IF(AND(K58=Results!K14,Results!K14&lt;&gt;Games!$C$131),1,0))</f>
        <v/>
      </c>
      <c r="AS58" s="13" t="str">
        <f>IF(OR(L58="",Results!L14=""),"",IF(AND(L58=Results!L14,Results!L14&lt;&gt;Games!$C$132),1,0))</f>
        <v/>
      </c>
      <c r="AT58" s="13" t="str">
        <f>IF(OR(M58="",Results!M14=""),"",IF(AND(M58=Results!M14,Results!M14&lt;&gt;Games!$C$133),1,0))</f>
        <v/>
      </c>
      <c r="AU58" s="13" t="str">
        <f>IF(OR(N58="",Results!N14=""),"",IF(AND(N58=Results!N14,Results!N14&lt;&gt;Games!$C$134),1,0))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IF(OR(B59="",Results!B14=""),"",IF(B59=Results!B14,1+IF(OR($O59=1,$P59=1,$Q59=1),1,0),0))</f>
        <v/>
      </c>
      <c r="T59" s="4" t="str">
        <f>IF(OR(C59="",Results!C14=""),"",IF(C59=Results!C14,1+IF(OR($O59=2,$P59=2,$Q59=2),1,0),0))</f>
        <v/>
      </c>
      <c r="U59" s="4" t="str">
        <f>IF(OR(D59="",Results!D14=""),"",IF(D59=Results!D14,1+IF(OR($O59=3,$P59=3,$Q59=3),1,0),0))</f>
        <v/>
      </c>
      <c r="V59" s="4" t="str">
        <f>IF(OR(E59="",Results!E14=""),"",IF(E59=Results!E14,1+IF(OR($O59=4,$P59=4,$Q59=4),1,0),0))</f>
        <v/>
      </c>
      <c r="W59" s="4" t="str">
        <f>IF(OR(F59="",Results!F14=""),"",IF(F59=Results!F14,1+IF(OR($O59=5,$P59=5,$Q59=5),1,0),0))</f>
        <v/>
      </c>
      <c r="X59" s="4" t="str">
        <f>IF(OR(G59="",Results!G14=""),"",IF(G59=Results!G14,1+IF(OR($O59=6,$P59=6,$Q59=6),1,0),0))</f>
        <v/>
      </c>
      <c r="Y59" s="4" t="str">
        <f>IF(OR(H59="",Results!H14=""),"",IF(H59=Results!H14,1+IF(OR($O59=7,$P59=7,$Q59=7),1,0),0))</f>
        <v/>
      </c>
      <c r="Z59" s="4" t="str">
        <f>IF(OR(I59="",Results!I14=""),"",IF(I59=Results!I14,1+IF(OR($O59=8,$P59=8,$Q59=8),1,0),0))</f>
        <v/>
      </c>
      <c r="AA59" s="4" t="str">
        <f>IF(OR(J59="",Results!J14=""),"",IF(J59=Results!J14,1+IF(OR($O59=9,$P59=9,$Q59=9),1,0),0))</f>
        <v/>
      </c>
      <c r="AB59" s="4" t="str">
        <f>IF(OR(K59="",Results!K14=""),"",IF(K59=Results!K14,1+IF(OR($O59=10,$P59=10,$Q59=10),1,0),0))</f>
        <v/>
      </c>
      <c r="AC59" s="4" t="str">
        <f>IF(OR(L59="",Results!L14=""),"",IF(L59=Results!L14,1+IF(OR($O59=11,$P59=11,$Q59=11),1,0),0))</f>
        <v/>
      </c>
      <c r="AD59" s="4" t="str">
        <f>IF(OR(M59="",Results!M14=""),"",IF(M59=Results!M14,1+IF(OR($O59=12,$P59=12,$Q59=12),1,0),0))</f>
        <v/>
      </c>
      <c r="AE59" s="4" t="str">
        <f>IF(OR(N59="",Results!N14=""),"",IF(N59=Results!N14,1+IF(OR($O59=13,$P59=13,$Q59=13),1,0),0))</f>
        <v/>
      </c>
      <c r="AF59" s="11">
        <f t="shared" si="2"/>
        <v>0</v>
      </c>
      <c r="AG59" s="4" t="str">
        <f>IF(OR($R59="",Results!O14=""),"",ABS($R59-Results!O14))</f>
        <v/>
      </c>
      <c r="AH59" s="12">
        <v>51</v>
      </c>
      <c r="AI59" s="13" t="str">
        <f>IF(OR(B59="",Results!B14=""),"",IF(AND(B59=Results!B14,Results!B14&lt;&gt;Games!$C$122),1,0))</f>
        <v/>
      </c>
      <c r="AJ59" s="13" t="str">
        <f>IF(OR(C59="",Results!C14=""),"",IF(AND(C59=Results!C14,Results!C14&lt;&gt;Games!$C$123),1,0))</f>
        <v/>
      </c>
      <c r="AK59" s="13" t="str">
        <f>IF(OR(D59="",Results!D14=""),"",IF(AND(D59=Results!D14,Results!D14&lt;&gt;Games!$C$124),1,0))</f>
        <v/>
      </c>
      <c r="AL59" s="13" t="str">
        <f>IF(OR(E59="",Results!E14=""),"",IF(AND(E59=Results!E14,Results!E14&lt;&gt;Games!$C$125),1,0))</f>
        <v/>
      </c>
      <c r="AM59" s="13" t="str">
        <f>IF(OR(F59="",Results!F14=""),"",IF(AND(F59=Results!F14,Results!F14&lt;&gt;Games!$C$126),1,0))</f>
        <v/>
      </c>
      <c r="AN59" s="13" t="str">
        <f>IF(OR(G59="",Results!G14=""),"",IF(AND(G59=Results!G14,Results!G14&lt;&gt;Games!$C$127),1,0))</f>
        <v/>
      </c>
      <c r="AO59" s="13" t="str">
        <f>IF(OR(H59="",Results!H14=""),"",IF(AND(H59=Results!H14,Results!H14&lt;&gt;Games!$C$128),1,0))</f>
        <v/>
      </c>
      <c r="AP59" s="13" t="str">
        <f>IF(OR(I59="",Results!I14=""),"",IF(AND(I59=Results!I14,Results!I14&lt;&gt;Games!$C$129),1,0))</f>
        <v/>
      </c>
      <c r="AQ59" s="13" t="str">
        <f>IF(OR(J59="",Results!J14=""),"",IF(AND(J59=Results!J14,Results!J14&lt;&gt;Games!$C$130),1,0))</f>
        <v/>
      </c>
      <c r="AR59" s="13" t="str">
        <f>IF(OR(K59="",Results!K14=""),"",IF(AND(K59=Results!K14,Results!K14&lt;&gt;Games!$C$131),1,0))</f>
        <v/>
      </c>
      <c r="AS59" s="13" t="str">
        <f>IF(OR(L59="",Results!L14=""),"",IF(AND(L59=Results!L14,Results!L14&lt;&gt;Games!$C$132),1,0))</f>
        <v/>
      </c>
      <c r="AT59" s="13" t="str">
        <f>IF(OR(M59="",Results!M14=""),"",IF(AND(M59=Results!M14,Results!M14&lt;&gt;Games!$C$133),1,0))</f>
        <v/>
      </c>
      <c r="AU59" s="13" t="str">
        <f>IF(OR(N59="",Results!N14=""),"",IF(AND(N59=Results!N14,Results!N14&lt;&gt;Games!$C$134),1,0))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IF(OR(B60="",Results!B14=""),"",IF(B60=Results!B14,1+IF(OR($O60=1,$P60=1,$Q60=1),1,0),0))</f>
        <v/>
      </c>
      <c r="T60" s="4" t="str">
        <f>IF(OR(C60="",Results!C14=""),"",IF(C60=Results!C14,1+IF(OR($O60=2,$P60=2,$Q60=2),1,0),0))</f>
        <v/>
      </c>
      <c r="U60" s="4" t="str">
        <f>IF(OR(D60="",Results!D14=""),"",IF(D60=Results!D14,1+IF(OR($O60=3,$P60=3,$Q60=3),1,0),0))</f>
        <v/>
      </c>
      <c r="V60" s="4" t="str">
        <f>IF(OR(E60="",Results!E14=""),"",IF(E60=Results!E14,1+IF(OR($O60=4,$P60=4,$Q60=4),1,0),0))</f>
        <v/>
      </c>
      <c r="W60" s="4" t="str">
        <f>IF(OR(F60="",Results!F14=""),"",IF(F60=Results!F14,1+IF(OR($O60=5,$P60=5,$Q60=5),1,0),0))</f>
        <v/>
      </c>
      <c r="X60" s="4" t="str">
        <f>IF(OR(G60="",Results!G14=""),"",IF(G60=Results!G14,1+IF(OR($O60=6,$P60=6,$Q60=6),1,0),0))</f>
        <v/>
      </c>
      <c r="Y60" s="4" t="str">
        <f>IF(OR(H60="",Results!H14=""),"",IF(H60=Results!H14,1+IF(OR($O60=7,$P60=7,$Q60=7),1,0),0))</f>
        <v/>
      </c>
      <c r="Z60" s="4" t="str">
        <f>IF(OR(I60="",Results!I14=""),"",IF(I60=Results!I14,1+IF(OR($O60=8,$P60=8,$Q60=8),1,0),0))</f>
        <v/>
      </c>
      <c r="AA60" s="4" t="str">
        <f>IF(OR(J60="",Results!J14=""),"",IF(J60=Results!J14,1+IF(OR($O60=9,$P60=9,$Q60=9),1,0),0))</f>
        <v/>
      </c>
      <c r="AB60" s="4" t="str">
        <f>IF(OR(K60="",Results!K14=""),"",IF(K60=Results!K14,1+IF(OR($O60=10,$P60=10,$Q60=10),1,0),0))</f>
        <v/>
      </c>
      <c r="AC60" s="4" t="str">
        <f>IF(OR(L60="",Results!L14=""),"",IF(L60=Results!L14,1+IF(OR($O60=11,$P60=11,$Q60=11),1,0),0))</f>
        <v/>
      </c>
      <c r="AD60" s="4" t="str">
        <f>IF(OR(M60="",Results!M14=""),"",IF(M60=Results!M14,1+IF(OR($O60=12,$P60=12,$Q60=12),1,0),0))</f>
        <v/>
      </c>
      <c r="AE60" s="4" t="str">
        <f>IF(OR(N60="",Results!N14=""),"",IF(N60=Results!N14,1+IF(OR($O60=13,$P60=13,$Q60=13),1,0),0))</f>
        <v/>
      </c>
      <c r="AF60" s="11">
        <f t="shared" si="2"/>
        <v>0</v>
      </c>
      <c r="AG60" s="4" t="str">
        <f>IF(OR($R60="",Results!O14=""),"",ABS($R60-Results!O14))</f>
        <v/>
      </c>
      <c r="AH60" s="12">
        <v>45</v>
      </c>
      <c r="AI60" s="13" t="str">
        <f>IF(OR(B60="",Results!B14=""),"",IF(AND(B60=Results!B14,Results!B14&lt;&gt;Games!$C$122),1,0))</f>
        <v/>
      </c>
      <c r="AJ60" s="13" t="str">
        <f>IF(OR(C60="",Results!C14=""),"",IF(AND(C60=Results!C14,Results!C14&lt;&gt;Games!$C$123),1,0))</f>
        <v/>
      </c>
      <c r="AK60" s="13" t="str">
        <f>IF(OR(D60="",Results!D14=""),"",IF(AND(D60=Results!D14,Results!D14&lt;&gt;Games!$C$124),1,0))</f>
        <v/>
      </c>
      <c r="AL60" s="13" t="str">
        <f>IF(OR(E60="",Results!E14=""),"",IF(AND(E60=Results!E14,Results!E14&lt;&gt;Games!$C$125),1,0))</f>
        <v/>
      </c>
      <c r="AM60" s="13" t="str">
        <f>IF(OR(F60="",Results!F14=""),"",IF(AND(F60=Results!F14,Results!F14&lt;&gt;Games!$C$126),1,0))</f>
        <v/>
      </c>
      <c r="AN60" s="13" t="str">
        <f>IF(OR(G60="",Results!G14=""),"",IF(AND(G60=Results!G14,Results!G14&lt;&gt;Games!$C$127),1,0))</f>
        <v/>
      </c>
      <c r="AO60" s="13" t="str">
        <f>IF(OR(H60="",Results!H14=""),"",IF(AND(H60=Results!H14,Results!H14&lt;&gt;Games!$C$128),1,0))</f>
        <v/>
      </c>
      <c r="AP60" s="13" t="str">
        <f>IF(OR(I60="",Results!I14=""),"",IF(AND(I60=Results!I14,Results!I14&lt;&gt;Games!$C$129),1,0))</f>
        <v/>
      </c>
      <c r="AQ60" s="13" t="str">
        <f>IF(OR(J60="",Results!J14=""),"",IF(AND(J60=Results!J14,Results!J14&lt;&gt;Games!$C$130),1,0))</f>
        <v/>
      </c>
      <c r="AR60" s="13" t="str">
        <f>IF(OR(K60="",Results!K14=""),"",IF(AND(K60=Results!K14,Results!K14&lt;&gt;Games!$C$131),1,0))</f>
        <v/>
      </c>
      <c r="AS60" s="13" t="str">
        <f>IF(OR(L60="",Results!L14=""),"",IF(AND(L60=Results!L14,Results!L14&lt;&gt;Games!$C$132),1,0))</f>
        <v/>
      </c>
      <c r="AT60" s="13" t="str">
        <f>IF(OR(M60="",Results!M14=""),"",IF(AND(M60=Results!M14,Results!M14&lt;&gt;Games!$C$133),1,0))</f>
        <v/>
      </c>
      <c r="AU60" s="13" t="str">
        <f>IF(OR(N60="",Results!N14=""),"",IF(AND(N60=Results!N14,Results!N14&lt;&gt;Games!$C$134),1,0))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 t="str">
        <f>IF(OR(B61="",Results!B14=""),"",IF(B61=Results!B14,1+IF(OR($O61=1,$P61=1,$Q61=1),1,0),0))</f>
        <v/>
      </c>
      <c r="T61" s="4" t="str">
        <f>IF(OR(C61="",Results!C14=""),"",IF(C61=Results!C14,1+IF(OR($O61=2,$P61=2,$Q61=2),1,0),0))</f>
        <v/>
      </c>
      <c r="U61" s="4" t="str">
        <f>IF(OR(D61="",Results!D14=""),"",IF(D61=Results!D14,1+IF(OR($O61=3,$P61=3,$Q61=3),1,0),0))</f>
        <v/>
      </c>
      <c r="V61" s="4" t="str">
        <f>IF(OR(E61="",Results!E14=""),"",IF(E61=Results!E14,1+IF(OR($O61=4,$P61=4,$Q61=4),1,0),0))</f>
        <v/>
      </c>
      <c r="W61" s="4" t="str">
        <f>IF(OR(F61="",Results!F14=""),"",IF(F61=Results!F14,1+IF(OR($O61=5,$P61=5,$Q61=5),1,0),0))</f>
        <v/>
      </c>
      <c r="X61" s="4" t="str">
        <f>IF(OR(G61="",Results!G14=""),"",IF(G61=Results!G14,1+IF(OR($O61=6,$P61=6,$Q61=6),1,0),0))</f>
        <v/>
      </c>
      <c r="Y61" s="4" t="str">
        <f>IF(OR(H61="",Results!H14=""),"",IF(H61=Results!H14,1+IF(OR($O61=7,$P61=7,$Q61=7),1,0),0))</f>
        <v/>
      </c>
      <c r="Z61" s="4" t="str">
        <f>IF(OR(I61="",Results!I14=""),"",IF(I61=Results!I14,1+IF(OR($O61=8,$P61=8,$Q61=8),1,0),0))</f>
        <v/>
      </c>
      <c r="AA61" s="4" t="str">
        <f>IF(OR(J61="",Results!J14=""),"",IF(J61=Results!J14,1+IF(OR($O61=9,$P61=9,$Q61=9),1,0),0))</f>
        <v/>
      </c>
      <c r="AB61" s="4" t="str">
        <f>IF(OR(K61="",Results!K14=""),"",IF(K61=Results!K14,1+IF(OR($O61=10,$P61=10,$Q61=10),1,0),0))</f>
        <v/>
      </c>
      <c r="AC61" s="4" t="str">
        <f>IF(OR(L61="",Results!L14=""),"",IF(L61=Results!L14,1+IF(OR($O61=11,$P61=11,$Q61=11),1,0),0))</f>
        <v/>
      </c>
      <c r="AD61" s="4" t="str">
        <f>IF(OR(M61="",Results!M14=""),"",IF(M61=Results!M14,1+IF(OR($O61=12,$P61=12,$Q61=12),1,0),0))</f>
        <v/>
      </c>
      <c r="AE61" s="4" t="str">
        <f>IF(OR(N61="",Results!N14=""),"",IF(N61=Results!N14,1+IF(OR($O61=13,$P61=13,$Q61=13),1,0),0))</f>
        <v/>
      </c>
      <c r="AF61" s="11">
        <f t="shared" si="2"/>
        <v>0</v>
      </c>
      <c r="AG61" s="4" t="str">
        <f>IF(OR($R61="",Results!O14=""),"",ABS($R61-Results!O14))</f>
        <v/>
      </c>
      <c r="AH61" s="12">
        <v>30</v>
      </c>
      <c r="AI61" s="13" t="str">
        <f>IF(OR(B61="",Results!B14=""),"",IF(AND(B61=Results!B14,Results!B14&lt;&gt;Games!$C$122),1,0))</f>
        <v/>
      </c>
      <c r="AJ61" s="13" t="str">
        <f>IF(OR(C61="",Results!C14=""),"",IF(AND(C61=Results!C14,Results!C14&lt;&gt;Games!$C$123),1,0))</f>
        <v/>
      </c>
      <c r="AK61" s="13" t="str">
        <f>IF(OR(D61="",Results!D14=""),"",IF(AND(D61=Results!D14,Results!D14&lt;&gt;Games!$C$124),1,0))</f>
        <v/>
      </c>
      <c r="AL61" s="13" t="str">
        <f>IF(OR(E61="",Results!E14=""),"",IF(AND(E61=Results!E14,Results!E14&lt;&gt;Games!$C$125),1,0))</f>
        <v/>
      </c>
      <c r="AM61" s="13" t="str">
        <f>IF(OR(F61="",Results!F14=""),"",IF(AND(F61=Results!F14,Results!F14&lt;&gt;Games!$C$126),1,0))</f>
        <v/>
      </c>
      <c r="AN61" s="13" t="str">
        <f>IF(OR(G61="",Results!G14=""),"",IF(AND(G61=Results!G14,Results!G14&lt;&gt;Games!$C$127),1,0))</f>
        <v/>
      </c>
      <c r="AO61" s="13" t="str">
        <f>IF(OR(H61="",Results!H14=""),"",IF(AND(H61=Results!H14,Results!H14&lt;&gt;Games!$C$128),1,0))</f>
        <v/>
      </c>
      <c r="AP61" s="13" t="str">
        <f>IF(OR(I61="",Results!I14=""),"",IF(AND(I61=Results!I14,Results!I14&lt;&gt;Games!$C$129),1,0))</f>
        <v/>
      </c>
      <c r="AQ61" s="13" t="str">
        <f>IF(OR(J61="",Results!J14=""),"",IF(AND(J61=Results!J14,Results!J14&lt;&gt;Games!$C$130),1,0))</f>
        <v/>
      </c>
      <c r="AR61" s="13" t="str">
        <f>IF(OR(K61="",Results!K14=""),"",IF(AND(K61=Results!K14,Results!K14&lt;&gt;Games!$C$131),1,0))</f>
        <v/>
      </c>
      <c r="AS61" s="13" t="str">
        <f>IF(OR(L61="",Results!L14=""),"",IF(AND(L61=Results!L14,Results!L14&lt;&gt;Games!$C$132),1,0))</f>
        <v/>
      </c>
      <c r="AT61" s="13" t="str">
        <f>IF(OR(M61="",Results!M14=""),"",IF(AND(M61=Results!M14,Results!M14&lt;&gt;Games!$C$133),1,0))</f>
        <v/>
      </c>
      <c r="AU61" s="13" t="str">
        <f>IF(OR(N61="",Results!N14=""),"",IF(AND(N61=Results!N14,Results!N14&lt;&gt;Games!$C$134),1,0))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IF(OR(B62="",Results!B14=""),"",IF(B62=Results!B14,1+IF(OR($O62=1,$P62=1,$Q62=1),1,0),0))</f>
        <v/>
      </c>
      <c r="T62" s="4" t="str">
        <f>IF(OR(C62="",Results!C14=""),"",IF(C62=Results!C14,1+IF(OR($O62=2,$P62=2,$Q62=2),1,0),0))</f>
        <v/>
      </c>
      <c r="U62" s="4" t="str">
        <f>IF(OR(D62="",Results!D14=""),"",IF(D62=Results!D14,1+IF(OR($O62=3,$P62=3,$Q62=3),1,0),0))</f>
        <v/>
      </c>
      <c r="V62" s="4" t="str">
        <f>IF(OR(E62="",Results!E14=""),"",IF(E62=Results!E14,1+IF(OR($O62=4,$P62=4,$Q62=4),1,0),0))</f>
        <v/>
      </c>
      <c r="W62" s="4" t="str">
        <f>IF(OR(F62="",Results!F14=""),"",IF(F62=Results!F14,1+IF(OR($O62=5,$P62=5,$Q62=5),1,0),0))</f>
        <v/>
      </c>
      <c r="X62" s="4" t="str">
        <f>IF(OR(G62="",Results!G14=""),"",IF(G62=Results!G14,1+IF(OR($O62=6,$P62=6,$Q62=6),1,0),0))</f>
        <v/>
      </c>
      <c r="Y62" s="4" t="str">
        <f>IF(OR(H62="",Results!H14=""),"",IF(H62=Results!H14,1+IF(OR($O62=7,$P62=7,$Q62=7),1,0),0))</f>
        <v/>
      </c>
      <c r="Z62" s="4" t="str">
        <f>IF(OR(I62="",Results!I14=""),"",IF(I62=Results!I14,1+IF(OR($O62=8,$P62=8,$Q62=8),1,0),0))</f>
        <v/>
      </c>
      <c r="AA62" s="4" t="str">
        <f>IF(OR(J62="",Results!J14=""),"",IF(J62=Results!J14,1+IF(OR($O62=9,$P62=9,$Q62=9),1,0),0))</f>
        <v/>
      </c>
      <c r="AB62" s="4" t="str">
        <f>IF(OR(K62="",Results!K14=""),"",IF(K62=Results!K14,1+IF(OR($O62=10,$P62=10,$Q62=10),1,0),0))</f>
        <v/>
      </c>
      <c r="AC62" s="4" t="str">
        <f>IF(OR(L62="",Results!L14=""),"",IF(L62=Results!L14,1+IF(OR($O62=11,$P62=11,$Q62=11),1,0),0))</f>
        <v/>
      </c>
      <c r="AD62" s="4" t="str">
        <f>IF(OR(M62="",Results!M14=""),"",IF(M62=Results!M14,1+IF(OR($O62=12,$P62=12,$Q62=12),1,0),0))</f>
        <v/>
      </c>
      <c r="AE62" s="4" t="str">
        <f>IF(OR(N62="",Results!N14=""),"",IF(N62=Results!N14,1+IF(OR($O62=13,$P62=13,$Q62=13),1,0),0))</f>
        <v/>
      </c>
      <c r="AF62" s="11">
        <f t="shared" si="2"/>
        <v>0</v>
      </c>
      <c r="AG62" s="4" t="str">
        <f>IF(OR($R62="",Results!O14=""),"",ABS($R62-Results!O14))</f>
        <v/>
      </c>
      <c r="AH62" s="12">
        <v>31</v>
      </c>
      <c r="AI62" s="13" t="str">
        <f>IF(OR(B62="",Results!B14=""),"",IF(AND(B62=Results!B14,Results!B14&lt;&gt;Games!$C$122),1,0))</f>
        <v/>
      </c>
      <c r="AJ62" s="13" t="str">
        <f>IF(OR(C62="",Results!C14=""),"",IF(AND(C62=Results!C14,Results!C14&lt;&gt;Games!$C$123),1,0))</f>
        <v/>
      </c>
      <c r="AK62" s="13" t="str">
        <f>IF(OR(D62="",Results!D14=""),"",IF(AND(D62=Results!D14,Results!D14&lt;&gt;Games!$C$124),1,0))</f>
        <v/>
      </c>
      <c r="AL62" s="13" t="str">
        <f>IF(OR(E62="",Results!E14=""),"",IF(AND(E62=Results!E14,Results!E14&lt;&gt;Games!$C$125),1,0))</f>
        <v/>
      </c>
      <c r="AM62" s="13" t="str">
        <f>IF(OR(F62="",Results!F14=""),"",IF(AND(F62=Results!F14,Results!F14&lt;&gt;Games!$C$126),1,0))</f>
        <v/>
      </c>
      <c r="AN62" s="13" t="str">
        <f>IF(OR(G62="",Results!G14=""),"",IF(AND(G62=Results!G14,Results!G14&lt;&gt;Games!$C$127),1,0))</f>
        <v/>
      </c>
      <c r="AO62" s="13" t="str">
        <f>IF(OR(H62="",Results!H14=""),"",IF(AND(H62=Results!H14,Results!H14&lt;&gt;Games!$C$128),1,0))</f>
        <v/>
      </c>
      <c r="AP62" s="13" t="str">
        <f>IF(OR(I62="",Results!I14=""),"",IF(AND(I62=Results!I14,Results!I14&lt;&gt;Games!$C$129),1,0))</f>
        <v/>
      </c>
      <c r="AQ62" s="13" t="str">
        <f>IF(OR(J62="",Results!J14=""),"",IF(AND(J62=Results!J14,Results!J14&lt;&gt;Games!$C$130),1,0))</f>
        <v/>
      </c>
      <c r="AR62" s="13" t="str">
        <f>IF(OR(K62="",Results!K14=""),"",IF(AND(K62=Results!K14,Results!K14&lt;&gt;Games!$C$131),1,0))</f>
        <v/>
      </c>
      <c r="AS62" s="13" t="str">
        <f>IF(OR(L62="",Results!L14=""),"",IF(AND(L62=Results!L14,Results!L14&lt;&gt;Games!$C$132),1,0))</f>
        <v/>
      </c>
      <c r="AT62" s="13" t="str">
        <f>IF(OR(M62="",Results!M14=""),"",IF(AND(M62=Results!M14,Results!M14&lt;&gt;Games!$C$133),1,0))</f>
        <v/>
      </c>
      <c r="AU62" s="13" t="str">
        <f>IF(OR(N62="",Results!N14=""),"",IF(AND(N62=Results!N14,Results!N14&lt;&gt;Games!$C$134),1,0))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 t="str">
        <f>IF(OR(B63="",Results!B14=""),"",IF(B63=Results!B14,1+IF(OR($O63=1,$P63=1,$Q63=1),1,0),0))</f>
        <v/>
      </c>
      <c r="T63" s="4" t="str">
        <f>IF(OR(C63="",Results!C14=""),"",IF(C63=Results!C14,1+IF(OR($O63=2,$P63=2,$Q63=2),1,0),0))</f>
        <v/>
      </c>
      <c r="U63" s="4" t="str">
        <f>IF(OR(D63="",Results!D14=""),"",IF(D63=Results!D14,1+IF(OR($O63=3,$P63=3,$Q63=3),1,0),0))</f>
        <v/>
      </c>
      <c r="V63" s="4" t="str">
        <f>IF(OR(E63="",Results!E14=""),"",IF(E63=Results!E14,1+IF(OR($O63=4,$P63=4,$Q63=4),1,0),0))</f>
        <v/>
      </c>
      <c r="W63" s="4" t="str">
        <f>IF(OR(F63="",Results!F14=""),"",IF(F63=Results!F14,1+IF(OR($O63=5,$P63=5,$Q63=5),1,0),0))</f>
        <v/>
      </c>
      <c r="X63" s="4" t="str">
        <f>IF(OR(G63="",Results!G14=""),"",IF(G63=Results!G14,1+IF(OR($O63=6,$P63=6,$Q63=6),1,0),0))</f>
        <v/>
      </c>
      <c r="Y63" s="4" t="str">
        <f>IF(OR(H63="",Results!H14=""),"",IF(H63=Results!H14,1+IF(OR($O63=7,$P63=7,$Q63=7),1,0),0))</f>
        <v/>
      </c>
      <c r="Z63" s="4" t="str">
        <f>IF(OR(I63="",Results!I14=""),"",IF(I63=Results!I14,1+IF(OR($O63=8,$P63=8,$Q63=8),1,0),0))</f>
        <v/>
      </c>
      <c r="AA63" s="4" t="str">
        <f>IF(OR(J63="",Results!J14=""),"",IF(J63=Results!J14,1+IF(OR($O63=9,$P63=9,$Q63=9),1,0),0))</f>
        <v/>
      </c>
      <c r="AB63" s="4" t="str">
        <f>IF(OR(K63="",Results!K14=""),"",IF(K63=Results!K14,1+IF(OR($O63=10,$P63=10,$Q63=10),1,0),0))</f>
        <v/>
      </c>
      <c r="AC63" s="4" t="str">
        <f>IF(OR(L63="",Results!L14=""),"",IF(L63=Results!L14,1+IF(OR($O63=11,$P63=11,$Q63=11),1,0),0))</f>
        <v/>
      </c>
      <c r="AD63" s="4" t="str">
        <f>IF(OR(M63="",Results!M14=""),"",IF(M63=Results!M14,1+IF(OR($O63=12,$P63=12,$Q63=12),1,0),0))</f>
        <v/>
      </c>
      <c r="AE63" s="4" t="str">
        <f>IF(OR(N63="",Results!N14=""),"",IF(N63=Results!N14,1+IF(OR($O63=13,$P63=13,$Q63=13),1,0),0))</f>
        <v/>
      </c>
      <c r="AF63" s="11">
        <f t="shared" si="2"/>
        <v>0</v>
      </c>
      <c r="AG63" s="4" t="str">
        <f>IF(OR($R63="",Results!O14=""),"",ABS($R63-Results!O14))</f>
        <v/>
      </c>
      <c r="AH63" s="12">
        <v>32</v>
      </c>
      <c r="AI63" s="13" t="str">
        <f>IF(OR(B63="",Results!B14=""),"",IF(AND(B63=Results!B14,Results!B14&lt;&gt;Games!$C$122),1,0))</f>
        <v/>
      </c>
      <c r="AJ63" s="13" t="str">
        <f>IF(OR(C63="",Results!C14=""),"",IF(AND(C63=Results!C14,Results!C14&lt;&gt;Games!$C$123),1,0))</f>
        <v/>
      </c>
      <c r="AK63" s="13" t="str">
        <f>IF(OR(D63="",Results!D14=""),"",IF(AND(D63=Results!D14,Results!D14&lt;&gt;Games!$C$124),1,0))</f>
        <v/>
      </c>
      <c r="AL63" s="13" t="str">
        <f>IF(OR(E63="",Results!E14=""),"",IF(AND(E63=Results!E14,Results!E14&lt;&gt;Games!$C$125),1,0))</f>
        <v/>
      </c>
      <c r="AM63" s="13" t="str">
        <f>IF(OR(F63="",Results!F14=""),"",IF(AND(F63=Results!F14,Results!F14&lt;&gt;Games!$C$126),1,0))</f>
        <v/>
      </c>
      <c r="AN63" s="13" t="str">
        <f>IF(OR(G63="",Results!G14=""),"",IF(AND(G63=Results!G14,Results!G14&lt;&gt;Games!$C$127),1,0))</f>
        <v/>
      </c>
      <c r="AO63" s="13" t="str">
        <f>IF(OR(H63="",Results!H14=""),"",IF(AND(H63=Results!H14,Results!H14&lt;&gt;Games!$C$128),1,0))</f>
        <v/>
      </c>
      <c r="AP63" s="13" t="str">
        <f>IF(OR(I63="",Results!I14=""),"",IF(AND(I63=Results!I14,Results!I14&lt;&gt;Games!$C$129),1,0))</f>
        <v/>
      </c>
      <c r="AQ63" s="13" t="str">
        <f>IF(OR(J63="",Results!J14=""),"",IF(AND(J63=Results!J14,Results!J14&lt;&gt;Games!$C$130),1,0))</f>
        <v/>
      </c>
      <c r="AR63" s="13" t="str">
        <f>IF(OR(K63="",Results!K14=""),"",IF(AND(K63=Results!K14,Results!K14&lt;&gt;Games!$C$131),1,0))</f>
        <v/>
      </c>
      <c r="AS63" s="13" t="str">
        <f>IF(OR(L63="",Results!L14=""),"",IF(AND(L63=Results!L14,Results!L14&lt;&gt;Games!$C$132),1,0))</f>
        <v/>
      </c>
      <c r="AT63" s="13" t="str">
        <f>IF(OR(M63="",Results!M14=""),"",IF(AND(M63=Results!M14,Results!M14&lt;&gt;Games!$C$133),1,0))</f>
        <v/>
      </c>
      <c r="AU63" s="13" t="str">
        <f>IF(OR(N63="",Results!N14=""),"",IF(AND(N63=Results!N14,Results!N14&lt;&gt;Games!$C$134),1,0))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 t="str">
        <f>IF(OR(B64="",Results!B14=""),"",IF(B64=Results!B14,1+IF(OR($O64=1,$P64=1,$Q64=1),1,0),0))</f>
        <v/>
      </c>
      <c r="T64" s="4" t="str">
        <f>IF(OR(C64="",Results!C14=""),"",IF(C64=Results!C14,1+IF(OR($O64=2,$P64=2,$Q64=2),1,0),0))</f>
        <v/>
      </c>
      <c r="U64" s="4" t="str">
        <f>IF(OR(D64="",Results!D14=""),"",IF(D64=Results!D14,1+IF(OR($O64=3,$P64=3,$Q64=3),1,0),0))</f>
        <v/>
      </c>
      <c r="V64" s="4" t="str">
        <f>IF(OR(E64="",Results!E14=""),"",IF(E64=Results!E14,1+IF(OR($O64=4,$P64=4,$Q64=4),1,0),0))</f>
        <v/>
      </c>
      <c r="W64" s="4" t="str">
        <f>IF(OR(F64="",Results!F14=""),"",IF(F64=Results!F14,1+IF(OR($O64=5,$P64=5,$Q64=5),1,0),0))</f>
        <v/>
      </c>
      <c r="X64" s="4" t="str">
        <f>IF(OR(G64="",Results!G14=""),"",IF(G64=Results!G14,1+IF(OR($O64=6,$P64=6,$Q64=6),1,0),0))</f>
        <v/>
      </c>
      <c r="Y64" s="4" t="str">
        <f>IF(OR(H64="",Results!H14=""),"",IF(H64=Results!H14,1+IF(OR($O64=7,$P64=7,$Q64=7),1,0),0))</f>
        <v/>
      </c>
      <c r="Z64" s="4" t="str">
        <f>IF(OR(I64="",Results!I14=""),"",IF(I64=Results!I14,1+IF(OR($O64=8,$P64=8,$Q64=8),1,0),0))</f>
        <v/>
      </c>
      <c r="AA64" s="4" t="str">
        <f>IF(OR(J64="",Results!J14=""),"",IF(J64=Results!J14,1+IF(OR($O64=9,$P64=9,$Q64=9),1,0),0))</f>
        <v/>
      </c>
      <c r="AB64" s="4" t="str">
        <f>IF(OR(K64="",Results!K14=""),"",IF(K64=Results!K14,1+IF(OR($O64=10,$P64=10,$Q64=10),1,0),0))</f>
        <v/>
      </c>
      <c r="AC64" s="4" t="str">
        <f>IF(OR(L64="",Results!L14=""),"",IF(L64=Results!L14,1+IF(OR($O64=11,$P64=11,$Q64=11),1,0),0))</f>
        <v/>
      </c>
      <c r="AD64" s="4" t="str">
        <f>IF(OR(M64="",Results!M14=""),"",IF(M64=Results!M14,1+IF(OR($O64=12,$P64=12,$Q64=12),1,0),0))</f>
        <v/>
      </c>
      <c r="AE64" s="4" t="str">
        <f>IF(OR(N64="",Results!N14=""),"",IF(N64=Results!N14,1+IF(OR($O64=13,$P64=13,$Q64=13),1,0),0))</f>
        <v/>
      </c>
      <c r="AF64" s="11">
        <f t="shared" si="2"/>
        <v>0</v>
      </c>
      <c r="AG64" s="4" t="str">
        <f>IF(OR($R64="",Results!O14=""),"",ABS($R64-Results!O14))</f>
        <v/>
      </c>
      <c r="AH64" s="12">
        <v>46</v>
      </c>
      <c r="AI64" s="13" t="str">
        <f>IF(OR(B64="",Results!B14=""),"",IF(AND(B64=Results!B14,Results!B14&lt;&gt;Games!$C$122),1,0))</f>
        <v/>
      </c>
      <c r="AJ64" s="13" t="str">
        <f>IF(OR(C64="",Results!C14=""),"",IF(AND(C64=Results!C14,Results!C14&lt;&gt;Games!$C$123),1,0))</f>
        <v/>
      </c>
      <c r="AK64" s="13" t="str">
        <f>IF(OR(D64="",Results!D14=""),"",IF(AND(D64=Results!D14,Results!D14&lt;&gt;Games!$C$124),1,0))</f>
        <v/>
      </c>
      <c r="AL64" s="13" t="str">
        <f>IF(OR(E64="",Results!E14=""),"",IF(AND(E64=Results!E14,Results!E14&lt;&gt;Games!$C$125),1,0))</f>
        <v/>
      </c>
      <c r="AM64" s="13" t="str">
        <f>IF(OR(F64="",Results!F14=""),"",IF(AND(F64=Results!F14,Results!F14&lt;&gt;Games!$C$126),1,0))</f>
        <v/>
      </c>
      <c r="AN64" s="13" t="str">
        <f>IF(OR(G64="",Results!G14=""),"",IF(AND(G64=Results!G14,Results!G14&lt;&gt;Games!$C$127),1,0))</f>
        <v/>
      </c>
      <c r="AO64" s="13" t="str">
        <f>IF(OR(H64="",Results!H14=""),"",IF(AND(H64=Results!H14,Results!H14&lt;&gt;Games!$C$128),1,0))</f>
        <v/>
      </c>
      <c r="AP64" s="13" t="str">
        <f>IF(OR(I64="",Results!I14=""),"",IF(AND(I64=Results!I14,Results!I14&lt;&gt;Games!$C$129),1,0))</f>
        <v/>
      </c>
      <c r="AQ64" s="13" t="str">
        <f>IF(OR(J64="",Results!J14=""),"",IF(AND(J64=Results!J14,Results!J14&lt;&gt;Games!$C$130),1,0))</f>
        <v/>
      </c>
      <c r="AR64" s="13" t="str">
        <f>IF(OR(K64="",Results!K14=""),"",IF(AND(K64=Results!K14,Results!K14&lt;&gt;Games!$C$131),1,0))</f>
        <v/>
      </c>
      <c r="AS64" s="13" t="str">
        <f>IF(OR(L64="",Results!L14=""),"",IF(AND(L64=Results!L14,Results!L14&lt;&gt;Games!$C$132),1,0))</f>
        <v/>
      </c>
      <c r="AT64" s="13" t="str">
        <f>IF(OR(M64="",Results!M14=""),"",IF(AND(M64=Results!M14,Results!M14&lt;&gt;Games!$C$133),1,0))</f>
        <v/>
      </c>
      <c r="AU64" s="13" t="str">
        <f>IF(OR(N64="",Results!N14=""),"",IF(AND(N64=Results!N14,Results!N14&lt;&gt;Games!$C$134),1,0))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IF(OR(B65="",Results!B14=""),"",IF(B65=Results!B14,1+IF(OR($O65=1,$P65=1,$Q65=1),1,0),0))</f>
        <v/>
      </c>
      <c r="T65" s="4" t="str">
        <f>IF(OR(C65="",Results!C14=""),"",IF(C65=Results!C14,1+IF(OR($O65=2,$P65=2,$Q65=2),1,0),0))</f>
        <v/>
      </c>
      <c r="U65" s="4" t="str">
        <f>IF(OR(D65="",Results!D14=""),"",IF(D65=Results!D14,1+IF(OR($O65=3,$P65=3,$Q65=3),1,0),0))</f>
        <v/>
      </c>
      <c r="V65" s="4" t="str">
        <f>IF(OR(E65="",Results!E14=""),"",IF(E65=Results!E14,1+IF(OR($O65=4,$P65=4,$Q65=4),1,0),0))</f>
        <v/>
      </c>
      <c r="W65" s="4" t="str">
        <f>IF(OR(F65="",Results!F14=""),"",IF(F65=Results!F14,1+IF(OR($O65=5,$P65=5,$Q65=5),1,0),0))</f>
        <v/>
      </c>
      <c r="X65" s="4" t="str">
        <f>IF(OR(G65="",Results!G14=""),"",IF(G65=Results!G14,1+IF(OR($O65=6,$P65=6,$Q65=6),1,0),0))</f>
        <v/>
      </c>
      <c r="Y65" s="4" t="str">
        <f>IF(OR(H65="",Results!H14=""),"",IF(H65=Results!H14,1+IF(OR($O65=7,$P65=7,$Q65=7),1,0),0))</f>
        <v/>
      </c>
      <c r="Z65" s="4" t="str">
        <f>IF(OR(I65="",Results!I14=""),"",IF(I65=Results!I14,1+IF(OR($O65=8,$P65=8,$Q65=8),1,0),0))</f>
        <v/>
      </c>
      <c r="AA65" s="4" t="str">
        <f>IF(OR(J65="",Results!J14=""),"",IF(J65=Results!J14,1+IF(OR($O65=9,$P65=9,$Q65=9),1,0),0))</f>
        <v/>
      </c>
      <c r="AB65" s="4" t="str">
        <f>IF(OR(K65="",Results!K14=""),"",IF(K65=Results!K14,1+IF(OR($O65=10,$P65=10,$Q65=10),1,0),0))</f>
        <v/>
      </c>
      <c r="AC65" s="4" t="str">
        <f>IF(OR(L65="",Results!L14=""),"",IF(L65=Results!L14,1+IF(OR($O65=11,$P65=11,$Q65=11),1,0),0))</f>
        <v/>
      </c>
      <c r="AD65" s="4" t="str">
        <f>IF(OR(M65="",Results!M14=""),"",IF(M65=Results!M14,1+IF(OR($O65=12,$P65=12,$Q65=12),1,0),0))</f>
        <v/>
      </c>
      <c r="AE65" s="4" t="str">
        <f>IF(OR(N65="",Results!N14=""),"",IF(N65=Results!N14,1+IF(OR($O65=13,$P65=13,$Q65=13),1,0),0))</f>
        <v/>
      </c>
      <c r="AF65" s="11">
        <f t="shared" si="2"/>
        <v>0</v>
      </c>
      <c r="AG65" s="4" t="str">
        <f>IF(OR($R65="",Results!O14=""),"",ABS($R65-Results!O14))</f>
        <v/>
      </c>
      <c r="AH65" s="12">
        <v>33</v>
      </c>
      <c r="AI65" s="13" t="str">
        <f>IF(OR(B65="",Results!B14=""),"",IF(AND(B65=Results!B14,Results!B14&lt;&gt;Games!$C$122),1,0))</f>
        <v/>
      </c>
      <c r="AJ65" s="13" t="str">
        <f>IF(OR(C65="",Results!C14=""),"",IF(AND(C65=Results!C14,Results!C14&lt;&gt;Games!$C$123),1,0))</f>
        <v/>
      </c>
      <c r="AK65" s="13" t="str">
        <f>IF(OR(D65="",Results!D14=""),"",IF(AND(D65=Results!D14,Results!D14&lt;&gt;Games!$C$124),1,0))</f>
        <v/>
      </c>
      <c r="AL65" s="13" t="str">
        <f>IF(OR(E65="",Results!E14=""),"",IF(AND(E65=Results!E14,Results!E14&lt;&gt;Games!$C$125),1,0))</f>
        <v/>
      </c>
      <c r="AM65" s="13" t="str">
        <f>IF(OR(F65="",Results!F14=""),"",IF(AND(F65=Results!F14,Results!F14&lt;&gt;Games!$C$126),1,0))</f>
        <v/>
      </c>
      <c r="AN65" s="13" t="str">
        <f>IF(OR(G65="",Results!G14=""),"",IF(AND(G65=Results!G14,Results!G14&lt;&gt;Games!$C$127),1,0))</f>
        <v/>
      </c>
      <c r="AO65" s="13" t="str">
        <f>IF(OR(H65="",Results!H14=""),"",IF(AND(H65=Results!H14,Results!H14&lt;&gt;Games!$C$128),1,0))</f>
        <v/>
      </c>
      <c r="AP65" s="13" t="str">
        <f>IF(OR(I65="",Results!I14=""),"",IF(AND(I65=Results!I14,Results!I14&lt;&gt;Games!$C$129),1,0))</f>
        <v/>
      </c>
      <c r="AQ65" s="13" t="str">
        <f>IF(OR(J65="",Results!J14=""),"",IF(AND(J65=Results!J14,Results!J14&lt;&gt;Games!$C$130),1,0))</f>
        <v/>
      </c>
      <c r="AR65" s="13" t="str">
        <f>IF(OR(K65="",Results!K14=""),"",IF(AND(K65=Results!K14,Results!K14&lt;&gt;Games!$C$131),1,0))</f>
        <v/>
      </c>
      <c r="AS65" s="13" t="str">
        <f>IF(OR(L65="",Results!L14=""),"",IF(AND(L65=Results!L14,Results!L14&lt;&gt;Games!$C$132),1,0))</f>
        <v/>
      </c>
      <c r="AT65" s="13" t="str">
        <f>IF(OR(M65="",Results!M14=""),"",IF(AND(M65=Results!M14,Results!M14&lt;&gt;Games!$C$133),1,0))</f>
        <v/>
      </c>
      <c r="AU65" s="13" t="str">
        <f>IF(OR(N65="",Results!N14=""),"",IF(AND(N65=Results!N14,Results!N14&lt;&gt;Games!$C$134),1,0))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B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B00-000001000000}">
          <x14:formula1>
            <xm:f>Games!$C$122:$D$122</xm:f>
          </x14:formula1>
          <x14:formula2>
            <xm:f>0</xm:f>
          </x14:formula2>
          <xm:sqref>B6:B65</xm:sqref>
        </x14:dataValidation>
        <x14:dataValidation type="list" allowBlank="1" xr:uid="{00000000-0002-0000-0B00-000002000000}">
          <x14:formula1>
            <xm:f>Games!$C$123:$D$123</xm:f>
          </x14:formula1>
          <x14:formula2>
            <xm:f>0</xm:f>
          </x14:formula2>
          <xm:sqref>C6:C65</xm:sqref>
        </x14:dataValidation>
        <x14:dataValidation type="list" allowBlank="1" xr:uid="{00000000-0002-0000-0B00-000003000000}">
          <x14:formula1>
            <xm:f>Games!$C$124:$D$124</xm:f>
          </x14:formula1>
          <x14:formula2>
            <xm:f>0</xm:f>
          </x14:formula2>
          <xm:sqref>D6:D65</xm:sqref>
        </x14:dataValidation>
        <x14:dataValidation type="list" allowBlank="1" xr:uid="{00000000-0002-0000-0B00-000004000000}">
          <x14:formula1>
            <xm:f>Games!$C$125:$D$125</xm:f>
          </x14:formula1>
          <x14:formula2>
            <xm:f>0</xm:f>
          </x14:formula2>
          <xm:sqref>E6:E65</xm:sqref>
        </x14:dataValidation>
        <x14:dataValidation type="list" allowBlank="1" xr:uid="{00000000-0002-0000-0B00-000005000000}">
          <x14:formula1>
            <xm:f>Games!$C$126:$D$126</xm:f>
          </x14:formula1>
          <x14:formula2>
            <xm:f>0</xm:f>
          </x14:formula2>
          <xm:sqref>F6:F65</xm:sqref>
        </x14:dataValidation>
        <x14:dataValidation type="list" allowBlank="1" xr:uid="{00000000-0002-0000-0B00-000006000000}">
          <x14:formula1>
            <xm:f>Games!$C$127:$D$127</xm:f>
          </x14:formula1>
          <x14:formula2>
            <xm:f>0</xm:f>
          </x14:formula2>
          <xm:sqref>G6:G65</xm:sqref>
        </x14:dataValidation>
        <x14:dataValidation type="list" allowBlank="1" xr:uid="{00000000-0002-0000-0B00-000007000000}">
          <x14:formula1>
            <xm:f>Games!$C$128:$D$128</xm:f>
          </x14:formula1>
          <x14:formula2>
            <xm:f>0</xm:f>
          </x14:formula2>
          <xm:sqref>H6:H65</xm:sqref>
        </x14:dataValidation>
        <x14:dataValidation type="list" allowBlank="1" xr:uid="{00000000-0002-0000-0B00-000008000000}">
          <x14:formula1>
            <xm:f>Games!$C$129:$D$129</xm:f>
          </x14:formula1>
          <x14:formula2>
            <xm:f>0</xm:f>
          </x14:formula2>
          <xm:sqref>I6:I65</xm:sqref>
        </x14:dataValidation>
        <x14:dataValidation type="list" allowBlank="1" xr:uid="{00000000-0002-0000-0B00-000009000000}">
          <x14:formula1>
            <xm:f>Games!$C$130:$D$130</xm:f>
          </x14:formula1>
          <x14:formula2>
            <xm:f>0</xm:f>
          </x14:formula2>
          <xm:sqref>J6:J65</xm:sqref>
        </x14:dataValidation>
        <x14:dataValidation type="list" allowBlank="1" xr:uid="{00000000-0002-0000-0B00-00000A000000}">
          <x14:formula1>
            <xm:f>Games!$C$131:$D$131</xm:f>
          </x14:formula1>
          <x14:formula2>
            <xm:f>0</xm:f>
          </x14:formula2>
          <xm:sqref>K6:K65</xm:sqref>
        </x14:dataValidation>
        <x14:dataValidation type="list" allowBlank="1" xr:uid="{00000000-0002-0000-0B00-00000B000000}">
          <x14:formula1>
            <xm:f>Games!$C$132:$D$132</xm:f>
          </x14:formula1>
          <x14:formula2>
            <xm:f>0</xm:f>
          </x14:formula2>
          <xm:sqref>L6:L65</xm:sqref>
        </x14:dataValidation>
        <x14:dataValidation type="list" allowBlank="1" xr:uid="{00000000-0002-0000-0B00-00000C000000}">
          <x14:formula1>
            <xm:f>Games!$C$133:$D$133</xm:f>
          </x14:formula1>
          <x14:formula2>
            <xm:f>0</xm:f>
          </x14:formula2>
          <xm:sqref>M6:M65</xm:sqref>
        </x14:dataValidation>
        <x14:dataValidation type="list" allowBlank="1" xr:uid="{00000000-0002-0000-0B00-00000D000000}">
          <x14:formula1>
            <xm:f>Games!$C$134:$D$134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324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1&amp;CHAR(10)&amp;Games!C135&amp;" vs "&amp;Games!D135</f>
        <v xml:space="preserve">1
 vs </v>
      </c>
      <c r="C4" s="10" t="str">
        <f>2&amp;CHAR(10)&amp;Games!C136&amp;" vs "&amp;Games!D136</f>
        <v xml:space="preserve">2
 vs </v>
      </c>
      <c r="D4" s="10" t="str">
        <f>3&amp;CHAR(10)&amp;Games!C137&amp;" vs "&amp;Games!D137</f>
        <v xml:space="preserve">3
 vs </v>
      </c>
      <c r="E4" s="10" t="str">
        <f>4&amp;CHAR(10)&amp;Games!C138&amp;" vs "&amp;Games!D138</f>
        <v xml:space="preserve">4
 vs </v>
      </c>
      <c r="F4" s="10" t="str">
        <f>5&amp;CHAR(10)&amp;Games!C139&amp;" vs "&amp;Games!D139</f>
        <v xml:space="preserve">5
 vs </v>
      </c>
      <c r="G4" s="10" t="str">
        <f>6&amp;CHAR(10)&amp;Games!C140&amp;" vs "&amp;Games!D140</f>
        <v xml:space="preserve">6
 vs </v>
      </c>
      <c r="H4" s="10" t="str">
        <f>7&amp;CHAR(10)&amp;Games!C141&amp;" vs "&amp;Games!D141</f>
        <v xml:space="preserve">7
 vs </v>
      </c>
      <c r="I4" s="10" t="str">
        <f>8&amp;CHAR(10)&amp;Games!C142&amp;" vs "&amp;Games!D142</f>
        <v xml:space="preserve">8
 vs </v>
      </c>
      <c r="J4" s="10" t="str">
        <f>9&amp;CHAR(10)&amp;Games!C143&amp;" vs "&amp;Games!D143</f>
        <v xml:space="preserve">9
 vs </v>
      </c>
      <c r="K4" s="10" t="str">
        <f>10&amp;CHAR(10)&amp;Games!C144&amp;" vs "&amp;Games!D144</f>
        <v xml:space="preserve">10
 vs </v>
      </c>
      <c r="L4" s="10" t="str">
        <f>11&amp;CHAR(10)&amp;Games!C145&amp;" vs "&amp;Games!D145</f>
        <v xml:space="preserve">11
 vs </v>
      </c>
      <c r="M4" s="10" t="str">
        <f>12&amp;CHAR(10)&amp;Games!C146&amp;" vs "&amp;Games!D146</f>
        <v xml:space="preserve">12
 vs </v>
      </c>
      <c r="N4" s="10" t="str">
        <f>13&amp;CHAR(10)&amp;Games!C147&amp;" vs "&amp;Games!D147</f>
        <v xml:space="preserve">13
 vs 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 t="str">
        <f>IF(OR(B6="",Results!B15=""),"",IF(B6=Results!B15,1+IF(OR($O6=1,$P6=1,$Q6=1),1,0),0))</f>
        <v/>
      </c>
      <c r="T6" s="4" t="str">
        <f>IF(OR(C6="",Results!C15=""),"",IF(C6=Results!C15,1+IF(OR($O6=2,$P6=2,$Q6=2),1,0),0))</f>
        <v/>
      </c>
      <c r="U6" s="4" t="str">
        <f>IF(OR(D6="",Results!D15=""),"",IF(D6=Results!D15,1+IF(OR($O6=3,$P6=3,$Q6=3),1,0),0))</f>
        <v/>
      </c>
      <c r="V6" s="4" t="str">
        <f>IF(OR(E6="",Results!E15=""),"",IF(E6=Results!E15,1+IF(OR($O6=4,$P6=4,$Q6=4),1,0),0))</f>
        <v/>
      </c>
      <c r="W6" s="4" t="str">
        <f>IF(OR(F6="",Results!F15=""),"",IF(F6=Results!F15,1+IF(OR($O6=5,$P6=5,$Q6=5),1,0),0))</f>
        <v/>
      </c>
      <c r="X6" s="4" t="str">
        <f>IF(OR(G6="",Results!G15=""),"",IF(G6=Results!G15,1+IF(OR($O6=6,$P6=6,$Q6=6),1,0),0))</f>
        <v/>
      </c>
      <c r="Y6" s="4" t="str">
        <f>IF(OR(H6="",Results!H15=""),"",IF(H6=Results!H15,1+IF(OR($O6=7,$P6=7,$Q6=7),1,0),0))</f>
        <v/>
      </c>
      <c r="Z6" s="4" t="str">
        <f>IF(OR(I6="",Results!I15=""),"",IF(I6=Results!I15,1+IF(OR($O6=8,$P6=8,$Q6=8),1,0),0))</f>
        <v/>
      </c>
      <c r="AA6" s="4" t="str">
        <f>IF(OR(J6="",Results!J15=""),"",IF(J6=Results!J15,1+IF(OR($O6=9,$P6=9,$Q6=9),1,0),0))</f>
        <v/>
      </c>
      <c r="AB6" s="4" t="str">
        <f>IF(OR(K6="",Results!K15=""),"",IF(K6=Results!K15,1+IF(OR($O6=10,$P6=10,$Q6=10),1,0),0))</f>
        <v/>
      </c>
      <c r="AC6" s="4" t="str">
        <f>IF(OR(L6="",Results!L15=""),"",IF(L6=Results!L15,1+IF(OR($O6=11,$P6=11,$Q6=11),1,0),0))</f>
        <v/>
      </c>
      <c r="AD6" s="4" t="str">
        <f>IF(OR(M6="",Results!M15=""),"",IF(M6=Results!M15,1+IF(OR($O6=12,$P6=12,$Q6=12),1,0),0))</f>
        <v/>
      </c>
      <c r="AE6" s="4" t="str">
        <f>IF(OR(N6="",Results!N15=""),"",IF(N6=Results!N15,1+IF(OR($O6=13,$P6=13,$Q6=13),1,0),0))</f>
        <v/>
      </c>
      <c r="AF6" s="11">
        <f t="shared" ref="AF6:AF37" si="0">SUM(S6:AE6)</f>
        <v>0</v>
      </c>
      <c r="AG6" s="4" t="str">
        <f>IF(OR($R6="",Results!O15=""),"",ABS($R6-Results!O15))</f>
        <v/>
      </c>
      <c r="AH6" s="12">
        <v>2</v>
      </c>
      <c r="AI6" s="13" t="str">
        <f>IF(OR(B6="",Results!B15=""),"",IF(AND(B6=Results!B15,Results!B15&lt;&gt;Games!$C$135),1,0))</f>
        <v/>
      </c>
      <c r="AJ6" s="13" t="str">
        <f>IF(OR(C6="",Results!C15=""),"",IF(AND(C6=Results!C15,Results!C15&lt;&gt;Games!$C$136),1,0))</f>
        <v/>
      </c>
      <c r="AK6" s="13" t="str">
        <f>IF(OR(D6="",Results!D15=""),"",IF(AND(D6=Results!D15,Results!D15&lt;&gt;Games!$C$137),1,0))</f>
        <v/>
      </c>
      <c r="AL6" s="13" t="str">
        <f>IF(OR(E6="",Results!E15=""),"",IF(AND(E6=Results!E15,Results!E15&lt;&gt;Games!$C$138),1,0))</f>
        <v/>
      </c>
      <c r="AM6" s="13" t="str">
        <f>IF(OR(F6="",Results!F15=""),"",IF(AND(F6=Results!F15,Results!F15&lt;&gt;Games!$C$139),1,0))</f>
        <v/>
      </c>
      <c r="AN6" s="13" t="str">
        <f>IF(OR(G6="",Results!G15=""),"",IF(AND(G6=Results!G15,Results!G15&lt;&gt;Games!$C$140),1,0))</f>
        <v/>
      </c>
      <c r="AO6" s="13" t="str">
        <f>IF(OR(H6="",Results!H15=""),"",IF(AND(H6=Results!H15,Results!H15&lt;&gt;Games!$C$141),1,0))</f>
        <v/>
      </c>
      <c r="AP6" s="13" t="str">
        <f>IF(OR(I6="",Results!I15=""),"",IF(AND(I6=Results!I15,Results!I15&lt;&gt;Games!$C$142),1,0))</f>
        <v/>
      </c>
      <c r="AQ6" s="13" t="str">
        <f>IF(OR(J6="",Results!J15=""),"",IF(AND(J6=Results!J15,Results!J15&lt;&gt;Games!$C$143),1,0))</f>
        <v/>
      </c>
      <c r="AR6" s="13" t="str">
        <f>IF(OR(K6="",Results!K15=""),"",IF(AND(K6=Results!K15,Results!K15&lt;&gt;Games!$C$144),1,0))</f>
        <v/>
      </c>
      <c r="AS6" s="13" t="str">
        <f>IF(OR(L6="",Results!L15=""),"",IF(AND(L6=Results!L15,Results!L15&lt;&gt;Games!$C$145),1,0))</f>
        <v/>
      </c>
      <c r="AT6" s="13" t="str">
        <f>IF(OR(M6="",Results!M15=""),"",IF(AND(M6=Results!M15,Results!M15&lt;&gt;Games!$C$146),1,0))</f>
        <v/>
      </c>
      <c r="AU6" s="13" t="str">
        <f>IF(OR(N6="",Results!N15=""),"",IF(AND(N6=Results!N15,Results!N15&lt;&gt;Games!$C$147),1,0))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IF(OR(B7="",Results!B15=""),"",IF(B7=Results!B15,1+IF(OR($O7=1,$P7=1,$Q7=1),1,0),0))</f>
        <v/>
      </c>
      <c r="T7" s="4" t="str">
        <f>IF(OR(C7="",Results!C15=""),"",IF(C7=Results!C15,1+IF(OR($O7=2,$P7=2,$Q7=2),1,0),0))</f>
        <v/>
      </c>
      <c r="U7" s="4" t="str">
        <f>IF(OR(D7="",Results!D15=""),"",IF(D7=Results!D15,1+IF(OR($O7=3,$P7=3,$Q7=3),1,0),0))</f>
        <v/>
      </c>
      <c r="V7" s="4" t="str">
        <f>IF(OR(E7="",Results!E15=""),"",IF(E7=Results!E15,1+IF(OR($O7=4,$P7=4,$Q7=4),1,0),0))</f>
        <v/>
      </c>
      <c r="W7" s="4" t="str">
        <f>IF(OR(F7="",Results!F15=""),"",IF(F7=Results!F15,1+IF(OR($O7=5,$P7=5,$Q7=5),1,0),0))</f>
        <v/>
      </c>
      <c r="X7" s="4" t="str">
        <f>IF(OR(G7="",Results!G15=""),"",IF(G7=Results!G15,1+IF(OR($O7=6,$P7=6,$Q7=6),1,0),0))</f>
        <v/>
      </c>
      <c r="Y7" s="4" t="str">
        <f>IF(OR(H7="",Results!H15=""),"",IF(H7=Results!H15,1+IF(OR($O7=7,$P7=7,$Q7=7),1,0),0))</f>
        <v/>
      </c>
      <c r="Z7" s="4" t="str">
        <f>IF(OR(I7="",Results!I15=""),"",IF(I7=Results!I15,1+IF(OR($O7=8,$P7=8,$Q7=8),1,0),0))</f>
        <v/>
      </c>
      <c r="AA7" s="4" t="str">
        <f>IF(OR(J7="",Results!J15=""),"",IF(J7=Results!J15,1+IF(OR($O7=9,$P7=9,$Q7=9),1,0),0))</f>
        <v/>
      </c>
      <c r="AB7" s="4" t="str">
        <f>IF(OR(K7="",Results!K15=""),"",IF(K7=Results!K15,1+IF(OR($O7=10,$P7=10,$Q7=10),1,0),0))</f>
        <v/>
      </c>
      <c r="AC7" s="4" t="str">
        <f>IF(OR(L7="",Results!L15=""),"",IF(L7=Results!L15,1+IF(OR($O7=11,$P7=11,$Q7=11),1,0),0))</f>
        <v/>
      </c>
      <c r="AD7" s="4" t="str">
        <f>IF(OR(M7="",Results!M15=""),"",IF(M7=Results!M15,1+IF(OR($O7=12,$P7=12,$Q7=12),1,0),0))</f>
        <v/>
      </c>
      <c r="AE7" s="4" t="str">
        <f>IF(OR(N7="",Results!N15=""),"",IF(N7=Results!N15,1+IF(OR($O7=13,$P7=13,$Q7=13),1,0),0))</f>
        <v/>
      </c>
      <c r="AF7" s="11">
        <f t="shared" si="0"/>
        <v>0</v>
      </c>
      <c r="AG7" s="4" t="str">
        <f>IF(OR($R7="",Results!O15=""),"",ABS($R7-Results!O15))</f>
        <v/>
      </c>
      <c r="AH7" s="12">
        <v>53</v>
      </c>
      <c r="AI7" s="13" t="str">
        <f>IF(OR(B7="",Results!B15=""),"",IF(AND(B7=Results!B15,Results!B15&lt;&gt;Games!$C$135),1,0))</f>
        <v/>
      </c>
      <c r="AJ7" s="13" t="str">
        <f>IF(OR(C7="",Results!C15=""),"",IF(AND(C7=Results!C15,Results!C15&lt;&gt;Games!$C$136),1,0))</f>
        <v/>
      </c>
      <c r="AK7" s="13" t="str">
        <f>IF(OR(D7="",Results!D15=""),"",IF(AND(D7=Results!D15,Results!D15&lt;&gt;Games!$C$137),1,0))</f>
        <v/>
      </c>
      <c r="AL7" s="13" t="str">
        <f>IF(OR(E7="",Results!E15=""),"",IF(AND(E7=Results!E15,Results!E15&lt;&gt;Games!$C$138),1,0))</f>
        <v/>
      </c>
      <c r="AM7" s="13" t="str">
        <f>IF(OR(F7="",Results!F15=""),"",IF(AND(F7=Results!F15,Results!F15&lt;&gt;Games!$C$139),1,0))</f>
        <v/>
      </c>
      <c r="AN7" s="13" t="str">
        <f>IF(OR(G7="",Results!G15=""),"",IF(AND(G7=Results!G15,Results!G15&lt;&gt;Games!$C$140),1,0))</f>
        <v/>
      </c>
      <c r="AO7" s="13" t="str">
        <f>IF(OR(H7="",Results!H15=""),"",IF(AND(H7=Results!H15,Results!H15&lt;&gt;Games!$C$141),1,0))</f>
        <v/>
      </c>
      <c r="AP7" s="13" t="str">
        <f>IF(OR(I7="",Results!I15=""),"",IF(AND(I7=Results!I15,Results!I15&lt;&gt;Games!$C$142),1,0))</f>
        <v/>
      </c>
      <c r="AQ7" s="13" t="str">
        <f>IF(OR(J7="",Results!J15=""),"",IF(AND(J7=Results!J15,Results!J15&lt;&gt;Games!$C$143),1,0))</f>
        <v/>
      </c>
      <c r="AR7" s="13" t="str">
        <f>IF(OR(K7="",Results!K15=""),"",IF(AND(K7=Results!K15,Results!K15&lt;&gt;Games!$C$144),1,0))</f>
        <v/>
      </c>
      <c r="AS7" s="13" t="str">
        <f>IF(OR(L7="",Results!L15=""),"",IF(AND(L7=Results!L15,Results!L15&lt;&gt;Games!$C$145),1,0))</f>
        <v/>
      </c>
      <c r="AT7" s="13" t="str">
        <f>IF(OR(M7="",Results!M15=""),"",IF(AND(M7=Results!M15,Results!M15&lt;&gt;Games!$C$146),1,0))</f>
        <v/>
      </c>
      <c r="AU7" s="13" t="str">
        <f>IF(OR(N7="",Results!N15=""),"",IF(AND(N7=Results!N15,Results!N15&lt;&gt;Games!$C$147),1,0))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" t="str">
        <f>IF(OR(B8="",Results!B15=""),"",IF(B8=Results!B15,1+IF(OR($O8=1,$P8=1,$Q8=1),1,0),0))</f>
        <v/>
      </c>
      <c r="T8" s="4" t="str">
        <f>IF(OR(C8="",Results!C15=""),"",IF(C8=Results!C15,1+IF(OR($O8=2,$P8=2,$Q8=2),1,0),0))</f>
        <v/>
      </c>
      <c r="U8" s="4" t="str">
        <f>IF(OR(D8="",Results!D15=""),"",IF(D8=Results!D15,1+IF(OR($O8=3,$P8=3,$Q8=3),1,0),0))</f>
        <v/>
      </c>
      <c r="V8" s="4" t="str">
        <f>IF(OR(E8="",Results!E15=""),"",IF(E8=Results!E15,1+IF(OR($O8=4,$P8=4,$Q8=4),1,0),0))</f>
        <v/>
      </c>
      <c r="W8" s="4" t="str">
        <f>IF(OR(F8="",Results!F15=""),"",IF(F8=Results!F15,1+IF(OR($O8=5,$P8=5,$Q8=5),1,0),0))</f>
        <v/>
      </c>
      <c r="X8" s="4" t="str">
        <f>IF(OR(G8="",Results!G15=""),"",IF(G8=Results!G15,1+IF(OR($O8=6,$P8=6,$Q8=6),1,0),0))</f>
        <v/>
      </c>
      <c r="Y8" s="4" t="str">
        <f>IF(OR(H8="",Results!H15=""),"",IF(H8=Results!H15,1+IF(OR($O8=7,$P8=7,$Q8=7),1,0),0))</f>
        <v/>
      </c>
      <c r="Z8" s="4" t="str">
        <f>IF(OR(I8="",Results!I15=""),"",IF(I8=Results!I15,1+IF(OR($O8=8,$P8=8,$Q8=8),1,0),0))</f>
        <v/>
      </c>
      <c r="AA8" s="4" t="str">
        <f>IF(OR(J8="",Results!J15=""),"",IF(J8=Results!J15,1+IF(OR($O8=9,$P8=9,$Q8=9),1,0),0))</f>
        <v/>
      </c>
      <c r="AB8" s="4" t="str">
        <f>IF(OR(K8="",Results!K15=""),"",IF(K8=Results!K15,1+IF(OR($O8=10,$P8=10,$Q8=10),1,0),0))</f>
        <v/>
      </c>
      <c r="AC8" s="4" t="str">
        <f>IF(OR(L8="",Results!L15=""),"",IF(L8=Results!L15,1+IF(OR($O8=11,$P8=11,$Q8=11),1,0),0))</f>
        <v/>
      </c>
      <c r="AD8" s="4" t="str">
        <f>IF(OR(M8="",Results!M15=""),"",IF(M8=Results!M15,1+IF(OR($O8=12,$P8=12,$Q8=12),1,0),0))</f>
        <v/>
      </c>
      <c r="AE8" s="4" t="str">
        <f>IF(OR(N8="",Results!N15=""),"",IF(N8=Results!N15,1+IF(OR($O8=13,$P8=13,$Q8=13),1,0),0))</f>
        <v/>
      </c>
      <c r="AF8" s="11">
        <f t="shared" si="0"/>
        <v>0</v>
      </c>
      <c r="AG8" s="4" t="str">
        <f>IF(OR($R8="",Results!O15=""),"",ABS($R8-Results!O15))</f>
        <v/>
      </c>
      <c r="AH8" s="12">
        <v>61</v>
      </c>
      <c r="AI8" s="13" t="str">
        <f>IF(OR(B8="",Results!B15=""),"",IF(AND(B8=Results!B15,Results!B15&lt;&gt;Games!$C$135),1,0))</f>
        <v/>
      </c>
      <c r="AJ8" s="13" t="str">
        <f>IF(OR(C8="",Results!C15=""),"",IF(AND(C8=Results!C15,Results!C15&lt;&gt;Games!$C$136),1,0))</f>
        <v/>
      </c>
      <c r="AK8" s="13" t="str">
        <f>IF(OR(D8="",Results!D15=""),"",IF(AND(D8=Results!D15,Results!D15&lt;&gt;Games!$C$137),1,0))</f>
        <v/>
      </c>
      <c r="AL8" s="13" t="str">
        <f>IF(OR(E8="",Results!E15=""),"",IF(AND(E8=Results!E15,Results!E15&lt;&gt;Games!$C$138),1,0))</f>
        <v/>
      </c>
      <c r="AM8" s="13" t="str">
        <f>IF(OR(F8="",Results!F15=""),"",IF(AND(F8=Results!F15,Results!F15&lt;&gt;Games!$C$139),1,0))</f>
        <v/>
      </c>
      <c r="AN8" s="13" t="str">
        <f>IF(OR(G8="",Results!G15=""),"",IF(AND(G8=Results!G15,Results!G15&lt;&gt;Games!$C$140),1,0))</f>
        <v/>
      </c>
      <c r="AO8" s="13" t="str">
        <f>IF(OR(H8="",Results!H15=""),"",IF(AND(H8=Results!H15,Results!H15&lt;&gt;Games!$C$141),1,0))</f>
        <v/>
      </c>
      <c r="AP8" s="13" t="str">
        <f>IF(OR(I8="",Results!I15=""),"",IF(AND(I8=Results!I15,Results!I15&lt;&gt;Games!$C$142),1,0))</f>
        <v/>
      </c>
      <c r="AQ8" s="13" t="str">
        <f>IF(OR(J8="",Results!J15=""),"",IF(AND(J8=Results!J15,Results!J15&lt;&gt;Games!$C$143),1,0))</f>
        <v/>
      </c>
      <c r="AR8" s="13" t="str">
        <f>IF(OR(K8="",Results!K15=""),"",IF(AND(K8=Results!K15,Results!K15&lt;&gt;Games!$C$144),1,0))</f>
        <v/>
      </c>
      <c r="AS8" s="13" t="str">
        <f>IF(OR(L8="",Results!L15=""),"",IF(AND(L8=Results!L15,Results!L15&lt;&gt;Games!$C$145),1,0))</f>
        <v/>
      </c>
      <c r="AT8" s="13" t="str">
        <f>IF(OR(M8="",Results!M15=""),"",IF(AND(M8=Results!M15,Results!M15&lt;&gt;Games!$C$146),1,0))</f>
        <v/>
      </c>
      <c r="AU8" s="13" t="str">
        <f>IF(OR(N8="",Results!N15=""),"",IF(AND(N8=Results!N15,Results!N15&lt;&gt;Games!$C$147),1,0))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IF(OR(B9="",Results!B15=""),"",IF(B9=Results!B15,1+IF(OR($O9=1,$P9=1,$Q9=1),1,0),0))</f>
        <v/>
      </c>
      <c r="T9" s="4" t="str">
        <f>IF(OR(C9="",Results!C15=""),"",IF(C9=Results!C15,1+IF(OR($O9=2,$P9=2,$Q9=2),1,0),0))</f>
        <v/>
      </c>
      <c r="U9" s="4" t="str">
        <f>IF(OR(D9="",Results!D15=""),"",IF(D9=Results!D15,1+IF(OR($O9=3,$P9=3,$Q9=3),1,0),0))</f>
        <v/>
      </c>
      <c r="V9" s="4" t="str">
        <f>IF(OR(E9="",Results!E15=""),"",IF(E9=Results!E15,1+IF(OR($O9=4,$P9=4,$Q9=4),1,0),0))</f>
        <v/>
      </c>
      <c r="W9" s="4" t="str">
        <f>IF(OR(F9="",Results!F15=""),"",IF(F9=Results!F15,1+IF(OR($O9=5,$P9=5,$Q9=5),1,0),0))</f>
        <v/>
      </c>
      <c r="X9" s="4" t="str">
        <f>IF(OR(G9="",Results!G15=""),"",IF(G9=Results!G15,1+IF(OR($O9=6,$P9=6,$Q9=6),1,0),0))</f>
        <v/>
      </c>
      <c r="Y9" s="4" t="str">
        <f>IF(OR(H9="",Results!H15=""),"",IF(H9=Results!H15,1+IF(OR($O9=7,$P9=7,$Q9=7),1,0),0))</f>
        <v/>
      </c>
      <c r="Z9" s="4" t="str">
        <f>IF(OR(I9="",Results!I15=""),"",IF(I9=Results!I15,1+IF(OR($O9=8,$P9=8,$Q9=8),1,0),0))</f>
        <v/>
      </c>
      <c r="AA9" s="4" t="str">
        <f>IF(OR(J9="",Results!J15=""),"",IF(J9=Results!J15,1+IF(OR($O9=9,$P9=9,$Q9=9),1,0),0))</f>
        <v/>
      </c>
      <c r="AB9" s="4" t="str">
        <f>IF(OR(K9="",Results!K15=""),"",IF(K9=Results!K15,1+IF(OR($O9=10,$P9=10,$Q9=10),1,0),0))</f>
        <v/>
      </c>
      <c r="AC9" s="4" t="str">
        <f>IF(OR(L9="",Results!L15=""),"",IF(L9=Results!L15,1+IF(OR($O9=11,$P9=11,$Q9=11),1,0),0))</f>
        <v/>
      </c>
      <c r="AD9" s="4" t="str">
        <f>IF(OR(M9="",Results!M15=""),"",IF(M9=Results!M15,1+IF(OR($O9=12,$P9=12,$Q9=12),1,0),0))</f>
        <v/>
      </c>
      <c r="AE9" s="4" t="str">
        <f>IF(OR(N9="",Results!N15=""),"",IF(N9=Results!N15,1+IF(OR($O9=13,$P9=13,$Q9=13),1,0),0))</f>
        <v/>
      </c>
      <c r="AF9" s="11">
        <f t="shared" si="0"/>
        <v>0</v>
      </c>
      <c r="AG9" s="4" t="str">
        <f>IF(OR($R9="",Results!O15=""),"",ABS($R9-Results!O15))</f>
        <v/>
      </c>
      <c r="AH9" s="12">
        <v>41</v>
      </c>
      <c r="AI9" s="13" t="str">
        <f>IF(OR(B9="",Results!B15=""),"",IF(AND(B9=Results!B15,Results!B15&lt;&gt;Games!$C$135),1,0))</f>
        <v/>
      </c>
      <c r="AJ9" s="13" t="str">
        <f>IF(OR(C9="",Results!C15=""),"",IF(AND(C9=Results!C15,Results!C15&lt;&gt;Games!$C$136),1,0))</f>
        <v/>
      </c>
      <c r="AK9" s="13" t="str">
        <f>IF(OR(D9="",Results!D15=""),"",IF(AND(D9=Results!D15,Results!D15&lt;&gt;Games!$C$137),1,0))</f>
        <v/>
      </c>
      <c r="AL9" s="13" t="str">
        <f>IF(OR(E9="",Results!E15=""),"",IF(AND(E9=Results!E15,Results!E15&lt;&gt;Games!$C$138),1,0))</f>
        <v/>
      </c>
      <c r="AM9" s="13" t="str">
        <f>IF(OR(F9="",Results!F15=""),"",IF(AND(F9=Results!F15,Results!F15&lt;&gt;Games!$C$139),1,0))</f>
        <v/>
      </c>
      <c r="AN9" s="13" t="str">
        <f>IF(OR(G9="",Results!G15=""),"",IF(AND(G9=Results!G15,Results!G15&lt;&gt;Games!$C$140),1,0))</f>
        <v/>
      </c>
      <c r="AO9" s="13" t="str">
        <f>IF(OR(H9="",Results!H15=""),"",IF(AND(H9=Results!H15,Results!H15&lt;&gt;Games!$C$141),1,0))</f>
        <v/>
      </c>
      <c r="AP9" s="13" t="str">
        <f>IF(OR(I9="",Results!I15=""),"",IF(AND(I9=Results!I15,Results!I15&lt;&gt;Games!$C$142),1,0))</f>
        <v/>
      </c>
      <c r="AQ9" s="13" t="str">
        <f>IF(OR(J9="",Results!J15=""),"",IF(AND(J9=Results!J15,Results!J15&lt;&gt;Games!$C$143),1,0))</f>
        <v/>
      </c>
      <c r="AR9" s="13" t="str">
        <f>IF(OR(K9="",Results!K15=""),"",IF(AND(K9=Results!K15,Results!K15&lt;&gt;Games!$C$144),1,0))</f>
        <v/>
      </c>
      <c r="AS9" s="13" t="str">
        <f>IF(OR(L9="",Results!L15=""),"",IF(AND(L9=Results!L15,Results!L15&lt;&gt;Games!$C$145),1,0))</f>
        <v/>
      </c>
      <c r="AT9" s="13" t="str">
        <f>IF(OR(M9="",Results!M15=""),"",IF(AND(M9=Results!M15,Results!M15&lt;&gt;Games!$C$146),1,0))</f>
        <v/>
      </c>
      <c r="AU9" s="13" t="str">
        <f>IF(OR(N9="",Results!N15=""),"",IF(AND(N9=Results!N15,Results!N15&lt;&gt;Games!$C$147),1,0))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tr">
        <f>IF(OR(B10="",Results!B15=""),"",IF(B10=Results!B15,1+IF(OR($O10=1,$P10=1,$Q10=1),1,0),0))</f>
        <v/>
      </c>
      <c r="T10" s="4" t="str">
        <f>IF(OR(C10="",Results!C15=""),"",IF(C10=Results!C15,1+IF(OR($O10=2,$P10=2,$Q10=2),1,0),0))</f>
        <v/>
      </c>
      <c r="U10" s="4" t="str">
        <f>IF(OR(D10="",Results!D15=""),"",IF(D10=Results!D15,1+IF(OR($O10=3,$P10=3,$Q10=3),1,0),0))</f>
        <v/>
      </c>
      <c r="V10" s="4" t="str">
        <f>IF(OR(E10="",Results!E15=""),"",IF(E10=Results!E15,1+IF(OR($O10=4,$P10=4,$Q10=4),1,0),0))</f>
        <v/>
      </c>
      <c r="W10" s="4" t="str">
        <f>IF(OR(F10="",Results!F15=""),"",IF(F10=Results!F15,1+IF(OR($O10=5,$P10=5,$Q10=5),1,0),0))</f>
        <v/>
      </c>
      <c r="X10" s="4" t="str">
        <f>IF(OR(G10="",Results!G15=""),"",IF(G10=Results!G15,1+IF(OR($O10=6,$P10=6,$Q10=6),1,0),0))</f>
        <v/>
      </c>
      <c r="Y10" s="4" t="str">
        <f>IF(OR(H10="",Results!H15=""),"",IF(H10=Results!H15,1+IF(OR($O10=7,$P10=7,$Q10=7),1,0),0))</f>
        <v/>
      </c>
      <c r="Z10" s="4" t="str">
        <f>IF(OR(I10="",Results!I15=""),"",IF(I10=Results!I15,1+IF(OR($O10=8,$P10=8,$Q10=8),1,0),0))</f>
        <v/>
      </c>
      <c r="AA10" s="4" t="str">
        <f>IF(OR(J10="",Results!J15=""),"",IF(J10=Results!J15,1+IF(OR($O10=9,$P10=9,$Q10=9),1,0),0))</f>
        <v/>
      </c>
      <c r="AB10" s="4" t="str">
        <f>IF(OR(K10="",Results!K15=""),"",IF(K10=Results!K15,1+IF(OR($O10=10,$P10=10,$Q10=10),1,0),0))</f>
        <v/>
      </c>
      <c r="AC10" s="4" t="str">
        <f>IF(OR(L10="",Results!L15=""),"",IF(L10=Results!L15,1+IF(OR($O10=11,$P10=11,$Q10=11),1,0),0))</f>
        <v/>
      </c>
      <c r="AD10" s="4" t="str">
        <f>IF(OR(M10="",Results!M15=""),"",IF(M10=Results!M15,1+IF(OR($O10=12,$P10=12,$Q10=12),1,0),0))</f>
        <v/>
      </c>
      <c r="AE10" s="4" t="str">
        <f>IF(OR(N10="",Results!N15=""),"",IF(N10=Results!N15,1+IF(OR($O10=13,$P10=13,$Q10=13),1,0),0))</f>
        <v/>
      </c>
      <c r="AF10" s="11">
        <f t="shared" si="0"/>
        <v>0</v>
      </c>
      <c r="AG10" s="4" t="str">
        <f>IF(OR($R10="",Results!O15=""),"",ABS($R10-Results!O15))</f>
        <v/>
      </c>
      <c r="AH10" s="12">
        <v>3</v>
      </c>
      <c r="AI10" s="13" t="str">
        <f>IF(OR(B10="",Results!B15=""),"",IF(AND(B10=Results!B15,Results!B15&lt;&gt;Games!$C$135),1,0))</f>
        <v/>
      </c>
      <c r="AJ10" s="13" t="str">
        <f>IF(OR(C10="",Results!C15=""),"",IF(AND(C10=Results!C15,Results!C15&lt;&gt;Games!$C$136),1,0))</f>
        <v/>
      </c>
      <c r="AK10" s="13" t="str">
        <f>IF(OR(D10="",Results!D15=""),"",IF(AND(D10=Results!D15,Results!D15&lt;&gt;Games!$C$137),1,0))</f>
        <v/>
      </c>
      <c r="AL10" s="13" t="str">
        <f>IF(OR(E10="",Results!E15=""),"",IF(AND(E10=Results!E15,Results!E15&lt;&gt;Games!$C$138),1,0))</f>
        <v/>
      </c>
      <c r="AM10" s="13" t="str">
        <f>IF(OR(F10="",Results!F15=""),"",IF(AND(F10=Results!F15,Results!F15&lt;&gt;Games!$C$139),1,0))</f>
        <v/>
      </c>
      <c r="AN10" s="13" t="str">
        <f>IF(OR(G10="",Results!G15=""),"",IF(AND(G10=Results!G15,Results!G15&lt;&gt;Games!$C$140),1,0))</f>
        <v/>
      </c>
      <c r="AO10" s="13" t="str">
        <f>IF(OR(H10="",Results!H15=""),"",IF(AND(H10=Results!H15,Results!H15&lt;&gt;Games!$C$141),1,0))</f>
        <v/>
      </c>
      <c r="AP10" s="13" t="str">
        <f>IF(OR(I10="",Results!I15=""),"",IF(AND(I10=Results!I15,Results!I15&lt;&gt;Games!$C$142),1,0))</f>
        <v/>
      </c>
      <c r="AQ10" s="13" t="str">
        <f>IF(OR(J10="",Results!J15=""),"",IF(AND(J10=Results!J15,Results!J15&lt;&gt;Games!$C$143),1,0))</f>
        <v/>
      </c>
      <c r="AR10" s="13" t="str">
        <f>IF(OR(K10="",Results!K15=""),"",IF(AND(K10=Results!K15,Results!K15&lt;&gt;Games!$C$144),1,0))</f>
        <v/>
      </c>
      <c r="AS10" s="13" t="str">
        <f>IF(OR(L10="",Results!L15=""),"",IF(AND(L10=Results!L15,Results!L15&lt;&gt;Games!$C$145),1,0))</f>
        <v/>
      </c>
      <c r="AT10" s="13" t="str">
        <f>IF(OR(M10="",Results!M15=""),"",IF(AND(M10=Results!M15,Results!M15&lt;&gt;Games!$C$146),1,0))</f>
        <v/>
      </c>
      <c r="AU10" s="13" t="str">
        <f>IF(OR(N10="",Results!N15=""),"",IF(AND(N10=Results!N15,Results!N15&lt;&gt;Games!$C$147),1,0))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IF(OR(B11="",Results!B15=""),"",IF(B11=Results!B15,1+IF(OR($O11=1,$P11=1,$Q11=1),1,0),0))</f>
        <v/>
      </c>
      <c r="T11" s="4" t="str">
        <f>IF(OR(C11="",Results!C15=""),"",IF(C11=Results!C15,1+IF(OR($O11=2,$P11=2,$Q11=2),1,0),0))</f>
        <v/>
      </c>
      <c r="U11" s="4" t="str">
        <f>IF(OR(D11="",Results!D15=""),"",IF(D11=Results!D15,1+IF(OR($O11=3,$P11=3,$Q11=3),1,0),0))</f>
        <v/>
      </c>
      <c r="V11" s="4" t="str">
        <f>IF(OR(E11="",Results!E15=""),"",IF(E11=Results!E15,1+IF(OR($O11=4,$P11=4,$Q11=4),1,0),0))</f>
        <v/>
      </c>
      <c r="W11" s="4" t="str">
        <f>IF(OR(F11="",Results!F15=""),"",IF(F11=Results!F15,1+IF(OR($O11=5,$P11=5,$Q11=5),1,0),0))</f>
        <v/>
      </c>
      <c r="X11" s="4" t="str">
        <f>IF(OR(G11="",Results!G15=""),"",IF(G11=Results!G15,1+IF(OR($O11=6,$P11=6,$Q11=6),1,0),0))</f>
        <v/>
      </c>
      <c r="Y11" s="4" t="str">
        <f>IF(OR(H11="",Results!H15=""),"",IF(H11=Results!H15,1+IF(OR($O11=7,$P11=7,$Q11=7),1,0),0))</f>
        <v/>
      </c>
      <c r="Z11" s="4" t="str">
        <f>IF(OR(I11="",Results!I15=""),"",IF(I11=Results!I15,1+IF(OR($O11=8,$P11=8,$Q11=8),1,0),0))</f>
        <v/>
      </c>
      <c r="AA11" s="4" t="str">
        <f>IF(OR(J11="",Results!J15=""),"",IF(J11=Results!J15,1+IF(OR($O11=9,$P11=9,$Q11=9),1,0),0))</f>
        <v/>
      </c>
      <c r="AB11" s="4" t="str">
        <f>IF(OR(K11="",Results!K15=""),"",IF(K11=Results!K15,1+IF(OR($O11=10,$P11=10,$Q11=10),1,0),0))</f>
        <v/>
      </c>
      <c r="AC11" s="4" t="str">
        <f>IF(OR(L11="",Results!L15=""),"",IF(L11=Results!L15,1+IF(OR($O11=11,$P11=11,$Q11=11),1,0),0))</f>
        <v/>
      </c>
      <c r="AD11" s="4" t="str">
        <f>IF(OR(M11="",Results!M15=""),"",IF(M11=Results!M15,1+IF(OR($O11=12,$P11=12,$Q11=12),1,0),0))</f>
        <v/>
      </c>
      <c r="AE11" s="4" t="str">
        <f>IF(OR(N11="",Results!N15=""),"",IF(N11=Results!N15,1+IF(OR($O11=13,$P11=13,$Q11=13),1,0),0))</f>
        <v/>
      </c>
      <c r="AF11" s="11">
        <f t="shared" si="0"/>
        <v>0</v>
      </c>
      <c r="AG11" s="4" t="str">
        <f>IF(OR($R11="",Results!O15=""),"",ABS($R11-Results!O15))</f>
        <v/>
      </c>
      <c r="AH11" s="12">
        <v>58</v>
      </c>
      <c r="AI11" s="13" t="str">
        <f>IF(OR(B11="",Results!B15=""),"",IF(AND(B11=Results!B15,Results!B15&lt;&gt;Games!$C$135),1,0))</f>
        <v/>
      </c>
      <c r="AJ11" s="13" t="str">
        <f>IF(OR(C11="",Results!C15=""),"",IF(AND(C11=Results!C15,Results!C15&lt;&gt;Games!$C$136),1,0))</f>
        <v/>
      </c>
      <c r="AK11" s="13" t="str">
        <f>IF(OR(D11="",Results!D15=""),"",IF(AND(D11=Results!D15,Results!D15&lt;&gt;Games!$C$137),1,0))</f>
        <v/>
      </c>
      <c r="AL11" s="13" t="str">
        <f>IF(OR(E11="",Results!E15=""),"",IF(AND(E11=Results!E15,Results!E15&lt;&gt;Games!$C$138),1,0))</f>
        <v/>
      </c>
      <c r="AM11" s="13" t="str">
        <f>IF(OR(F11="",Results!F15=""),"",IF(AND(F11=Results!F15,Results!F15&lt;&gt;Games!$C$139),1,0))</f>
        <v/>
      </c>
      <c r="AN11" s="13" t="str">
        <f>IF(OR(G11="",Results!G15=""),"",IF(AND(G11=Results!G15,Results!G15&lt;&gt;Games!$C$140),1,0))</f>
        <v/>
      </c>
      <c r="AO11" s="13" t="str">
        <f>IF(OR(H11="",Results!H15=""),"",IF(AND(H11=Results!H15,Results!H15&lt;&gt;Games!$C$141),1,0))</f>
        <v/>
      </c>
      <c r="AP11" s="13" t="str">
        <f>IF(OR(I11="",Results!I15=""),"",IF(AND(I11=Results!I15,Results!I15&lt;&gt;Games!$C$142),1,0))</f>
        <v/>
      </c>
      <c r="AQ11" s="13" t="str">
        <f>IF(OR(J11="",Results!J15=""),"",IF(AND(J11=Results!J15,Results!J15&lt;&gt;Games!$C$143),1,0))</f>
        <v/>
      </c>
      <c r="AR11" s="13" t="str">
        <f>IF(OR(K11="",Results!K15=""),"",IF(AND(K11=Results!K15,Results!K15&lt;&gt;Games!$C$144),1,0))</f>
        <v/>
      </c>
      <c r="AS11" s="13" t="str">
        <f>IF(OR(L11="",Results!L15=""),"",IF(AND(L11=Results!L15,Results!L15&lt;&gt;Games!$C$145),1,0))</f>
        <v/>
      </c>
      <c r="AT11" s="13" t="str">
        <f>IF(OR(M11="",Results!M15=""),"",IF(AND(M11=Results!M15,Results!M15&lt;&gt;Games!$C$146),1,0))</f>
        <v/>
      </c>
      <c r="AU11" s="13" t="str">
        <f>IF(OR(N11="",Results!N15=""),"",IF(AND(N11=Results!N15,Results!N15&lt;&gt;Games!$C$147),1,0))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 t="str">
        <f>IF(OR(B12="",Results!B15=""),"",IF(B12=Results!B15,1+IF(OR($O12=1,$P12=1,$Q12=1),1,0),0))</f>
        <v/>
      </c>
      <c r="T12" s="4" t="str">
        <f>IF(OR(C12="",Results!C15=""),"",IF(C12=Results!C15,1+IF(OR($O12=2,$P12=2,$Q12=2),1,0),0))</f>
        <v/>
      </c>
      <c r="U12" s="4" t="str">
        <f>IF(OR(D12="",Results!D15=""),"",IF(D12=Results!D15,1+IF(OR($O12=3,$P12=3,$Q12=3),1,0),0))</f>
        <v/>
      </c>
      <c r="V12" s="4" t="str">
        <f>IF(OR(E12="",Results!E15=""),"",IF(E12=Results!E15,1+IF(OR($O12=4,$P12=4,$Q12=4),1,0),0))</f>
        <v/>
      </c>
      <c r="W12" s="4" t="str">
        <f>IF(OR(F12="",Results!F15=""),"",IF(F12=Results!F15,1+IF(OR($O12=5,$P12=5,$Q12=5),1,0),0))</f>
        <v/>
      </c>
      <c r="X12" s="4" t="str">
        <f>IF(OR(G12="",Results!G15=""),"",IF(G12=Results!G15,1+IF(OR($O12=6,$P12=6,$Q12=6),1,0),0))</f>
        <v/>
      </c>
      <c r="Y12" s="4" t="str">
        <f>IF(OR(H12="",Results!H15=""),"",IF(H12=Results!H15,1+IF(OR($O12=7,$P12=7,$Q12=7),1,0),0))</f>
        <v/>
      </c>
      <c r="Z12" s="4" t="str">
        <f>IF(OR(I12="",Results!I15=""),"",IF(I12=Results!I15,1+IF(OR($O12=8,$P12=8,$Q12=8),1,0),0))</f>
        <v/>
      </c>
      <c r="AA12" s="4" t="str">
        <f>IF(OR(J12="",Results!J15=""),"",IF(J12=Results!J15,1+IF(OR($O12=9,$P12=9,$Q12=9),1,0),0))</f>
        <v/>
      </c>
      <c r="AB12" s="4" t="str">
        <f>IF(OR(K12="",Results!K15=""),"",IF(K12=Results!K15,1+IF(OR($O12=10,$P12=10,$Q12=10),1,0),0))</f>
        <v/>
      </c>
      <c r="AC12" s="4" t="str">
        <f>IF(OR(L12="",Results!L15=""),"",IF(L12=Results!L15,1+IF(OR($O12=11,$P12=11,$Q12=11),1,0),0))</f>
        <v/>
      </c>
      <c r="AD12" s="4" t="str">
        <f>IF(OR(M12="",Results!M15=""),"",IF(M12=Results!M15,1+IF(OR($O12=12,$P12=12,$Q12=12),1,0),0))</f>
        <v/>
      </c>
      <c r="AE12" s="4" t="str">
        <f>IF(OR(N12="",Results!N15=""),"",IF(N12=Results!N15,1+IF(OR($O12=13,$P12=13,$Q12=13),1,0),0))</f>
        <v/>
      </c>
      <c r="AF12" s="11">
        <f t="shared" si="0"/>
        <v>0</v>
      </c>
      <c r="AG12" s="4" t="str">
        <f>IF(OR($R12="",Results!O15=""),"",ABS($R12-Results!O15))</f>
        <v/>
      </c>
      <c r="AH12" s="12">
        <v>4</v>
      </c>
      <c r="AI12" s="13" t="str">
        <f>IF(OR(B12="",Results!B15=""),"",IF(AND(B12=Results!B15,Results!B15&lt;&gt;Games!$C$135),1,0))</f>
        <v/>
      </c>
      <c r="AJ12" s="13" t="str">
        <f>IF(OR(C12="",Results!C15=""),"",IF(AND(C12=Results!C15,Results!C15&lt;&gt;Games!$C$136),1,0))</f>
        <v/>
      </c>
      <c r="AK12" s="13" t="str">
        <f>IF(OR(D12="",Results!D15=""),"",IF(AND(D12=Results!D15,Results!D15&lt;&gt;Games!$C$137),1,0))</f>
        <v/>
      </c>
      <c r="AL12" s="13" t="str">
        <f>IF(OR(E12="",Results!E15=""),"",IF(AND(E12=Results!E15,Results!E15&lt;&gt;Games!$C$138),1,0))</f>
        <v/>
      </c>
      <c r="AM12" s="13" t="str">
        <f>IF(OR(F12="",Results!F15=""),"",IF(AND(F12=Results!F15,Results!F15&lt;&gt;Games!$C$139),1,0))</f>
        <v/>
      </c>
      <c r="AN12" s="13" t="str">
        <f>IF(OR(G12="",Results!G15=""),"",IF(AND(G12=Results!G15,Results!G15&lt;&gt;Games!$C$140),1,0))</f>
        <v/>
      </c>
      <c r="AO12" s="13" t="str">
        <f>IF(OR(H12="",Results!H15=""),"",IF(AND(H12=Results!H15,Results!H15&lt;&gt;Games!$C$141),1,0))</f>
        <v/>
      </c>
      <c r="AP12" s="13" t="str">
        <f>IF(OR(I12="",Results!I15=""),"",IF(AND(I12=Results!I15,Results!I15&lt;&gt;Games!$C$142),1,0))</f>
        <v/>
      </c>
      <c r="AQ12" s="13" t="str">
        <f>IF(OR(J12="",Results!J15=""),"",IF(AND(J12=Results!J15,Results!J15&lt;&gt;Games!$C$143),1,0))</f>
        <v/>
      </c>
      <c r="AR12" s="13" t="str">
        <f>IF(OR(K12="",Results!K15=""),"",IF(AND(K12=Results!K15,Results!K15&lt;&gt;Games!$C$144),1,0))</f>
        <v/>
      </c>
      <c r="AS12" s="13" t="str">
        <f>IF(OR(L12="",Results!L15=""),"",IF(AND(L12=Results!L15,Results!L15&lt;&gt;Games!$C$145),1,0))</f>
        <v/>
      </c>
      <c r="AT12" s="13" t="str">
        <f>IF(OR(M12="",Results!M15=""),"",IF(AND(M12=Results!M15,Results!M15&lt;&gt;Games!$C$146),1,0))</f>
        <v/>
      </c>
      <c r="AU12" s="13" t="str">
        <f>IF(OR(N12="",Results!N15=""),"",IF(AND(N12=Results!N15,Results!N15&lt;&gt;Games!$C$147),1,0))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IF(OR(B13="",Results!B15=""),"",IF(B13=Results!B15,1+IF(OR($O13=1,$P13=1,$Q13=1),1,0),0))</f>
        <v/>
      </c>
      <c r="T13" s="4" t="str">
        <f>IF(OR(C13="",Results!C15=""),"",IF(C13=Results!C15,1+IF(OR($O13=2,$P13=2,$Q13=2),1,0),0))</f>
        <v/>
      </c>
      <c r="U13" s="4" t="str">
        <f>IF(OR(D13="",Results!D15=""),"",IF(D13=Results!D15,1+IF(OR($O13=3,$P13=3,$Q13=3),1,0),0))</f>
        <v/>
      </c>
      <c r="V13" s="4" t="str">
        <f>IF(OR(E13="",Results!E15=""),"",IF(E13=Results!E15,1+IF(OR($O13=4,$P13=4,$Q13=4),1,0),0))</f>
        <v/>
      </c>
      <c r="W13" s="4" t="str">
        <f>IF(OR(F13="",Results!F15=""),"",IF(F13=Results!F15,1+IF(OR($O13=5,$P13=5,$Q13=5),1,0),0))</f>
        <v/>
      </c>
      <c r="X13" s="4" t="str">
        <f>IF(OR(G13="",Results!G15=""),"",IF(G13=Results!G15,1+IF(OR($O13=6,$P13=6,$Q13=6),1,0),0))</f>
        <v/>
      </c>
      <c r="Y13" s="4" t="str">
        <f>IF(OR(H13="",Results!H15=""),"",IF(H13=Results!H15,1+IF(OR($O13=7,$P13=7,$Q13=7),1,0),0))</f>
        <v/>
      </c>
      <c r="Z13" s="4" t="str">
        <f>IF(OR(I13="",Results!I15=""),"",IF(I13=Results!I15,1+IF(OR($O13=8,$P13=8,$Q13=8),1,0),0))</f>
        <v/>
      </c>
      <c r="AA13" s="4" t="str">
        <f>IF(OR(J13="",Results!J15=""),"",IF(J13=Results!J15,1+IF(OR($O13=9,$P13=9,$Q13=9),1,0),0))</f>
        <v/>
      </c>
      <c r="AB13" s="4" t="str">
        <f>IF(OR(K13="",Results!K15=""),"",IF(K13=Results!K15,1+IF(OR($O13=10,$P13=10,$Q13=10),1,0),0))</f>
        <v/>
      </c>
      <c r="AC13" s="4" t="str">
        <f>IF(OR(L13="",Results!L15=""),"",IF(L13=Results!L15,1+IF(OR($O13=11,$P13=11,$Q13=11),1,0),0))</f>
        <v/>
      </c>
      <c r="AD13" s="4" t="str">
        <f>IF(OR(M13="",Results!M15=""),"",IF(M13=Results!M15,1+IF(OR($O13=12,$P13=12,$Q13=12),1,0),0))</f>
        <v/>
      </c>
      <c r="AE13" s="4" t="str">
        <f>IF(OR(N13="",Results!N15=""),"",IF(N13=Results!N15,1+IF(OR($O13=13,$P13=13,$Q13=13),1,0),0))</f>
        <v/>
      </c>
      <c r="AF13" s="11">
        <f t="shared" si="0"/>
        <v>0</v>
      </c>
      <c r="AG13" s="4" t="str">
        <f>IF(OR($R13="",Results!O15=""),"",ABS($R13-Results!O15))</f>
        <v/>
      </c>
      <c r="AH13" s="12">
        <v>57</v>
      </c>
      <c r="AI13" s="13" t="str">
        <f>IF(OR(B13="",Results!B15=""),"",IF(AND(B13=Results!B15,Results!B15&lt;&gt;Games!$C$135),1,0))</f>
        <v/>
      </c>
      <c r="AJ13" s="13" t="str">
        <f>IF(OR(C13="",Results!C15=""),"",IF(AND(C13=Results!C15,Results!C15&lt;&gt;Games!$C$136),1,0))</f>
        <v/>
      </c>
      <c r="AK13" s="13" t="str">
        <f>IF(OR(D13="",Results!D15=""),"",IF(AND(D13=Results!D15,Results!D15&lt;&gt;Games!$C$137),1,0))</f>
        <v/>
      </c>
      <c r="AL13" s="13" t="str">
        <f>IF(OR(E13="",Results!E15=""),"",IF(AND(E13=Results!E15,Results!E15&lt;&gt;Games!$C$138),1,0))</f>
        <v/>
      </c>
      <c r="AM13" s="13" t="str">
        <f>IF(OR(F13="",Results!F15=""),"",IF(AND(F13=Results!F15,Results!F15&lt;&gt;Games!$C$139),1,0))</f>
        <v/>
      </c>
      <c r="AN13" s="13" t="str">
        <f>IF(OR(G13="",Results!G15=""),"",IF(AND(G13=Results!G15,Results!G15&lt;&gt;Games!$C$140),1,0))</f>
        <v/>
      </c>
      <c r="AO13" s="13" t="str">
        <f>IF(OR(H13="",Results!H15=""),"",IF(AND(H13=Results!H15,Results!H15&lt;&gt;Games!$C$141),1,0))</f>
        <v/>
      </c>
      <c r="AP13" s="13" t="str">
        <f>IF(OR(I13="",Results!I15=""),"",IF(AND(I13=Results!I15,Results!I15&lt;&gt;Games!$C$142),1,0))</f>
        <v/>
      </c>
      <c r="AQ13" s="13" t="str">
        <f>IF(OR(J13="",Results!J15=""),"",IF(AND(J13=Results!J15,Results!J15&lt;&gt;Games!$C$143),1,0))</f>
        <v/>
      </c>
      <c r="AR13" s="13" t="str">
        <f>IF(OR(K13="",Results!K15=""),"",IF(AND(K13=Results!K15,Results!K15&lt;&gt;Games!$C$144),1,0))</f>
        <v/>
      </c>
      <c r="AS13" s="13" t="str">
        <f>IF(OR(L13="",Results!L15=""),"",IF(AND(L13=Results!L15,Results!L15&lt;&gt;Games!$C$145),1,0))</f>
        <v/>
      </c>
      <c r="AT13" s="13" t="str">
        <f>IF(OR(M13="",Results!M15=""),"",IF(AND(M13=Results!M15,Results!M15&lt;&gt;Games!$C$146),1,0))</f>
        <v/>
      </c>
      <c r="AU13" s="13" t="str">
        <f>IF(OR(N13="",Results!N15=""),"",IF(AND(N13=Results!N15,Results!N15&lt;&gt;Games!$C$147),1,0))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 t="str">
        <f>IF(OR(B14="",Results!B15=""),"",IF(B14=Results!B15,1+IF(OR($O14=1,$P14=1,$Q14=1),1,0),0))</f>
        <v/>
      </c>
      <c r="T14" s="4" t="str">
        <f>IF(OR(C14="",Results!C15=""),"",IF(C14=Results!C15,1+IF(OR($O14=2,$P14=2,$Q14=2),1,0),0))</f>
        <v/>
      </c>
      <c r="U14" s="4" t="str">
        <f>IF(OR(D14="",Results!D15=""),"",IF(D14=Results!D15,1+IF(OR($O14=3,$P14=3,$Q14=3),1,0),0))</f>
        <v/>
      </c>
      <c r="V14" s="4" t="str">
        <f>IF(OR(E14="",Results!E15=""),"",IF(E14=Results!E15,1+IF(OR($O14=4,$P14=4,$Q14=4),1,0),0))</f>
        <v/>
      </c>
      <c r="W14" s="4" t="str">
        <f>IF(OR(F14="",Results!F15=""),"",IF(F14=Results!F15,1+IF(OR($O14=5,$P14=5,$Q14=5),1,0),0))</f>
        <v/>
      </c>
      <c r="X14" s="4" t="str">
        <f>IF(OR(G14="",Results!G15=""),"",IF(G14=Results!G15,1+IF(OR($O14=6,$P14=6,$Q14=6),1,0),0))</f>
        <v/>
      </c>
      <c r="Y14" s="4" t="str">
        <f>IF(OR(H14="",Results!H15=""),"",IF(H14=Results!H15,1+IF(OR($O14=7,$P14=7,$Q14=7),1,0),0))</f>
        <v/>
      </c>
      <c r="Z14" s="4" t="str">
        <f>IF(OR(I14="",Results!I15=""),"",IF(I14=Results!I15,1+IF(OR($O14=8,$P14=8,$Q14=8),1,0),0))</f>
        <v/>
      </c>
      <c r="AA14" s="4" t="str">
        <f>IF(OR(J14="",Results!J15=""),"",IF(J14=Results!J15,1+IF(OR($O14=9,$P14=9,$Q14=9),1,0),0))</f>
        <v/>
      </c>
      <c r="AB14" s="4" t="str">
        <f>IF(OR(K14="",Results!K15=""),"",IF(K14=Results!K15,1+IF(OR($O14=10,$P14=10,$Q14=10),1,0),0))</f>
        <v/>
      </c>
      <c r="AC14" s="4" t="str">
        <f>IF(OR(L14="",Results!L15=""),"",IF(L14=Results!L15,1+IF(OR($O14=11,$P14=11,$Q14=11),1,0),0))</f>
        <v/>
      </c>
      <c r="AD14" s="4" t="str">
        <f>IF(OR(M14="",Results!M15=""),"",IF(M14=Results!M15,1+IF(OR($O14=12,$P14=12,$Q14=12),1,0),0))</f>
        <v/>
      </c>
      <c r="AE14" s="4" t="str">
        <f>IF(OR(N14="",Results!N15=""),"",IF(N14=Results!N15,1+IF(OR($O14=13,$P14=13,$Q14=13),1,0),0))</f>
        <v/>
      </c>
      <c r="AF14" s="11">
        <f t="shared" si="0"/>
        <v>0</v>
      </c>
      <c r="AG14" s="4" t="str">
        <f>IF(OR($R14="",Results!O15=""),"",ABS($R14-Results!O15))</f>
        <v/>
      </c>
      <c r="AH14" s="12">
        <v>6</v>
      </c>
      <c r="AI14" s="13" t="str">
        <f>IF(OR(B14="",Results!B15=""),"",IF(AND(B14=Results!B15,Results!B15&lt;&gt;Games!$C$135),1,0))</f>
        <v/>
      </c>
      <c r="AJ14" s="13" t="str">
        <f>IF(OR(C14="",Results!C15=""),"",IF(AND(C14=Results!C15,Results!C15&lt;&gt;Games!$C$136),1,0))</f>
        <v/>
      </c>
      <c r="AK14" s="13" t="str">
        <f>IF(OR(D14="",Results!D15=""),"",IF(AND(D14=Results!D15,Results!D15&lt;&gt;Games!$C$137),1,0))</f>
        <v/>
      </c>
      <c r="AL14" s="13" t="str">
        <f>IF(OR(E14="",Results!E15=""),"",IF(AND(E14=Results!E15,Results!E15&lt;&gt;Games!$C$138),1,0))</f>
        <v/>
      </c>
      <c r="AM14" s="13" t="str">
        <f>IF(OR(F14="",Results!F15=""),"",IF(AND(F14=Results!F15,Results!F15&lt;&gt;Games!$C$139),1,0))</f>
        <v/>
      </c>
      <c r="AN14" s="13" t="str">
        <f>IF(OR(G14="",Results!G15=""),"",IF(AND(G14=Results!G15,Results!G15&lt;&gt;Games!$C$140),1,0))</f>
        <v/>
      </c>
      <c r="AO14" s="13" t="str">
        <f>IF(OR(H14="",Results!H15=""),"",IF(AND(H14=Results!H15,Results!H15&lt;&gt;Games!$C$141),1,0))</f>
        <v/>
      </c>
      <c r="AP14" s="13" t="str">
        <f>IF(OR(I14="",Results!I15=""),"",IF(AND(I14=Results!I15,Results!I15&lt;&gt;Games!$C$142),1,0))</f>
        <v/>
      </c>
      <c r="AQ14" s="13" t="str">
        <f>IF(OR(J14="",Results!J15=""),"",IF(AND(J14=Results!J15,Results!J15&lt;&gt;Games!$C$143),1,0))</f>
        <v/>
      </c>
      <c r="AR14" s="13" t="str">
        <f>IF(OR(K14="",Results!K15=""),"",IF(AND(K14=Results!K15,Results!K15&lt;&gt;Games!$C$144),1,0))</f>
        <v/>
      </c>
      <c r="AS14" s="13" t="str">
        <f>IF(OR(L14="",Results!L15=""),"",IF(AND(L14=Results!L15,Results!L15&lt;&gt;Games!$C$145),1,0))</f>
        <v/>
      </c>
      <c r="AT14" s="13" t="str">
        <f>IF(OR(M14="",Results!M15=""),"",IF(AND(M14=Results!M15,Results!M15&lt;&gt;Games!$C$146),1,0))</f>
        <v/>
      </c>
      <c r="AU14" s="13" t="str">
        <f>IF(OR(N14="",Results!N15=""),"",IF(AND(N14=Results!N15,Results!N15&lt;&gt;Games!$C$147),1,0))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IF(OR(B15="",Results!B15=""),"",IF(B15=Results!B15,1+IF(OR($O15=1,$P15=1,$Q15=1),1,0),0))</f>
        <v/>
      </c>
      <c r="T15" s="4" t="str">
        <f>IF(OR(C15="",Results!C15=""),"",IF(C15=Results!C15,1+IF(OR($O15=2,$P15=2,$Q15=2),1,0),0))</f>
        <v/>
      </c>
      <c r="U15" s="4" t="str">
        <f>IF(OR(D15="",Results!D15=""),"",IF(D15=Results!D15,1+IF(OR($O15=3,$P15=3,$Q15=3),1,0),0))</f>
        <v/>
      </c>
      <c r="V15" s="4" t="str">
        <f>IF(OR(E15="",Results!E15=""),"",IF(E15=Results!E15,1+IF(OR($O15=4,$P15=4,$Q15=4),1,0),0))</f>
        <v/>
      </c>
      <c r="W15" s="4" t="str">
        <f>IF(OR(F15="",Results!F15=""),"",IF(F15=Results!F15,1+IF(OR($O15=5,$P15=5,$Q15=5),1,0),0))</f>
        <v/>
      </c>
      <c r="X15" s="4" t="str">
        <f>IF(OR(G15="",Results!G15=""),"",IF(G15=Results!G15,1+IF(OR($O15=6,$P15=6,$Q15=6),1,0),0))</f>
        <v/>
      </c>
      <c r="Y15" s="4" t="str">
        <f>IF(OR(H15="",Results!H15=""),"",IF(H15=Results!H15,1+IF(OR($O15=7,$P15=7,$Q15=7),1,0),0))</f>
        <v/>
      </c>
      <c r="Z15" s="4" t="str">
        <f>IF(OR(I15="",Results!I15=""),"",IF(I15=Results!I15,1+IF(OR($O15=8,$P15=8,$Q15=8),1,0),0))</f>
        <v/>
      </c>
      <c r="AA15" s="4" t="str">
        <f>IF(OR(J15="",Results!J15=""),"",IF(J15=Results!J15,1+IF(OR($O15=9,$P15=9,$Q15=9),1,0),0))</f>
        <v/>
      </c>
      <c r="AB15" s="4" t="str">
        <f>IF(OR(K15="",Results!K15=""),"",IF(K15=Results!K15,1+IF(OR($O15=10,$P15=10,$Q15=10),1,0),0))</f>
        <v/>
      </c>
      <c r="AC15" s="4" t="str">
        <f>IF(OR(L15="",Results!L15=""),"",IF(L15=Results!L15,1+IF(OR($O15=11,$P15=11,$Q15=11),1,0),0))</f>
        <v/>
      </c>
      <c r="AD15" s="4" t="str">
        <f>IF(OR(M15="",Results!M15=""),"",IF(M15=Results!M15,1+IF(OR($O15=12,$P15=12,$Q15=12),1,0),0))</f>
        <v/>
      </c>
      <c r="AE15" s="4" t="str">
        <f>IF(OR(N15="",Results!N15=""),"",IF(N15=Results!N15,1+IF(OR($O15=13,$P15=13,$Q15=13),1,0),0))</f>
        <v/>
      </c>
      <c r="AF15" s="11">
        <f t="shared" si="0"/>
        <v>0</v>
      </c>
      <c r="AG15" s="4" t="str">
        <f>IF(OR($R15="",Results!O15=""),"",ABS($R15-Results!O15))</f>
        <v/>
      </c>
      <c r="AH15" s="12">
        <v>5</v>
      </c>
      <c r="AI15" s="13" t="str">
        <f>IF(OR(B15="",Results!B15=""),"",IF(AND(B15=Results!B15,Results!B15&lt;&gt;Games!$C$135),1,0))</f>
        <v/>
      </c>
      <c r="AJ15" s="13" t="str">
        <f>IF(OR(C15="",Results!C15=""),"",IF(AND(C15=Results!C15,Results!C15&lt;&gt;Games!$C$136),1,0))</f>
        <v/>
      </c>
      <c r="AK15" s="13" t="str">
        <f>IF(OR(D15="",Results!D15=""),"",IF(AND(D15=Results!D15,Results!D15&lt;&gt;Games!$C$137),1,0))</f>
        <v/>
      </c>
      <c r="AL15" s="13" t="str">
        <f>IF(OR(E15="",Results!E15=""),"",IF(AND(E15=Results!E15,Results!E15&lt;&gt;Games!$C$138),1,0))</f>
        <v/>
      </c>
      <c r="AM15" s="13" t="str">
        <f>IF(OR(F15="",Results!F15=""),"",IF(AND(F15=Results!F15,Results!F15&lt;&gt;Games!$C$139),1,0))</f>
        <v/>
      </c>
      <c r="AN15" s="13" t="str">
        <f>IF(OR(G15="",Results!G15=""),"",IF(AND(G15=Results!G15,Results!G15&lt;&gt;Games!$C$140),1,0))</f>
        <v/>
      </c>
      <c r="AO15" s="13" t="str">
        <f>IF(OR(H15="",Results!H15=""),"",IF(AND(H15=Results!H15,Results!H15&lt;&gt;Games!$C$141),1,0))</f>
        <v/>
      </c>
      <c r="AP15" s="13" t="str">
        <f>IF(OR(I15="",Results!I15=""),"",IF(AND(I15=Results!I15,Results!I15&lt;&gt;Games!$C$142),1,0))</f>
        <v/>
      </c>
      <c r="AQ15" s="13" t="str">
        <f>IF(OR(J15="",Results!J15=""),"",IF(AND(J15=Results!J15,Results!J15&lt;&gt;Games!$C$143),1,0))</f>
        <v/>
      </c>
      <c r="AR15" s="13" t="str">
        <f>IF(OR(K15="",Results!K15=""),"",IF(AND(K15=Results!K15,Results!K15&lt;&gt;Games!$C$144),1,0))</f>
        <v/>
      </c>
      <c r="AS15" s="13" t="str">
        <f>IF(OR(L15="",Results!L15=""),"",IF(AND(L15=Results!L15,Results!L15&lt;&gt;Games!$C$145),1,0))</f>
        <v/>
      </c>
      <c r="AT15" s="13" t="str">
        <f>IF(OR(M15="",Results!M15=""),"",IF(AND(M15=Results!M15,Results!M15&lt;&gt;Games!$C$146),1,0))</f>
        <v/>
      </c>
      <c r="AU15" s="13" t="str">
        <f>IF(OR(N15="",Results!N15=""),"",IF(AND(N15=Results!N15,Results!N15&lt;&gt;Games!$C$147),1,0))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tr">
        <f>IF(OR(B16="",Results!B15=""),"",IF(B16=Results!B15,1+IF(OR($O16=1,$P16=1,$Q16=1),1,0),0))</f>
        <v/>
      </c>
      <c r="T16" s="4" t="str">
        <f>IF(OR(C16="",Results!C15=""),"",IF(C16=Results!C15,1+IF(OR($O16=2,$P16=2,$Q16=2),1,0),0))</f>
        <v/>
      </c>
      <c r="U16" s="4" t="str">
        <f>IF(OR(D16="",Results!D15=""),"",IF(D16=Results!D15,1+IF(OR($O16=3,$P16=3,$Q16=3),1,0),0))</f>
        <v/>
      </c>
      <c r="V16" s="4" t="str">
        <f>IF(OR(E16="",Results!E15=""),"",IF(E16=Results!E15,1+IF(OR($O16=4,$P16=4,$Q16=4),1,0),0))</f>
        <v/>
      </c>
      <c r="W16" s="4" t="str">
        <f>IF(OR(F16="",Results!F15=""),"",IF(F16=Results!F15,1+IF(OR($O16=5,$P16=5,$Q16=5),1,0),0))</f>
        <v/>
      </c>
      <c r="X16" s="4" t="str">
        <f>IF(OR(G16="",Results!G15=""),"",IF(G16=Results!G15,1+IF(OR($O16=6,$P16=6,$Q16=6),1,0),0))</f>
        <v/>
      </c>
      <c r="Y16" s="4" t="str">
        <f>IF(OR(H16="",Results!H15=""),"",IF(H16=Results!H15,1+IF(OR($O16=7,$P16=7,$Q16=7),1,0),0))</f>
        <v/>
      </c>
      <c r="Z16" s="4" t="str">
        <f>IF(OR(I16="",Results!I15=""),"",IF(I16=Results!I15,1+IF(OR($O16=8,$P16=8,$Q16=8),1,0),0))</f>
        <v/>
      </c>
      <c r="AA16" s="4" t="str">
        <f>IF(OR(J16="",Results!J15=""),"",IF(J16=Results!J15,1+IF(OR($O16=9,$P16=9,$Q16=9),1,0),0))</f>
        <v/>
      </c>
      <c r="AB16" s="4" t="str">
        <f>IF(OR(K16="",Results!K15=""),"",IF(K16=Results!K15,1+IF(OR($O16=10,$P16=10,$Q16=10),1,0),0))</f>
        <v/>
      </c>
      <c r="AC16" s="4" t="str">
        <f>IF(OR(L16="",Results!L15=""),"",IF(L16=Results!L15,1+IF(OR($O16=11,$P16=11,$Q16=11),1,0),0))</f>
        <v/>
      </c>
      <c r="AD16" s="4" t="str">
        <f>IF(OR(M16="",Results!M15=""),"",IF(M16=Results!M15,1+IF(OR($O16=12,$P16=12,$Q16=12),1,0),0))</f>
        <v/>
      </c>
      <c r="AE16" s="4" t="str">
        <f>IF(OR(N16="",Results!N15=""),"",IF(N16=Results!N15,1+IF(OR($O16=13,$P16=13,$Q16=13),1,0),0))</f>
        <v/>
      </c>
      <c r="AF16" s="11">
        <f t="shared" si="0"/>
        <v>0</v>
      </c>
      <c r="AG16" s="4" t="str">
        <f>IF(OR($R16="",Results!O15=""),"",ABS($R16-Results!O15))</f>
        <v/>
      </c>
      <c r="AH16" s="12">
        <v>8</v>
      </c>
      <c r="AI16" s="13" t="str">
        <f>IF(OR(B16="",Results!B15=""),"",IF(AND(B16=Results!B15,Results!B15&lt;&gt;Games!$C$135),1,0))</f>
        <v/>
      </c>
      <c r="AJ16" s="13" t="str">
        <f>IF(OR(C16="",Results!C15=""),"",IF(AND(C16=Results!C15,Results!C15&lt;&gt;Games!$C$136),1,0))</f>
        <v/>
      </c>
      <c r="AK16" s="13" t="str">
        <f>IF(OR(D16="",Results!D15=""),"",IF(AND(D16=Results!D15,Results!D15&lt;&gt;Games!$C$137),1,0))</f>
        <v/>
      </c>
      <c r="AL16" s="13" t="str">
        <f>IF(OR(E16="",Results!E15=""),"",IF(AND(E16=Results!E15,Results!E15&lt;&gt;Games!$C$138),1,0))</f>
        <v/>
      </c>
      <c r="AM16" s="13" t="str">
        <f>IF(OR(F16="",Results!F15=""),"",IF(AND(F16=Results!F15,Results!F15&lt;&gt;Games!$C$139),1,0))</f>
        <v/>
      </c>
      <c r="AN16" s="13" t="str">
        <f>IF(OR(G16="",Results!G15=""),"",IF(AND(G16=Results!G15,Results!G15&lt;&gt;Games!$C$140),1,0))</f>
        <v/>
      </c>
      <c r="AO16" s="13" t="str">
        <f>IF(OR(H16="",Results!H15=""),"",IF(AND(H16=Results!H15,Results!H15&lt;&gt;Games!$C$141),1,0))</f>
        <v/>
      </c>
      <c r="AP16" s="13" t="str">
        <f>IF(OR(I16="",Results!I15=""),"",IF(AND(I16=Results!I15,Results!I15&lt;&gt;Games!$C$142),1,0))</f>
        <v/>
      </c>
      <c r="AQ16" s="13" t="str">
        <f>IF(OR(J16="",Results!J15=""),"",IF(AND(J16=Results!J15,Results!J15&lt;&gt;Games!$C$143),1,0))</f>
        <v/>
      </c>
      <c r="AR16" s="13" t="str">
        <f>IF(OR(K16="",Results!K15=""),"",IF(AND(K16=Results!K15,Results!K15&lt;&gt;Games!$C$144),1,0))</f>
        <v/>
      </c>
      <c r="AS16" s="13" t="str">
        <f>IF(OR(L16="",Results!L15=""),"",IF(AND(L16=Results!L15,Results!L15&lt;&gt;Games!$C$145),1,0))</f>
        <v/>
      </c>
      <c r="AT16" s="13" t="str">
        <f>IF(OR(M16="",Results!M15=""),"",IF(AND(M16=Results!M15,Results!M15&lt;&gt;Games!$C$146),1,0))</f>
        <v/>
      </c>
      <c r="AU16" s="13" t="str">
        <f>IF(OR(N16="",Results!N15=""),"",IF(AND(N16=Results!N15,Results!N15&lt;&gt;Games!$C$147),1,0))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IF(OR(B17="",Results!B15=""),"",IF(B17=Results!B15,1+IF(OR($O17=1,$P17=1,$Q17=1),1,0),0))</f>
        <v/>
      </c>
      <c r="T17" s="4" t="str">
        <f>IF(OR(C17="",Results!C15=""),"",IF(C17=Results!C15,1+IF(OR($O17=2,$P17=2,$Q17=2),1,0),0))</f>
        <v/>
      </c>
      <c r="U17" s="4" t="str">
        <f>IF(OR(D17="",Results!D15=""),"",IF(D17=Results!D15,1+IF(OR($O17=3,$P17=3,$Q17=3),1,0),0))</f>
        <v/>
      </c>
      <c r="V17" s="4" t="str">
        <f>IF(OR(E17="",Results!E15=""),"",IF(E17=Results!E15,1+IF(OR($O17=4,$P17=4,$Q17=4),1,0),0))</f>
        <v/>
      </c>
      <c r="W17" s="4" t="str">
        <f>IF(OR(F17="",Results!F15=""),"",IF(F17=Results!F15,1+IF(OR($O17=5,$P17=5,$Q17=5),1,0),0))</f>
        <v/>
      </c>
      <c r="X17" s="4" t="str">
        <f>IF(OR(G17="",Results!G15=""),"",IF(G17=Results!G15,1+IF(OR($O17=6,$P17=6,$Q17=6),1,0),0))</f>
        <v/>
      </c>
      <c r="Y17" s="4" t="str">
        <f>IF(OR(H17="",Results!H15=""),"",IF(H17=Results!H15,1+IF(OR($O17=7,$P17=7,$Q17=7),1,0),0))</f>
        <v/>
      </c>
      <c r="Z17" s="4" t="str">
        <f>IF(OR(I17="",Results!I15=""),"",IF(I17=Results!I15,1+IF(OR($O17=8,$P17=8,$Q17=8),1,0),0))</f>
        <v/>
      </c>
      <c r="AA17" s="4" t="str">
        <f>IF(OR(J17="",Results!J15=""),"",IF(J17=Results!J15,1+IF(OR($O17=9,$P17=9,$Q17=9),1,0),0))</f>
        <v/>
      </c>
      <c r="AB17" s="4" t="str">
        <f>IF(OR(K17="",Results!K15=""),"",IF(K17=Results!K15,1+IF(OR($O17=10,$P17=10,$Q17=10),1,0),0))</f>
        <v/>
      </c>
      <c r="AC17" s="4" t="str">
        <f>IF(OR(L17="",Results!L15=""),"",IF(L17=Results!L15,1+IF(OR($O17=11,$P17=11,$Q17=11),1,0),0))</f>
        <v/>
      </c>
      <c r="AD17" s="4" t="str">
        <f>IF(OR(M17="",Results!M15=""),"",IF(M17=Results!M15,1+IF(OR($O17=12,$P17=12,$Q17=12),1,0),0))</f>
        <v/>
      </c>
      <c r="AE17" s="4" t="str">
        <f>IF(OR(N17="",Results!N15=""),"",IF(N17=Results!N15,1+IF(OR($O17=13,$P17=13,$Q17=13),1,0),0))</f>
        <v/>
      </c>
      <c r="AF17" s="11">
        <f t="shared" si="0"/>
        <v>0</v>
      </c>
      <c r="AG17" s="4" t="str">
        <f>IF(OR($R17="",Results!O15=""),"",ABS($R17-Results!O15))</f>
        <v/>
      </c>
      <c r="AH17" s="12">
        <v>7</v>
      </c>
      <c r="AI17" s="13" t="str">
        <f>IF(OR(B17="",Results!B15=""),"",IF(AND(B17=Results!B15,Results!B15&lt;&gt;Games!$C$135),1,0))</f>
        <v/>
      </c>
      <c r="AJ17" s="13" t="str">
        <f>IF(OR(C17="",Results!C15=""),"",IF(AND(C17=Results!C15,Results!C15&lt;&gt;Games!$C$136),1,0))</f>
        <v/>
      </c>
      <c r="AK17" s="13" t="str">
        <f>IF(OR(D17="",Results!D15=""),"",IF(AND(D17=Results!D15,Results!D15&lt;&gt;Games!$C$137),1,0))</f>
        <v/>
      </c>
      <c r="AL17" s="13" t="str">
        <f>IF(OR(E17="",Results!E15=""),"",IF(AND(E17=Results!E15,Results!E15&lt;&gt;Games!$C$138),1,0))</f>
        <v/>
      </c>
      <c r="AM17" s="13" t="str">
        <f>IF(OR(F17="",Results!F15=""),"",IF(AND(F17=Results!F15,Results!F15&lt;&gt;Games!$C$139),1,0))</f>
        <v/>
      </c>
      <c r="AN17" s="13" t="str">
        <f>IF(OR(G17="",Results!G15=""),"",IF(AND(G17=Results!G15,Results!G15&lt;&gt;Games!$C$140),1,0))</f>
        <v/>
      </c>
      <c r="AO17" s="13" t="str">
        <f>IF(OR(H17="",Results!H15=""),"",IF(AND(H17=Results!H15,Results!H15&lt;&gt;Games!$C$141),1,0))</f>
        <v/>
      </c>
      <c r="AP17" s="13" t="str">
        <f>IF(OR(I17="",Results!I15=""),"",IF(AND(I17=Results!I15,Results!I15&lt;&gt;Games!$C$142),1,0))</f>
        <v/>
      </c>
      <c r="AQ17" s="13" t="str">
        <f>IF(OR(J17="",Results!J15=""),"",IF(AND(J17=Results!J15,Results!J15&lt;&gt;Games!$C$143),1,0))</f>
        <v/>
      </c>
      <c r="AR17" s="13" t="str">
        <f>IF(OR(K17="",Results!K15=""),"",IF(AND(K17=Results!K15,Results!K15&lt;&gt;Games!$C$144),1,0))</f>
        <v/>
      </c>
      <c r="AS17" s="13" t="str">
        <f>IF(OR(L17="",Results!L15=""),"",IF(AND(L17=Results!L15,Results!L15&lt;&gt;Games!$C$145),1,0))</f>
        <v/>
      </c>
      <c r="AT17" s="13" t="str">
        <f>IF(OR(M17="",Results!M15=""),"",IF(AND(M17=Results!M15,Results!M15&lt;&gt;Games!$C$146),1,0))</f>
        <v/>
      </c>
      <c r="AU17" s="13" t="str">
        <f>IF(OR(N17="",Results!N15=""),"",IF(AND(N17=Results!N15,Results!N15&lt;&gt;Games!$C$147),1,0))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IF(OR(B18="",Results!B15=""),"",IF(B18=Results!B15,1+IF(OR($O18=1,$P18=1,$Q18=1),1,0),0))</f>
        <v/>
      </c>
      <c r="T18" s="4" t="str">
        <f>IF(OR(C18="",Results!C15=""),"",IF(C18=Results!C15,1+IF(OR($O18=2,$P18=2,$Q18=2),1,0),0))</f>
        <v/>
      </c>
      <c r="U18" s="4" t="str">
        <f>IF(OR(D18="",Results!D15=""),"",IF(D18=Results!D15,1+IF(OR($O18=3,$P18=3,$Q18=3),1,0),0))</f>
        <v/>
      </c>
      <c r="V18" s="4" t="str">
        <f>IF(OR(E18="",Results!E15=""),"",IF(E18=Results!E15,1+IF(OR($O18=4,$P18=4,$Q18=4),1,0),0))</f>
        <v/>
      </c>
      <c r="W18" s="4" t="str">
        <f>IF(OR(F18="",Results!F15=""),"",IF(F18=Results!F15,1+IF(OR($O18=5,$P18=5,$Q18=5),1,0),0))</f>
        <v/>
      </c>
      <c r="X18" s="4" t="str">
        <f>IF(OR(G18="",Results!G15=""),"",IF(G18=Results!G15,1+IF(OR($O18=6,$P18=6,$Q18=6),1,0),0))</f>
        <v/>
      </c>
      <c r="Y18" s="4" t="str">
        <f>IF(OR(H18="",Results!H15=""),"",IF(H18=Results!H15,1+IF(OR($O18=7,$P18=7,$Q18=7),1,0),0))</f>
        <v/>
      </c>
      <c r="Z18" s="4" t="str">
        <f>IF(OR(I18="",Results!I15=""),"",IF(I18=Results!I15,1+IF(OR($O18=8,$P18=8,$Q18=8),1,0),0))</f>
        <v/>
      </c>
      <c r="AA18" s="4" t="str">
        <f>IF(OR(J18="",Results!J15=""),"",IF(J18=Results!J15,1+IF(OR($O18=9,$P18=9,$Q18=9),1,0),0))</f>
        <v/>
      </c>
      <c r="AB18" s="4" t="str">
        <f>IF(OR(K18="",Results!K15=""),"",IF(K18=Results!K15,1+IF(OR($O18=10,$P18=10,$Q18=10),1,0),0))</f>
        <v/>
      </c>
      <c r="AC18" s="4" t="str">
        <f>IF(OR(L18="",Results!L15=""),"",IF(L18=Results!L15,1+IF(OR($O18=11,$P18=11,$Q18=11),1,0),0))</f>
        <v/>
      </c>
      <c r="AD18" s="4" t="str">
        <f>IF(OR(M18="",Results!M15=""),"",IF(M18=Results!M15,1+IF(OR($O18=12,$P18=12,$Q18=12),1,0),0))</f>
        <v/>
      </c>
      <c r="AE18" s="4" t="str">
        <f>IF(OR(N18="",Results!N15=""),"",IF(N18=Results!N15,1+IF(OR($O18=13,$P18=13,$Q18=13),1,0),0))</f>
        <v/>
      </c>
      <c r="AF18" s="11">
        <f t="shared" si="0"/>
        <v>0</v>
      </c>
      <c r="AG18" s="4" t="str">
        <f>IF(OR($R18="",Results!O15=""),"",ABS($R18-Results!O15))</f>
        <v/>
      </c>
      <c r="AH18" s="12">
        <v>37</v>
      </c>
      <c r="AI18" s="13" t="str">
        <f>IF(OR(B18="",Results!B15=""),"",IF(AND(B18=Results!B15,Results!B15&lt;&gt;Games!$C$135),1,0))</f>
        <v/>
      </c>
      <c r="AJ18" s="13" t="str">
        <f>IF(OR(C18="",Results!C15=""),"",IF(AND(C18=Results!C15,Results!C15&lt;&gt;Games!$C$136),1,0))</f>
        <v/>
      </c>
      <c r="AK18" s="13" t="str">
        <f>IF(OR(D18="",Results!D15=""),"",IF(AND(D18=Results!D15,Results!D15&lt;&gt;Games!$C$137),1,0))</f>
        <v/>
      </c>
      <c r="AL18" s="13" t="str">
        <f>IF(OR(E18="",Results!E15=""),"",IF(AND(E18=Results!E15,Results!E15&lt;&gt;Games!$C$138),1,0))</f>
        <v/>
      </c>
      <c r="AM18" s="13" t="str">
        <f>IF(OR(F18="",Results!F15=""),"",IF(AND(F18=Results!F15,Results!F15&lt;&gt;Games!$C$139),1,0))</f>
        <v/>
      </c>
      <c r="AN18" s="13" t="str">
        <f>IF(OR(G18="",Results!G15=""),"",IF(AND(G18=Results!G15,Results!G15&lt;&gt;Games!$C$140),1,0))</f>
        <v/>
      </c>
      <c r="AO18" s="13" t="str">
        <f>IF(OR(H18="",Results!H15=""),"",IF(AND(H18=Results!H15,Results!H15&lt;&gt;Games!$C$141),1,0))</f>
        <v/>
      </c>
      <c r="AP18" s="13" t="str">
        <f>IF(OR(I18="",Results!I15=""),"",IF(AND(I18=Results!I15,Results!I15&lt;&gt;Games!$C$142),1,0))</f>
        <v/>
      </c>
      <c r="AQ18" s="13" t="str">
        <f>IF(OR(J18="",Results!J15=""),"",IF(AND(J18=Results!J15,Results!J15&lt;&gt;Games!$C$143),1,0))</f>
        <v/>
      </c>
      <c r="AR18" s="13" t="str">
        <f>IF(OR(K18="",Results!K15=""),"",IF(AND(K18=Results!K15,Results!K15&lt;&gt;Games!$C$144),1,0))</f>
        <v/>
      </c>
      <c r="AS18" s="13" t="str">
        <f>IF(OR(L18="",Results!L15=""),"",IF(AND(L18=Results!L15,Results!L15&lt;&gt;Games!$C$145),1,0))</f>
        <v/>
      </c>
      <c r="AT18" s="13" t="str">
        <f>IF(OR(M18="",Results!M15=""),"",IF(AND(M18=Results!M15,Results!M15&lt;&gt;Games!$C$146),1,0))</f>
        <v/>
      </c>
      <c r="AU18" s="13" t="str">
        <f>IF(OR(N18="",Results!N15=""),"",IF(AND(N18=Results!N15,Results!N15&lt;&gt;Games!$C$147),1,0))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IF(OR(B19="",Results!B15=""),"",IF(B19=Results!B15,1+IF(OR($O19=1,$P19=1,$Q19=1),1,0),0))</f>
        <v/>
      </c>
      <c r="T19" s="4" t="str">
        <f>IF(OR(C19="",Results!C15=""),"",IF(C19=Results!C15,1+IF(OR($O19=2,$P19=2,$Q19=2),1,0),0))</f>
        <v/>
      </c>
      <c r="U19" s="4" t="str">
        <f>IF(OR(D19="",Results!D15=""),"",IF(D19=Results!D15,1+IF(OR($O19=3,$P19=3,$Q19=3),1,0),0))</f>
        <v/>
      </c>
      <c r="V19" s="4" t="str">
        <f>IF(OR(E19="",Results!E15=""),"",IF(E19=Results!E15,1+IF(OR($O19=4,$P19=4,$Q19=4),1,0),0))</f>
        <v/>
      </c>
      <c r="W19" s="4" t="str">
        <f>IF(OR(F19="",Results!F15=""),"",IF(F19=Results!F15,1+IF(OR($O19=5,$P19=5,$Q19=5),1,0),0))</f>
        <v/>
      </c>
      <c r="X19" s="4" t="str">
        <f>IF(OR(G19="",Results!G15=""),"",IF(G19=Results!G15,1+IF(OR($O19=6,$P19=6,$Q19=6),1,0),0))</f>
        <v/>
      </c>
      <c r="Y19" s="4" t="str">
        <f>IF(OR(H19="",Results!H15=""),"",IF(H19=Results!H15,1+IF(OR($O19=7,$P19=7,$Q19=7),1,0),0))</f>
        <v/>
      </c>
      <c r="Z19" s="4" t="str">
        <f>IF(OR(I19="",Results!I15=""),"",IF(I19=Results!I15,1+IF(OR($O19=8,$P19=8,$Q19=8),1,0),0))</f>
        <v/>
      </c>
      <c r="AA19" s="4" t="str">
        <f>IF(OR(J19="",Results!J15=""),"",IF(J19=Results!J15,1+IF(OR($O19=9,$P19=9,$Q19=9),1,0),0))</f>
        <v/>
      </c>
      <c r="AB19" s="4" t="str">
        <f>IF(OR(K19="",Results!K15=""),"",IF(K19=Results!K15,1+IF(OR($O19=10,$P19=10,$Q19=10),1,0),0))</f>
        <v/>
      </c>
      <c r="AC19" s="4" t="str">
        <f>IF(OR(L19="",Results!L15=""),"",IF(L19=Results!L15,1+IF(OR($O19=11,$P19=11,$Q19=11),1,0),0))</f>
        <v/>
      </c>
      <c r="AD19" s="4" t="str">
        <f>IF(OR(M19="",Results!M15=""),"",IF(M19=Results!M15,1+IF(OR($O19=12,$P19=12,$Q19=12),1,0),0))</f>
        <v/>
      </c>
      <c r="AE19" s="4" t="str">
        <f>IF(OR(N19="",Results!N15=""),"",IF(N19=Results!N15,1+IF(OR($O19=13,$P19=13,$Q19=13),1,0),0))</f>
        <v/>
      </c>
      <c r="AF19" s="11">
        <f t="shared" si="0"/>
        <v>0</v>
      </c>
      <c r="AG19" s="4" t="str">
        <f>IF(OR($R19="",Results!O15=""),"",ABS($R19-Results!O15))</f>
        <v/>
      </c>
      <c r="AH19" s="12">
        <v>26</v>
      </c>
      <c r="AI19" s="13" t="str">
        <f>IF(OR(B19="",Results!B15=""),"",IF(AND(B19=Results!B15,Results!B15&lt;&gt;Games!$C$135),1,0))</f>
        <v/>
      </c>
      <c r="AJ19" s="13" t="str">
        <f>IF(OR(C19="",Results!C15=""),"",IF(AND(C19=Results!C15,Results!C15&lt;&gt;Games!$C$136),1,0))</f>
        <v/>
      </c>
      <c r="AK19" s="13" t="str">
        <f>IF(OR(D19="",Results!D15=""),"",IF(AND(D19=Results!D15,Results!D15&lt;&gt;Games!$C$137),1,0))</f>
        <v/>
      </c>
      <c r="AL19" s="13" t="str">
        <f>IF(OR(E19="",Results!E15=""),"",IF(AND(E19=Results!E15,Results!E15&lt;&gt;Games!$C$138),1,0))</f>
        <v/>
      </c>
      <c r="AM19" s="13" t="str">
        <f>IF(OR(F19="",Results!F15=""),"",IF(AND(F19=Results!F15,Results!F15&lt;&gt;Games!$C$139),1,0))</f>
        <v/>
      </c>
      <c r="AN19" s="13" t="str">
        <f>IF(OR(G19="",Results!G15=""),"",IF(AND(G19=Results!G15,Results!G15&lt;&gt;Games!$C$140),1,0))</f>
        <v/>
      </c>
      <c r="AO19" s="13" t="str">
        <f>IF(OR(H19="",Results!H15=""),"",IF(AND(H19=Results!H15,Results!H15&lt;&gt;Games!$C$141),1,0))</f>
        <v/>
      </c>
      <c r="AP19" s="13" t="str">
        <f>IF(OR(I19="",Results!I15=""),"",IF(AND(I19=Results!I15,Results!I15&lt;&gt;Games!$C$142),1,0))</f>
        <v/>
      </c>
      <c r="AQ19" s="13" t="str">
        <f>IF(OR(J19="",Results!J15=""),"",IF(AND(J19=Results!J15,Results!J15&lt;&gt;Games!$C$143),1,0))</f>
        <v/>
      </c>
      <c r="AR19" s="13" t="str">
        <f>IF(OR(K19="",Results!K15=""),"",IF(AND(K19=Results!K15,Results!K15&lt;&gt;Games!$C$144),1,0))</f>
        <v/>
      </c>
      <c r="AS19" s="13" t="str">
        <f>IF(OR(L19="",Results!L15=""),"",IF(AND(L19=Results!L15,Results!L15&lt;&gt;Games!$C$145),1,0))</f>
        <v/>
      </c>
      <c r="AT19" s="13" t="str">
        <f>IF(OR(M19="",Results!M15=""),"",IF(AND(M19=Results!M15,Results!M15&lt;&gt;Games!$C$146),1,0))</f>
        <v/>
      </c>
      <c r="AU19" s="13" t="str">
        <f>IF(OR(N19="",Results!N15=""),"",IF(AND(N19=Results!N15,Results!N15&lt;&gt;Games!$C$147),1,0))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 t="str">
        <f>IF(OR(B20="",Results!B15=""),"",IF(B20=Results!B15,1+IF(OR($O20=1,$P20=1,$Q20=1),1,0),0))</f>
        <v/>
      </c>
      <c r="T20" s="4" t="str">
        <f>IF(OR(C20="",Results!C15=""),"",IF(C20=Results!C15,1+IF(OR($O20=2,$P20=2,$Q20=2),1,0),0))</f>
        <v/>
      </c>
      <c r="U20" s="4" t="str">
        <f>IF(OR(D20="",Results!D15=""),"",IF(D20=Results!D15,1+IF(OR($O20=3,$P20=3,$Q20=3),1,0),0))</f>
        <v/>
      </c>
      <c r="V20" s="4" t="str">
        <f>IF(OR(E20="",Results!E15=""),"",IF(E20=Results!E15,1+IF(OR($O20=4,$P20=4,$Q20=4),1,0),0))</f>
        <v/>
      </c>
      <c r="W20" s="4" t="str">
        <f>IF(OR(F20="",Results!F15=""),"",IF(F20=Results!F15,1+IF(OR($O20=5,$P20=5,$Q20=5),1,0),0))</f>
        <v/>
      </c>
      <c r="X20" s="4" t="str">
        <f>IF(OR(G20="",Results!G15=""),"",IF(G20=Results!G15,1+IF(OR($O20=6,$P20=6,$Q20=6),1,0),0))</f>
        <v/>
      </c>
      <c r="Y20" s="4" t="str">
        <f>IF(OR(H20="",Results!H15=""),"",IF(H20=Results!H15,1+IF(OR($O20=7,$P20=7,$Q20=7),1,0),0))</f>
        <v/>
      </c>
      <c r="Z20" s="4" t="str">
        <f>IF(OR(I20="",Results!I15=""),"",IF(I20=Results!I15,1+IF(OR($O20=8,$P20=8,$Q20=8),1,0),0))</f>
        <v/>
      </c>
      <c r="AA20" s="4" t="str">
        <f>IF(OR(J20="",Results!J15=""),"",IF(J20=Results!J15,1+IF(OR($O20=9,$P20=9,$Q20=9),1,0),0))</f>
        <v/>
      </c>
      <c r="AB20" s="4" t="str">
        <f>IF(OR(K20="",Results!K15=""),"",IF(K20=Results!K15,1+IF(OR($O20=10,$P20=10,$Q20=10),1,0),0))</f>
        <v/>
      </c>
      <c r="AC20" s="4" t="str">
        <f>IF(OR(L20="",Results!L15=""),"",IF(L20=Results!L15,1+IF(OR($O20=11,$P20=11,$Q20=11),1,0),0))</f>
        <v/>
      </c>
      <c r="AD20" s="4" t="str">
        <f>IF(OR(M20="",Results!M15=""),"",IF(M20=Results!M15,1+IF(OR($O20=12,$P20=12,$Q20=12),1,0),0))</f>
        <v/>
      </c>
      <c r="AE20" s="4" t="str">
        <f>IF(OR(N20="",Results!N15=""),"",IF(N20=Results!N15,1+IF(OR($O20=13,$P20=13,$Q20=13),1,0),0))</f>
        <v/>
      </c>
      <c r="AF20" s="11">
        <f t="shared" si="0"/>
        <v>0</v>
      </c>
      <c r="AG20" s="4" t="str">
        <f>IF(OR($R20="",Results!O15=""),"",ABS($R20-Results!O15))</f>
        <v/>
      </c>
      <c r="AH20" s="12">
        <v>52</v>
      </c>
      <c r="AI20" s="13" t="str">
        <f>IF(OR(B20="",Results!B15=""),"",IF(AND(B20=Results!B15,Results!B15&lt;&gt;Games!$C$135),1,0))</f>
        <v/>
      </c>
      <c r="AJ20" s="13" t="str">
        <f>IF(OR(C20="",Results!C15=""),"",IF(AND(C20=Results!C15,Results!C15&lt;&gt;Games!$C$136),1,0))</f>
        <v/>
      </c>
      <c r="AK20" s="13" t="str">
        <f>IF(OR(D20="",Results!D15=""),"",IF(AND(D20=Results!D15,Results!D15&lt;&gt;Games!$C$137),1,0))</f>
        <v/>
      </c>
      <c r="AL20" s="13" t="str">
        <f>IF(OR(E20="",Results!E15=""),"",IF(AND(E20=Results!E15,Results!E15&lt;&gt;Games!$C$138),1,0))</f>
        <v/>
      </c>
      <c r="AM20" s="13" t="str">
        <f>IF(OR(F20="",Results!F15=""),"",IF(AND(F20=Results!F15,Results!F15&lt;&gt;Games!$C$139),1,0))</f>
        <v/>
      </c>
      <c r="AN20" s="13" t="str">
        <f>IF(OR(G20="",Results!G15=""),"",IF(AND(G20=Results!G15,Results!G15&lt;&gt;Games!$C$140),1,0))</f>
        <v/>
      </c>
      <c r="AO20" s="13" t="str">
        <f>IF(OR(H20="",Results!H15=""),"",IF(AND(H20=Results!H15,Results!H15&lt;&gt;Games!$C$141),1,0))</f>
        <v/>
      </c>
      <c r="AP20" s="13" t="str">
        <f>IF(OR(I20="",Results!I15=""),"",IF(AND(I20=Results!I15,Results!I15&lt;&gt;Games!$C$142),1,0))</f>
        <v/>
      </c>
      <c r="AQ20" s="13" t="str">
        <f>IF(OR(J20="",Results!J15=""),"",IF(AND(J20=Results!J15,Results!J15&lt;&gt;Games!$C$143),1,0))</f>
        <v/>
      </c>
      <c r="AR20" s="13" t="str">
        <f>IF(OR(K20="",Results!K15=""),"",IF(AND(K20=Results!K15,Results!K15&lt;&gt;Games!$C$144),1,0))</f>
        <v/>
      </c>
      <c r="AS20" s="13" t="str">
        <f>IF(OR(L20="",Results!L15=""),"",IF(AND(L20=Results!L15,Results!L15&lt;&gt;Games!$C$145),1,0))</f>
        <v/>
      </c>
      <c r="AT20" s="13" t="str">
        <f>IF(OR(M20="",Results!M15=""),"",IF(AND(M20=Results!M15,Results!M15&lt;&gt;Games!$C$146),1,0))</f>
        <v/>
      </c>
      <c r="AU20" s="13" t="str">
        <f>IF(OR(N20="",Results!N15=""),"",IF(AND(N20=Results!N15,Results!N15&lt;&gt;Games!$C$147),1,0))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 t="str">
        <f>IF(OR(B21="",Results!B15=""),"",IF(B21=Results!B15,1+IF(OR($O21=1,$P21=1,$Q21=1),1,0),0))</f>
        <v/>
      </c>
      <c r="T21" s="4" t="str">
        <f>IF(OR(C21="",Results!C15=""),"",IF(C21=Results!C15,1+IF(OR($O21=2,$P21=2,$Q21=2),1,0),0))</f>
        <v/>
      </c>
      <c r="U21" s="4" t="str">
        <f>IF(OR(D21="",Results!D15=""),"",IF(D21=Results!D15,1+IF(OR($O21=3,$P21=3,$Q21=3),1,0),0))</f>
        <v/>
      </c>
      <c r="V21" s="4" t="str">
        <f>IF(OR(E21="",Results!E15=""),"",IF(E21=Results!E15,1+IF(OR($O21=4,$P21=4,$Q21=4),1,0),0))</f>
        <v/>
      </c>
      <c r="W21" s="4" t="str">
        <f>IF(OR(F21="",Results!F15=""),"",IF(F21=Results!F15,1+IF(OR($O21=5,$P21=5,$Q21=5),1,0),0))</f>
        <v/>
      </c>
      <c r="X21" s="4" t="str">
        <f>IF(OR(G21="",Results!G15=""),"",IF(G21=Results!G15,1+IF(OR($O21=6,$P21=6,$Q21=6),1,0),0))</f>
        <v/>
      </c>
      <c r="Y21" s="4" t="str">
        <f>IF(OR(H21="",Results!H15=""),"",IF(H21=Results!H15,1+IF(OR($O21=7,$P21=7,$Q21=7),1,0),0))</f>
        <v/>
      </c>
      <c r="Z21" s="4" t="str">
        <f>IF(OR(I21="",Results!I15=""),"",IF(I21=Results!I15,1+IF(OR($O21=8,$P21=8,$Q21=8),1,0),0))</f>
        <v/>
      </c>
      <c r="AA21" s="4" t="str">
        <f>IF(OR(J21="",Results!J15=""),"",IF(J21=Results!J15,1+IF(OR($O21=9,$P21=9,$Q21=9),1,0),0))</f>
        <v/>
      </c>
      <c r="AB21" s="4" t="str">
        <f>IF(OR(K21="",Results!K15=""),"",IF(K21=Results!K15,1+IF(OR($O21=10,$P21=10,$Q21=10),1,0),0))</f>
        <v/>
      </c>
      <c r="AC21" s="4" t="str">
        <f>IF(OR(L21="",Results!L15=""),"",IF(L21=Results!L15,1+IF(OR($O21=11,$P21=11,$Q21=11),1,0),0))</f>
        <v/>
      </c>
      <c r="AD21" s="4" t="str">
        <f>IF(OR(M21="",Results!M15=""),"",IF(M21=Results!M15,1+IF(OR($O21=12,$P21=12,$Q21=12),1,0),0))</f>
        <v/>
      </c>
      <c r="AE21" s="4" t="str">
        <f>IF(OR(N21="",Results!N15=""),"",IF(N21=Results!N15,1+IF(OR($O21=13,$P21=13,$Q21=13),1,0),0))</f>
        <v/>
      </c>
      <c r="AF21" s="11">
        <f t="shared" si="0"/>
        <v>0</v>
      </c>
      <c r="AG21" s="4" t="str">
        <f>IF(OR($R21="",Results!O15=""),"",ABS($R21-Results!O15))</f>
        <v/>
      </c>
      <c r="AH21" s="12">
        <v>9</v>
      </c>
      <c r="AI21" s="13" t="str">
        <f>IF(OR(B21="",Results!B15=""),"",IF(AND(B21=Results!B15,Results!B15&lt;&gt;Games!$C$135),1,0))</f>
        <v/>
      </c>
      <c r="AJ21" s="13" t="str">
        <f>IF(OR(C21="",Results!C15=""),"",IF(AND(C21=Results!C15,Results!C15&lt;&gt;Games!$C$136),1,0))</f>
        <v/>
      </c>
      <c r="AK21" s="13" t="str">
        <f>IF(OR(D21="",Results!D15=""),"",IF(AND(D21=Results!D15,Results!D15&lt;&gt;Games!$C$137),1,0))</f>
        <v/>
      </c>
      <c r="AL21" s="13" t="str">
        <f>IF(OR(E21="",Results!E15=""),"",IF(AND(E21=Results!E15,Results!E15&lt;&gt;Games!$C$138),1,0))</f>
        <v/>
      </c>
      <c r="AM21" s="13" t="str">
        <f>IF(OR(F21="",Results!F15=""),"",IF(AND(F21=Results!F15,Results!F15&lt;&gt;Games!$C$139),1,0))</f>
        <v/>
      </c>
      <c r="AN21" s="13" t="str">
        <f>IF(OR(G21="",Results!G15=""),"",IF(AND(G21=Results!G15,Results!G15&lt;&gt;Games!$C$140),1,0))</f>
        <v/>
      </c>
      <c r="AO21" s="13" t="str">
        <f>IF(OR(H21="",Results!H15=""),"",IF(AND(H21=Results!H15,Results!H15&lt;&gt;Games!$C$141),1,0))</f>
        <v/>
      </c>
      <c r="AP21" s="13" t="str">
        <f>IF(OR(I21="",Results!I15=""),"",IF(AND(I21=Results!I15,Results!I15&lt;&gt;Games!$C$142),1,0))</f>
        <v/>
      </c>
      <c r="AQ21" s="13" t="str">
        <f>IF(OR(J21="",Results!J15=""),"",IF(AND(J21=Results!J15,Results!J15&lt;&gt;Games!$C$143),1,0))</f>
        <v/>
      </c>
      <c r="AR21" s="13" t="str">
        <f>IF(OR(K21="",Results!K15=""),"",IF(AND(K21=Results!K15,Results!K15&lt;&gt;Games!$C$144),1,0))</f>
        <v/>
      </c>
      <c r="AS21" s="13" t="str">
        <f>IF(OR(L21="",Results!L15=""),"",IF(AND(L21=Results!L15,Results!L15&lt;&gt;Games!$C$145),1,0))</f>
        <v/>
      </c>
      <c r="AT21" s="13" t="str">
        <f>IF(OR(M21="",Results!M15=""),"",IF(AND(M21=Results!M15,Results!M15&lt;&gt;Games!$C$146),1,0))</f>
        <v/>
      </c>
      <c r="AU21" s="13" t="str">
        <f>IF(OR(N21="",Results!N15=""),"",IF(AND(N21=Results!N15,Results!N15&lt;&gt;Games!$C$147),1,0))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 t="str">
        <f>IF(OR(B22="",Results!B15=""),"",IF(B22=Results!B15,1+IF(OR($O22=1,$P22=1,$Q22=1),1,0),0))</f>
        <v/>
      </c>
      <c r="T22" s="4" t="str">
        <f>IF(OR(C22="",Results!C15=""),"",IF(C22=Results!C15,1+IF(OR($O22=2,$P22=2,$Q22=2),1,0),0))</f>
        <v/>
      </c>
      <c r="U22" s="4" t="str">
        <f>IF(OR(D22="",Results!D15=""),"",IF(D22=Results!D15,1+IF(OR($O22=3,$P22=3,$Q22=3),1,0),0))</f>
        <v/>
      </c>
      <c r="V22" s="4" t="str">
        <f>IF(OR(E22="",Results!E15=""),"",IF(E22=Results!E15,1+IF(OR($O22=4,$P22=4,$Q22=4),1,0),0))</f>
        <v/>
      </c>
      <c r="W22" s="4" t="str">
        <f>IF(OR(F22="",Results!F15=""),"",IF(F22=Results!F15,1+IF(OR($O22=5,$P22=5,$Q22=5),1,0),0))</f>
        <v/>
      </c>
      <c r="X22" s="4" t="str">
        <f>IF(OR(G22="",Results!G15=""),"",IF(G22=Results!G15,1+IF(OR($O22=6,$P22=6,$Q22=6),1,0),0))</f>
        <v/>
      </c>
      <c r="Y22" s="4" t="str">
        <f>IF(OR(H22="",Results!H15=""),"",IF(H22=Results!H15,1+IF(OR($O22=7,$P22=7,$Q22=7),1,0),0))</f>
        <v/>
      </c>
      <c r="Z22" s="4" t="str">
        <f>IF(OR(I22="",Results!I15=""),"",IF(I22=Results!I15,1+IF(OR($O22=8,$P22=8,$Q22=8),1,0),0))</f>
        <v/>
      </c>
      <c r="AA22" s="4" t="str">
        <f>IF(OR(J22="",Results!J15=""),"",IF(J22=Results!J15,1+IF(OR($O22=9,$P22=9,$Q22=9),1,0),0))</f>
        <v/>
      </c>
      <c r="AB22" s="4" t="str">
        <f>IF(OR(K22="",Results!K15=""),"",IF(K22=Results!K15,1+IF(OR($O22=10,$P22=10,$Q22=10),1,0),0))</f>
        <v/>
      </c>
      <c r="AC22" s="4" t="str">
        <f>IF(OR(L22="",Results!L15=""),"",IF(L22=Results!L15,1+IF(OR($O22=11,$P22=11,$Q22=11),1,0),0))</f>
        <v/>
      </c>
      <c r="AD22" s="4" t="str">
        <f>IF(OR(M22="",Results!M15=""),"",IF(M22=Results!M15,1+IF(OR($O22=12,$P22=12,$Q22=12),1,0),0))</f>
        <v/>
      </c>
      <c r="AE22" s="4" t="str">
        <f>IF(OR(N22="",Results!N15=""),"",IF(N22=Results!N15,1+IF(OR($O22=13,$P22=13,$Q22=13),1,0),0))</f>
        <v/>
      </c>
      <c r="AF22" s="11">
        <f t="shared" si="0"/>
        <v>0</v>
      </c>
      <c r="AG22" s="4" t="str">
        <f>IF(OR($R22="",Results!O15=""),"",ABS($R22-Results!O15))</f>
        <v/>
      </c>
      <c r="AH22" s="12">
        <v>10</v>
      </c>
      <c r="AI22" s="13" t="str">
        <f>IF(OR(B22="",Results!B15=""),"",IF(AND(B22=Results!B15,Results!B15&lt;&gt;Games!$C$135),1,0))</f>
        <v/>
      </c>
      <c r="AJ22" s="13" t="str">
        <f>IF(OR(C22="",Results!C15=""),"",IF(AND(C22=Results!C15,Results!C15&lt;&gt;Games!$C$136),1,0))</f>
        <v/>
      </c>
      <c r="AK22" s="13" t="str">
        <f>IF(OR(D22="",Results!D15=""),"",IF(AND(D22=Results!D15,Results!D15&lt;&gt;Games!$C$137),1,0))</f>
        <v/>
      </c>
      <c r="AL22" s="13" t="str">
        <f>IF(OR(E22="",Results!E15=""),"",IF(AND(E22=Results!E15,Results!E15&lt;&gt;Games!$C$138),1,0))</f>
        <v/>
      </c>
      <c r="AM22" s="13" t="str">
        <f>IF(OR(F22="",Results!F15=""),"",IF(AND(F22=Results!F15,Results!F15&lt;&gt;Games!$C$139),1,0))</f>
        <v/>
      </c>
      <c r="AN22" s="13" t="str">
        <f>IF(OR(G22="",Results!G15=""),"",IF(AND(G22=Results!G15,Results!G15&lt;&gt;Games!$C$140),1,0))</f>
        <v/>
      </c>
      <c r="AO22" s="13" t="str">
        <f>IF(OR(H22="",Results!H15=""),"",IF(AND(H22=Results!H15,Results!H15&lt;&gt;Games!$C$141),1,0))</f>
        <v/>
      </c>
      <c r="AP22" s="13" t="str">
        <f>IF(OR(I22="",Results!I15=""),"",IF(AND(I22=Results!I15,Results!I15&lt;&gt;Games!$C$142),1,0))</f>
        <v/>
      </c>
      <c r="AQ22" s="13" t="str">
        <f>IF(OR(J22="",Results!J15=""),"",IF(AND(J22=Results!J15,Results!J15&lt;&gt;Games!$C$143),1,0))</f>
        <v/>
      </c>
      <c r="AR22" s="13" t="str">
        <f>IF(OR(K22="",Results!K15=""),"",IF(AND(K22=Results!K15,Results!K15&lt;&gt;Games!$C$144),1,0))</f>
        <v/>
      </c>
      <c r="AS22" s="13" t="str">
        <f>IF(OR(L22="",Results!L15=""),"",IF(AND(L22=Results!L15,Results!L15&lt;&gt;Games!$C$145),1,0))</f>
        <v/>
      </c>
      <c r="AT22" s="13" t="str">
        <f>IF(OR(M22="",Results!M15=""),"",IF(AND(M22=Results!M15,Results!M15&lt;&gt;Games!$C$146),1,0))</f>
        <v/>
      </c>
      <c r="AU22" s="13" t="str">
        <f>IF(OR(N22="",Results!N15=""),"",IF(AND(N22=Results!N15,Results!N15&lt;&gt;Games!$C$147),1,0))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 t="str">
        <f>IF(OR(B23="",Results!B15=""),"",IF(B23=Results!B15,1+IF(OR($O23=1,$P23=1,$Q23=1),1,0),0))</f>
        <v/>
      </c>
      <c r="T23" s="4" t="str">
        <f>IF(OR(C23="",Results!C15=""),"",IF(C23=Results!C15,1+IF(OR($O23=2,$P23=2,$Q23=2),1,0),0))</f>
        <v/>
      </c>
      <c r="U23" s="4" t="str">
        <f>IF(OR(D23="",Results!D15=""),"",IF(D23=Results!D15,1+IF(OR($O23=3,$P23=3,$Q23=3),1,0),0))</f>
        <v/>
      </c>
      <c r="V23" s="4" t="str">
        <f>IF(OR(E23="",Results!E15=""),"",IF(E23=Results!E15,1+IF(OR($O23=4,$P23=4,$Q23=4),1,0),0))</f>
        <v/>
      </c>
      <c r="W23" s="4" t="str">
        <f>IF(OR(F23="",Results!F15=""),"",IF(F23=Results!F15,1+IF(OR($O23=5,$P23=5,$Q23=5),1,0),0))</f>
        <v/>
      </c>
      <c r="X23" s="4" t="str">
        <f>IF(OR(G23="",Results!G15=""),"",IF(G23=Results!G15,1+IF(OR($O23=6,$P23=6,$Q23=6),1,0),0))</f>
        <v/>
      </c>
      <c r="Y23" s="4" t="str">
        <f>IF(OR(H23="",Results!H15=""),"",IF(H23=Results!H15,1+IF(OR($O23=7,$P23=7,$Q23=7),1,0),0))</f>
        <v/>
      </c>
      <c r="Z23" s="4" t="str">
        <f>IF(OR(I23="",Results!I15=""),"",IF(I23=Results!I15,1+IF(OR($O23=8,$P23=8,$Q23=8),1,0),0))</f>
        <v/>
      </c>
      <c r="AA23" s="4" t="str">
        <f>IF(OR(J23="",Results!J15=""),"",IF(J23=Results!J15,1+IF(OR($O23=9,$P23=9,$Q23=9),1,0),0))</f>
        <v/>
      </c>
      <c r="AB23" s="4" t="str">
        <f>IF(OR(K23="",Results!K15=""),"",IF(K23=Results!K15,1+IF(OR($O23=10,$P23=10,$Q23=10),1,0),0))</f>
        <v/>
      </c>
      <c r="AC23" s="4" t="str">
        <f>IF(OR(L23="",Results!L15=""),"",IF(L23=Results!L15,1+IF(OR($O23=11,$P23=11,$Q23=11),1,0),0))</f>
        <v/>
      </c>
      <c r="AD23" s="4" t="str">
        <f>IF(OR(M23="",Results!M15=""),"",IF(M23=Results!M15,1+IF(OR($O23=12,$P23=12,$Q23=12),1,0),0))</f>
        <v/>
      </c>
      <c r="AE23" s="4" t="str">
        <f>IF(OR(N23="",Results!N15=""),"",IF(N23=Results!N15,1+IF(OR($O23=13,$P23=13,$Q23=13),1,0),0))</f>
        <v/>
      </c>
      <c r="AF23" s="11">
        <f t="shared" si="0"/>
        <v>0</v>
      </c>
      <c r="AG23" s="4" t="str">
        <f>IF(OR($R23="",Results!O15=""),"",ABS($R23-Results!O15))</f>
        <v/>
      </c>
      <c r="AH23" s="12">
        <v>55</v>
      </c>
      <c r="AI23" s="13" t="str">
        <f>IF(OR(B23="",Results!B15=""),"",IF(AND(B23=Results!B15,Results!B15&lt;&gt;Games!$C$135),1,0))</f>
        <v/>
      </c>
      <c r="AJ23" s="13" t="str">
        <f>IF(OR(C23="",Results!C15=""),"",IF(AND(C23=Results!C15,Results!C15&lt;&gt;Games!$C$136),1,0))</f>
        <v/>
      </c>
      <c r="AK23" s="13" t="str">
        <f>IF(OR(D23="",Results!D15=""),"",IF(AND(D23=Results!D15,Results!D15&lt;&gt;Games!$C$137),1,0))</f>
        <v/>
      </c>
      <c r="AL23" s="13" t="str">
        <f>IF(OR(E23="",Results!E15=""),"",IF(AND(E23=Results!E15,Results!E15&lt;&gt;Games!$C$138),1,0))</f>
        <v/>
      </c>
      <c r="AM23" s="13" t="str">
        <f>IF(OR(F23="",Results!F15=""),"",IF(AND(F23=Results!F15,Results!F15&lt;&gt;Games!$C$139),1,0))</f>
        <v/>
      </c>
      <c r="AN23" s="13" t="str">
        <f>IF(OR(G23="",Results!G15=""),"",IF(AND(G23=Results!G15,Results!G15&lt;&gt;Games!$C$140),1,0))</f>
        <v/>
      </c>
      <c r="AO23" s="13" t="str">
        <f>IF(OR(H23="",Results!H15=""),"",IF(AND(H23=Results!H15,Results!H15&lt;&gt;Games!$C$141),1,0))</f>
        <v/>
      </c>
      <c r="AP23" s="13" t="str">
        <f>IF(OR(I23="",Results!I15=""),"",IF(AND(I23=Results!I15,Results!I15&lt;&gt;Games!$C$142),1,0))</f>
        <v/>
      </c>
      <c r="AQ23" s="13" t="str">
        <f>IF(OR(J23="",Results!J15=""),"",IF(AND(J23=Results!J15,Results!J15&lt;&gt;Games!$C$143),1,0))</f>
        <v/>
      </c>
      <c r="AR23" s="13" t="str">
        <f>IF(OR(K23="",Results!K15=""),"",IF(AND(K23=Results!K15,Results!K15&lt;&gt;Games!$C$144),1,0))</f>
        <v/>
      </c>
      <c r="AS23" s="13" t="str">
        <f>IF(OR(L23="",Results!L15=""),"",IF(AND(L23=Results!L15,Results!L15&lt;&gt;Games!$C$145),1,0))</f>
        <v/>
      </c>
      <c r="AT23" s="13" t="str">
        <f>IF(OR(M23="",Results!M15=""),"",IF(AND(M23=Results!M15,Results!M15&lt;&gt;Games!$C$146),1,0))</f>
        <v/>
      </c>
      <c r="AU23" s="13" t="str">
        <f>IF(OR(N23="",Results!N15=""),"",IF(AND(N23=Results!N15,Results!N15&lt;&gt;Games!$C$147),1,0))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IF(OR(B24="",Results!B15=""),"",IF(B24=Results!B15,1+IF(OR($O24=1,$P24=1,$Q24=1),1,0),0))</f>
        <v/>
      </c>
      <c r="T24" s="4" t="str">
        <f>IF(OR(C24="",Results!C15=""),"",IF(C24=Results!C15,1+IF(OR($O24=2,$P24=2,$Q24=2),1,0),0))</f>
        <v/>
      </c>
      <c r="U24" s="4" t="str">
        <f>IF(OR(D24="",Results!D15=""),"",IF(D24=Results!D15,1+IF(OR($O24=3,$P24=3,$Q24=3),1,0),0))</f>
        <v/>
      </c>
      <c r="V24" s="4" t="str">
        <f>IF(OR(E24="",Results!E15=""),"",IF(E24=Results!E15,1+IF(OR($O24=4,$P24=4,$Q24=4),1,0),0))</f>
        <v/>
      </c>
      <c r="W24" s="4" t="str">
        <f>IF(OR(F24="",Results!F15=""),"",IF(F24=Results!F15,1+IF(OR($O24=5,$P24=5,$Q24=5),1,0),0))</f>
        <v/>
      </c>
      <c r="X24" s="4" t="str">
        <f>IF(OR(G24="",Results!G15=""),"",IF(G24=Results!G15,1+IF(OR($O24=6,$P24=6,$Q24=6),1,0),0))</f>
        <v/>
      </c>
      <c r="Y24" s="4" t="str">
        <f>IF(OR(H24="",Results!H15=""),"",IF(H24=Results!H15,1+IF(OR($O24=7,$P24=7,$Q24=7),1,0),0))</f>
        <v/>
      </c>
      <c r="Z24" s="4" t="str">
        <f>IF(OR(I24="",Results!I15=""),"",IF(I24=Results!I15,1+IF(OR($O24=8,$P24=8,$Q24=8),1,0),0))</f>
        <v/>
      </c>
      <c r="AA24" s="4" t="str">
        <f>IF(OR(J24="",Results!J15=""),"",IF(J24=Results!J15,1+IF(OR($O24=9,$P24=9,$Q24=9),1,0),0))</f>
        <v/>
      </c>
      <c r="AB24" s="4" t="str">
        <f>IF(OR(K24="",Results!K15=""),"",IF(K24=Results!K15,1+IF(OR($O24=10,$P24=10,$Q24=10),1,0),0))</f>
        <v/>
      </c>
      <c r="AC24" s="4" t="str">
        <f>IF(OR(L24="",Results!L15=""),"",IF(L24=Results!L15,1+IF(OR($O24=11,$P24=11,$Q24=11),1,0),0))</f>
        <v/>
      </c>
      <c r="AD24" s="4" t="str">
        <f>IF(OR(M24="",Results!M15=""),"",IF(M24=Results!M15,1+IF(OR($O24=12,$P24=12,$Q24=12),1,0),0))</f>
        <v/>
      </c>
      <c r="AE24" s="4" t="str">
        <f>IF(OR(N24="",Results!N15=""),"",IF(N24=Results!N15,1+IF(OR($O24=13,$P24=13,$Q24=13),1,0),0))</f>
        <v/>
      </c>
      <c r="AF24" s="11">
        <f t="shared" si="0"/>
        <v>0</v>
      </c>
      <c r="AG24" s="4" t="str">
        <f>IF(OR($R24="",Results!O15=""),"",ABS($R24-Results!O15))</f>
        <v/>
      </c>
      <c r="AH24" s="12">
        <v>47</v>
      </c>
      <c r="AI24" s="13" t="str">
        <f>IF(OR(B24="",Results!B15=""),"",IF(AND(B24=Results!B15,Results!B15&lt;&gt;Games!$C$135),1,0))</f>
        <v/>
      </c>
      <c r="AJ24" s="13" t="str">
        <f>IF(OR(C24="",Results!C15=""),"",IF(AND(C24=Results!C15,Results!C15&lt;&gt;Games!$C$136),1,0))</f>
        <v/>
      </c>
      <c r="AK24" s="13" t="str">
        <f>IF(OR(D24="",Results!D15=""),"",IF(AND(D24=Results!D15,Results!D15&lt;&gt;Games!$C$137),1,0))</f>
        <v/>
      </c>
      <c r="AL24" s="13" t="str">
        <f>IF(OR(E24="",Results!E15=""),"",IF(AND(E24=Results!E15,Results!E15&lt;&gt;Games!$C$138),1,0))</f>
        <v/>
      </c>
      <c r="AM24" s="13" t="str">
        <f>IF(OR(F24="",Results!F15=""),"",IF(AND(F24=Results!F15,Results!F15&lt;&gt;Games!$C$139),1,0))</f>
        <v/>
      </c>
      <c r="AN24" s="13" t="str">
        <f>IF(OR(G24="",Results!G15=""),"",IF(AND(G24=Results!G15,Results!G15&lt;&gt;Games!$C$140),1,0))</f>
        <v/>
      </c>
      <c r="AO24" s="13" t="str">
        <f>IF(OR(H24="",Results!H15=""),"",IF(AND(H24=Results!H15,Results!H15&lt;&gt;Games!$C$141),1,0))</f>
        <v/>
      </c>
      <c r="AP24" s="13" t="str">
        <f>IF(OR(I24="",Results!I15=""),"",IF(AND(I24=Results!I15,Results!I15&lt;&gt;Games!$C$142),1,0))</f>
        <v/>
      </c>
      <c r="AQ24" s="13" t="str">
        <f>IF(OR(J24="",Results!J15=""),"",IF(AND(J24=Results!J15,Results!J15&lt;&gt;Games!$C$143),1,0))</f>
        <v/>
      </c>
      <c r="AR24" s="13" t="str">
        <f>IF(OR(K24="",Results!K15=""),"",IF(AND(K24=Results!K15,Results!K15&lt;&gt;Games!$C$144),1,0))</f>
        <v/>
      </c>
      <c r="AS24" s="13" t="str">
        <f>IF(OR(L24="",Results!L15=""),"",IF(AND(L24=Results!L15,Results!L15&lt;&gt;Games!$C$145),1,0))</f>
        <v/>
      </c>
      <c r="AT24" s="13" t="str">
        <f>IF(OR(M24="",Results!M15=""),"",IF(AND(M24=Results!M15,Results!M15&lt;&gt;Games!$C$146),1,0))</f>
        <v/>
      </c>
      <c r="AU24" s="13" t="str">
        <f>IF(OR(N24="",Results!N15=""),"",IF(AND(N24=Results!N15,Results!N15&lt;&gt;Games!$C$147),1,0))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 t="str">
        <f>IF(OR(B25="",Results!B15=""),"",IF(B25=Results!B15,1+IF(OR($O25=1,$P25=1,$Q25=1),1,0),0))</f>
        <v/>
      </c>
      <c r="T25" s="4" t="str">
        <f>IF(OR(C25="",Results!C15=""),"",IF(C25=Results!C15,1+IF(OR($O25=2,$P25=2,$Q25=2),1,0),0))</f>
        <v/>
      </c>
      <c r="U25" s="4" t="str">
        <f>IF(OR(D25="",Results!D15=""),"",IF(D25=Results!D15,1+IF(OR($O25=3,$P25=3,$Q25=3),1,0),0))</f>
        <v/>
      </c>
      <c r="V25" s="4" t="str">
        <f>IF(OR(E25="",Results!E15=""),"",IF(E25=Results!E15,1+IF(OR($O25=4,$P25=4,$Q25=4),1,0),0))</f>
        <v/>
      </c>
      <c r="W25" s="4" t="str">
        <f>IF(OR(F25="",Results!F15=""),"",IF(F25=Results!F15,1+IF(OR($O25=5,$P25=5,$Q25=5),1,0),0))</f>
        <v/>
      </c>
      <c r="X25" s="4" t="str">
        <f>IF(OR(G25="",Results!G15=""),"",IF(G25=Results!G15,1+IF(OR($O25=6,$P25=6,$Q25=6),1,0),0))</f>
        <v/>
      </c>
      <c r="Y25" s="4" t="str">
        <f>IF(OR(H25="",Results!H15=""),"",IF(H25=Results!H15,1+IF(OR($O25=7,$P25=7,$Q25=7),1,0),0))</f>
        <v/>
      </c>
      <c r="Z25" s="4" t="str">
        <f>IF(OR(I25="",Results!I15=""),"",IF(I25=Results!I15,1+IF(OR($O25=8,$P25=8,$Q25=8),1,0),0))</f>
        <v/>
      </c>
      <c r="AA25" s="4" t="str">
        <f>IF(OR(J25="",Results!J15=""),"",IF(J25=Results!J15,1+IF(OR($O25=9,$P25=9,$Q25=9),1,0),0))</f>
        <v/>
      </c>
      <c r="AB25" s="4" t="str">
        <f>IF(OR(K25="",Results!K15=""),"",IF(K25=Results!K15,1+IF(OR($O25=10,$P25=10,$Q25=10),1,0),0))</f>
        <v/>
      </c>
      <c r="AC25" s="4" t="str">
        <f>IF(OR(L25="",Results!L15=""),"",IF(L25=Results!L15,1+IF(OR($O25=11,$P25=11,$Q25=11),1,0),0))</f>
        <v/>
      </c>
      <c r="AD25" s="4" t="str">
        <f>IF(OR(M25="",Results!M15=""),"",IF(M25=Results!M15,1+IF(OR($O25=12,$P25=12,$Q25=12),1,0),0))</f>
        <v/>
      </c>
      <c r="AE25" s="4" t="str">
        <f>IF(OR(N25="",Results!N15=""),"",IF(N25=Results!N15,1+IF(OR($O25=13,$P25=13,$Q25=13),1,0),0))</f>
        <v/>
      </c>
      <c r="AF25" s="11">
        <f t="shared" si="0"/>
        <v>0</v>
      </c>
      <c r="AG25" s="4" t="str">
        <f>IF(OR($R25="",Results!O15=""),"",ABS($R25-Results!O15))</f>
        <v/>
      </c>
      <c r="AH25" s="12">
        <v>54</v>
      </c>
      <c r="AI25" s="13" t="str">
        <f>IF(OR(B25="",Results!B15=""),"",IF(AND(B25=Results!B15,Results!B15&lt;&gt;Games!$C$135),1,0))</f>
        <v/>
      </c>
      <c r="AJ25" s="13" t="str">
        <f>IF(OR(C25="",Results!C15=""),"",IF(AND(C25=Results!C15,Results!C15&lt;&gt;Games!$C$136),1,0))</f>
        <v/>
      </c>
      <c r="AK25" s="13" t="str">
        <f>IF(OR(D25="",Results!D15=""),"",IF(AND(D25=Results!D15,Results!D15&lt;&gt;Games!$C$137),1,0))</f>
        <v/>
      </c>
      <c r="AL25" s="13" t="str">
        <f>IF(OR(E25="",Results!E15=""),"",IF(AND(E25=Results!E15,Results!E15&lt;&gt;Games!$C$138),1,0))</f>
        <v/>
      </c>
      <c r="AM25" s="13" t="str">
        <f>IF(OR(F25="",Results!F15=""),"",IF(AND(F25=Results!F15,Results!F15&lt;&gt;Games!$C$139),1,0))</f>
        <v/>
      </c>
      <c r="AN25" s="13" t="str">
        <f>IF(OR(G25="",Results!G15=""),"",IF(AND(G25=Results!G15,Results!G15&lt;&gt;Games!$C$140),1,0))</f>
        <v/>
      </c>
      <c r="AO25" s="13" t="str">
        <f>IF(OR(H25="",Results!H15=""),"",IF(AND(H25=Results!H15,Results!H15&lt;&gt;Games!$C$141),1,0))</f>
        <v/>
      </c>
      <c r="AP25" s="13" t="str">
        <f>IF(OR(I25="",Results!I15=""),"",IF(AND(I25=Results!I15,Results!I15&lt;&gt;Games!$C$142),1,0))</f>
        <v/>
      </c>
      <c r="AQ25" s="13" t="str">
        <f>IF(OR(J25="",Results!J15=""),"",IF(AND(J25=Results!J15,Results!J15&lt;&gt;Games!$C$143),1,0))</f>
        <v/>
      </c>
      <c r="AR25" s="13" t="str">
        <f>IF(OR(K25="",Results!K15=""),"",IF(AND(K25=Results!K15,Results!K15&lt;&gt;Games!$C$144),1,0))</f>
        <v/>
      </c>
      <c r="AS25" s="13" t="str">
        <f>IF(OR(L25="",Results!L15=""),"",IF(AND(L25=Results!L15,Results!L15&lt;&gt;Games!$C$145),1,0))</f>
        <v/>
      </c>
      <c r="AT25" s="13" t="str">
        <f>IF(OR(M25="",Results!M15=""),"",IF(AND(M25=Results!M15,Results!M15&lt;&gt;Games!$C$146),1,0))</f>
        <v/>
      </c>
      <c r="AU25" s="13" t="str">
        <f>IF(OR(N25="",Results!N15=""),"",IF(AND(N25=Results!N15,Results!N15&lt;&gt;Games!$C$147),1,0))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tr">
        <f>IF(OR(B26="",Results!B15=""),"",IF(B26=Results!B15,1+IF(OR($O26=1,$P26=1,$Q26=1),1,0),0))</f>
        <v/>
      </c>
      <c r="T26" s="4" t="str">
        <f>IF(OR(C26="",Results!C15=""),"",IF(C26=Results!C15,1+IF(OR($O26=2,$P26=2,$Q26=2),1,0),0))</f>
        <v/>
      </c>
      <c r="U26" s="4" t="str">
        <f>IF(OR(D26="",Results!D15=""),"",IF(D26=Results!D15,1+IF(OR($O26=3,$P26=3,$Q26=3),1,0),0))</f>
        <v/>
      </c>
      <c r="V26" s="4" t="str">
        <f>IF(OR(E26="",Results!E15=""),"",IF(E26=Results!E15,1+IF(OR($O26=4,$P26=4,$Q26=4),1,0),0))</f>
        <v/>
      </c>
      <c r="W26" s="4" t="str">
        <f>IF(OR(F26="",Results!F15=""),"",IF(F26=Results!F15,1+IF(OR($O26=5,$P26=5,$Q26=5),1,0),0))</f>
        <v/>
      </c>
      <c r="X26" s="4" t="str">
        <f>IF(OR(G26="",Results!G15=""),"",IF(G26=Results!G15,1+IF(OR($O26=6,$P26=6,$Q26=6),1,0),0))</f>
        <v/>
      </c>
      <c r="Y26" s="4" t="str">
        <f>IF(OR(H26="",Results!H15=""),"",IF(H26=Results!H15,1+IF(OR($O26=7,$P26=7,$Q26=7),1,0),0))</f>
        <v/>
      </c>
      <c r="Z26" s="4" t="str">
        <f>IF(OR(I26="",Results!I15=""),"",IF(I26=Results!I15,1+IF(OR($O26=8,$P26=8,$Q26=8),1,0),0))</f>
        <v/>
      </c>
      <c r="AA26" s="4" t="str">
        <f>IF(OR(J26="",Results!J15=""),"",IF(J26=Results!J15,1+IF(OR($O26=9,$P26=9,$Q26=9),1,0),0))</f>
        <v/>
      </c>
      <c r="AB26" s="4" t="str">
        <f>IF(OR(K26="",Results!K15=""),"",IF(K26=Results!K15,1+IF(OR($O26=10,$P26=10,$Q26=10),1,0),0))</f>
        <v/>
      </c>
      <c r="AC26" s="4" t="str">
        <f>IF(OR(L26="",Results!L15=""),"",IF(L26=Results!L15,1+IF(OR($O26=11,$P26=11,$Q26=11),1,0),0))</f>
        <v/>
      </c>
      <c r="AD26" s="4" t="str">
        <f>IF(OR(M26="",Results!M15=""),"",IF(M26=Results!M15,1+IF(OR($O26=12,$P26=12,$Q26=12),1,0),0))</f>
        <v/>
      </c>
      <c r="AE26" s="4" t="str">
        <f>IF(OR(N26="",Results!N15=""),"",IF(N26=Results!N15,1+IF(OR($O26=13,$P26=13,$Q26=13),1,0),0))</f>
        <v/>
      </c>
      <c r="AF26" s="11">
        <f t="shared" si="0"/>
        <v>0</v>
      </c>
      <c r="AG26" s="4" t="str">
        <f>IF(OR($R26="",Results!O15=""),"",ABS($R26-Results!O15))</f>
        <v/>
      </c>
      <c r="AH26" s="12">
        <v>48</v>
      </c>
      <c r="AI26" s="13" t="str">
        <f>IF(OR(B26="",Results!B15=""),"",IF(AND(B26=Results!B15,Results!B15&lt;&gt;Games!$C$135),1,0))</f>
        <v/>
      </c>
      <c r="AJ26" s="13" t="str">
        <f>IF(OR(C26="",Results!C15=""),"",IF(AND(C26=Results!C15,Results!C15&lt;&gt;Games!$C$136),1,0))</f>
        <v/>
      </c>
      <c r="AK26" s="13" t="str">
        <f>IF(OR(D26="",Results!D15=""),"",IF(AND(D26=Results!D15,Results!D15&lt;&gt;Games!$C$137),1,0))</f>
        <v/>
      </c>
      <c r="AL26" s="13" t="str">
        <f>IF(OR(E26="",Results!E15=""),"",IF(AND(E26=Results!E15,Results!E15&lt;&gt;Games!$C$138),1,0))</f>
        <v/>
      </c>
      <c r="AM26" s="13" t="str">
        <f>IF(OR(F26="",Results!F15=""),"",IF(AND(F26=Results!F15,Results!F15&lt;&gt;Games!$C$139),1,0))</f>
        <v/>
      </c>
      <c r="AN26" s="13" t="str">
        <f>IF(OR(G26="",Results!G15=""),"",IF(AND(G26=Results!G15,Results!G15&lt;&gt;Games!$C$140),1,0))</f>
        <v/>
      </c>
      <c r="AO26" s="13" t="str">
        <f>IF(OR(H26="",Results!H15=""),"",IF(AND(H26=Results!H15,Results!H15&lt;&gt;Games!$C$141),1,0))</f>
        <v/>
      </c>
      <c r="AP26" s="13" t="str">
        <f>IF(OR(I26="",Results!I15=""),"",IF(AND(I26=Results!I15,Results!I15&lt;&gt;Games!$C$142),1,0))</f>
        <v/>
      </c>
      <c r="AQ26" s="13" t="str">
        <f>IF(OR(J26="",Results!J15=""),"",IF(AND(J26=Results!J15,Results!J15&lt;&gt;Games!$C$143),1,0))</f>
        <v/>
      </c>
      <c r="AR26" s="13" t="str">
        <f>IF(OR(K26="",Results!K15=""),"",IF(AND(K26=Results!K15,Results!K15&lt;&gt;Games!$C$144),1,0))</f>
        <v/>
      </c>
      <c r="AS26" s="13" t="str">
        <f>IF(OR(L26="",Results!L15=""),"",IF(AND(L26=Results!L15,Results!L15&lt;&gt;Games!$C$145),1,0))</f>
        <v/>
      </c>
      <c r="AT26" s="13" t="str">
        <f>IF(OR(M26="",Results!M15=""),"",IF(AND(M26=Results!M15,Results!M15&lt;&gt;Games!$C$146),1,0))</f>
        <v/>
      </c>
      <c r="AU26" s="13" t="str">
        <f>IF(OR(N26="",Results!N15=""),"",IF(AND(N26=Results!N15,Results!N15&lt;&gt;Games!$C$147),1,0))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 t="str">
        <f>IF(OR(B27="",Results!B15=""),"",IF(B27=Results!B15,1+IF(OR($O27=1,$P27=1,$Q27=1),1,0),0))</f>
        <v/>
      </c>
      <c r="T27" s="4" t="str">
        <f>IF(OR(C27="",Results!C15=""),"",IF(C27=Results!C15,1+IF(OR($O27=2,$P27=2,$Q27=2),1,0),0))</f>
        <v/>
      </c>
      <c r="U27" s="4" t="str">
        <f>IF(OR(D27="",Results!D15=""),"",IF(D27=Results!D15,1+IF(OR($O27=3,$P27=3,$Q27=3),1,0),0))</f>
        <v/>
      </c>
      <c r="V27" s="4" t="str">
        <f>IF(OR(E27="",Results!E15=""),"",IF(E27=Results!E15,1+IF(OR($O27=4,$P27=4,$Q27=4),1,0),0))</f>
        <v/>
      </c>
      <c r="W27" s="4" t="str">
        <f>IF(OR(F27="",Results!F15=""),"",IF(F27=Results!F15,1+IF(OR($O27=5,$P27=5,$Q27=5),1,0),0))</f>
        <v/>
      </c>
      <c r="X27" s="4" t="str">
        <f>IF(OR(G27="",Results!G15=""),"",IF(G27=Results!G15,1+IF(OR($O27=6,$P27=6,$Q27=6),1,0),0))</f>
        <v/>
      </c>
      <c r="Y27" s="4" t="str">
        <f>IF(OR(H27="",Results!H15=""),"",IF(H27=Results!H15,1+IF(OR($O27=7,$P27=7,$Q27=7),1,0),0))</f>
        <v/>
      </c>
      <c r="Z27" s="4" t="str">
        <f>IF(OR(I27="",Results!I15=""),"",IF(I27=Results!I15,1+IF(OR($O27=8,$P27=8,$Q27=8),1,0),0))</f>
        <v/>
      </c>
      <c r="AA27" s="4" t="str">
        <f>IF(OR(J27="",Results!J15=""),"",IF(J27=Results!J15,1+IF(OR($O27=9,$P27=9,$Q27=9),1,0),0))</f>
        <v/>
      </c>
      <c r="AB27" s="4" t="str">
        <f>IF(OR(K27="",Results!K15=""),"",IF(K27=Results!K15,1+IF(OR($O27=10,$P27=10,$Q27=10),1,0),0))</f>
        <v/>
      </c>
      <c r="AC27" s="4" t="str">
        <f>IF(OR(L27="",Results!L15=""),"",IF(L27=Results!L15,1+IF(OR($O27=11,$P27=11,$Q27=11),1,0),0))</f>
        <v/>
      </c>
      <c r="AD27" s="4" t="str">
        <f>IF(OR(M27="",Results!M15=""),"",IF(M27=Results!M15,1+IF(OR($O27=12,$P27=12,$Q27=12),1,0),0))</f>
        <v/>
      </c>
      <c r="AE27" s="4" t="str">
        <f>IF(OR(N27="",Results!N15=""),"",IF(N27=Results!N15,1+IF(OR($O27=13,$P27=13,$Q27=13),1,0),0))</f>
        <v/>
      </c>
      <c r="AF27" s="11">
        <f t="shared" si="0"/>
        <v>0</v>
      </c>
      <c r="AG27" s="4" t="str">
        <f>IF(OR($R27="",Results!O15=""),"",ABS($R27-Results!O15))</f>
        <v/>
      </c>
      <c r="AH27" s="12">
        <v>38</v>
      </c>
      <c r="AI27" s="13" t="str">
        <f>IF(OR(B27="",Results!B15=""),"",IF(AND(B27=Results!B15,Results!B15&lt;&gt;Games!$C$135),1,0))</f>
        <v/>
      </c>
      <c r="AJ27" s="13" t="str">
        <f>IF(OR(C27="",Results!C15=""),"",IF(AND(C27=Results!C15,Results!C15&lt;&gt;Games!$C$136),1,0))</f>
        <v/>
      </c>
      <c r="AK27" s="13" t="str">
        <f>IF(OR(D27="",Results!D15=""),"",IF(AND(D27=Results!D15,Results!D15&lt;&gt;Games!$C$137),1,0))</f>
        <v/>
      </c>
      <c r="AL27" s="13" t="str">
        <f>IF(OR(E27="",Results!E15=""),"",IF(AND(E27=Results!E15,Results!E15&lt;&gt;Games!$C$138),1,0))</f>
        <v/>
      </c>
      <c r="AM27" s="13" t="str">
        <f>IF(OR(F27="",Results!F15=""),"",IF(AND(F27=Results!F15,Results!F15&lt;&gt;Games!$C$139),1,0))</f>
        <v/>
      </c>
      <c r="AN27" s="13" t="str">
        <f>IF(OR(G27="",Results!G15=""),"",IF(AND(G27=Results!G15,Results!G15&lt;&gt;Games!$C$140),1,0))</f>
        <v/>
      </c>
      <c r="AO27" s="13" t="str">
        <f>IF(OR(H27="",Results!H15=""),"",IF(AND(H27=Results!H15,Results!H15&lt;&gt;Games!$C$141),1,0))</f>
        <v/>
      </c>
      <c r="AP27" s="13" t="str">
        <f>IF(OR(I27="",Results!I15=""),"",IF(AND(I27=Results!I15,Results!I15&lt;&gt;Games!$C$142),1,0))</f>
        <v/>
      </c>
      <c r="AQ27" s="13" t="str">
        <f>IF(OR(J27="",Results!J15=""),"",IF(AND(J27=Results!J15,Results!J15&lt;&gt;Games!$C$143),1,0))</f>
        <v/>
      </c>
      <c r="AR27" s="13" t="str">
        <f>IF(OR(K27="",Results!K15=""),"",IF(AND(K27=Results!K15,Results!K15&lt;&gt;Games!$C$144),1,0))</f>
        <v/>
      </c>
      <c r="AS27" s="13" t="str">
        <f>IF(OR(L27="",Results!L15=""),"",IF(AND(L27=Results!L15,Results!L15&lt;&gt;Games!$C$145),1,0))</f>
        <v/>
      </c>
      <c r="AT27" s="13" t="str">
        <f>IF(OR(M27="",Results!M15=""),"",IF(AND(M27=Results!M15,Results!M15&lt;&gt;Games!$C$146),1,0))</f>
        <v/>
      </c>
      <c r="AU27" s="13" t="str">
        <f>IF(OR(N27="",Results!N15=""),"",IF(AND(N27=Results!N15,Results!N15&lt;&gt;Games!$C$147),1,0))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IF(OR(B28="",Results!B15=""),"",IF(B28=Results!B15,1+IF(OR($O28=1,$P28=1,$Q28=1),1,0),0))</f>
        <v/>
      </c>
      <c r="T28" s="4" t="str">
        <f>IF(OR(C28="",Results!C15=""),"",IF(C28=Results!C15,1+IF(OR($O28=2,$P28=2,$Q28=2),1,0),0))</f>
        <v/>
      </c>
      <c r="U28" s="4" t="str">
        <f>IF(OR(D28="",Results!D15=""),"",IF(D28=Results!D15,1+IF(OR($O28=3,$P28=3,$Q28=3),1,0),0))</f>
        <v/>
      </c>
      <c r="V28" s="4" t="str">
        <f>IF(OR(E28="",Results!E15=""),"",IF(E28=Results!E15,1+IF(OR($O28=4,$P28=4,$Q28=4),1,0),0))</f>
        <v/>
      </c>
      <c r="W28" s="4" t="str">
        <f>IF(OR(F28="",Results!F15=""),"",IF(F28=Results!F15,1+IF(OR($O28=5,$P28=5,$Q28=5),1,0),0))</f>
        <v/>
      </c>
      <c r="X28" s="4" t="str">
        <f>IF(OR(G28="",Results!G15=""),"",IF(G28=Results!G15,1+IF(OR($O28=6,$P28=6,$Q28=6),1,0),0))</f>
        <v/>
      </c>
      <c r="Y28" s="4" t="str">
        <f>IF(OR(H28="",Results!H15=""),"",IF(H28=Results!H15,1+IF(OR($O28=7,$P28=7,$Q28=7),1,0),0))</f>
        <v/>
      </c>
      <c r="Z28" s="4" t="str">
        <f>IF(OR(I28="",Results!I15=""),"",IF(I28=Results!I15,1+IF(OR($O28=8,$P28=8,$Q28=8),1,0),0))</f>
        <v/>
      </c>
      <c r="AA28" s="4" t="str">
        <f>IF(OR(J28="",Results!J15=""),"",IF(J28=Results!J15,1+IF(OR($O28=9,$P28=9,$Q28=9),1,0),0))</f>
        <v/>
      </c>
      <c r="AB28" s="4" t="str">
        <f>IF(OR(K28="",Results!K15=""),"",IF(K28=Results!K15,1+IF(OR($O28=10,$P28=10,$Q28=10),1,0),0))</f>
        <v/>
      </c>
      <c r="AC28" s="4" t="str">
        <f>IF(OR(L28="",Results!L15=""),"",IF(L28=Results!L15,1+IF(OR($O28=11,$P28=11,$Q28=11),1,0),0))</f>
        <v/>
      </c>
      <c r="AD28" s="4" t="str">
        <f>IF(OR(M28="",Results!M15=""),"",IF(M28=Results!M15,1+IF(OR($O28=12,$P28=12,$Q28=12),1,0),0))</f>
        <v/>
      </c>
      <c r="AE28" s="4" t="str">
        <f>IF(OR(N28="",Results!N15=""),"",IF(N28=Results!N15,1+IF(OR($O28=13,$P28=13,$Q28=13),1,0),0))</f>
        <v/>
      </c>
      <c r="AF28" s="11">
        <f t="shared" si="0"/>
        <v>0</v>
      </c>
      <c r="AG28" s="4" t="str">
        <f>IF(OR($R28="",Results!O15=""),"",ABS($R28-Results!O15))</f>
        <v/>
      </c>
      <c r="AH28" s="12">
        <v>60</v>
      </c>
      <c r="AI28" s="13" t="str">
        <f>IF(OR(B28="",Results!B15=""),"",IF(AND(B28=Results!B15,Results!B15&lt;&gt;Games!$C$135),1,0))</f>
        <v/>
      </c>
      <c r="AJ28" s="13" t="str">
        <f>IF(OR(C28="",Results!C15=""),"",IF(AND(C28=Results!C15,Results!C15&lt;&gt;Games!$C$136),1,0))</f>
        <v/>
      </c>
      <c r="AK28" s="13" t="str">
        <f>IF(OR(D28="",Results!D15=""),"",IF(AND(D28=Results!D15,Results!D15&lt;&gt;Games!$C$137),1,0))</f>
        <v/>
      </c>
      <c r="AL28" s="13" t="str">
        <f>IF(OR(E28="",Results!E15=""),"",IF(AND(E28=Results!E15,Results!E15&lt;&gt;Games!$C$138),1,0))</f>
        <v/>
      </c>
      <c r="AM28" s="13" t="str">
        <f>IF(OR(F28="",Results!F15=""),"",IF(AND(F28=Results!F15,Results!F15&lt;&gt;Games!$C$139),1,0))</f>
        <v/>
      </c>
      <c r="AN28" s="13" t="str">
        <f>IF(OR(G28="",Results!G15=""),"",IF(AND(G28=Results!G15,Results!G15&lt;&gt;Games!$C$140),1,0))</f>
        <v/>
      </c>
      <c r="AO28" s="13" t="str">
        <f>IF(OR(H28="",Results!H15=""),"",IF(AND(H28=Results!H15,Results!H15&lt;&gt;Games!$C$141),1,0))</f>
        <v/>
      </c>
      <c r="AP28" s="13" t="str">
        <f>IF(OR(I28="",Results!I15=""),"",IF(AND(I28=Results!I15,Results!I15&lt;&gt;Games!$C$142),1,0))</f>
        <v/>
      </c>
      <c r="AQ28" s="13" t="str">
        <f>IF(OR(J28="",Results!J15=""),"",IF(AND(J28=Results!J15,Results!J15&lt;&gt;Games!$C$143),1,0))</f>
        <v/>
      </c>
      <c r="AR28" s="13" t="str">
        <f>IF(OR(K28="",Results!K15=""),"",IF(AND(K28=Results!K15,Results!K15&lt;&gt;Games!$C$144),1,0))</f>
        <v/>
      </c>
      <c r="AS28" s="13" t="str">
        <f>IF(OR(L28="",Results!L15=""),"",IF(AND(L28=Results!L15,Results!L15&lt;&gt;Games!$C$145),1,0))</f>
        <v/>
      </c>
      <c r="AT28" s="13" t="str">
        <f>IF(OR(M28="",Results!M15=""),"",IF(AND(M28=Results!M15,Results!M15&lt;&gt;Games!$C$146),1,0))</f>
        <v/>
      </c>
      <c r="AU28" s="13" t="str">
        <f>IF(OR(N28="",Results!N15=""),"",IF(AND(N28=Results!N15,Results!N15&lt;&gt;Games!$C$147),1,0))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IF(OR(B29="",Results!B15=""),"",IF(B29=Results!B15,1+IF(OR($O29=1,$P29=1,$Q29=1),1,0),0))</f>
        <v/>
      </c>
      <c r="T29" s="4" t="str">
        <f>IF(OR(C29="",Results!C15=""),"",IF(C29=Results!C15,1+IF(OR($O29=2,$P29=2,$Q29=2),1,0),0))</f>
        <v/>
      </c>
      <c r="U29" s="4" t="str">
        <f>IF(OR(D29="",Results!D15=""),"",IF(D29=Results!D15,1+IF(OR($O29=3,$P29=3,$Q29=3),1,0),0))</f>
        <v/>
      </c>
      <c r="V29" s="4" t="str">
        <f>IF(OR(E29="",Results!E15=""),"",IF(E29=Results!E15,1+IF(OR($O29=4,$P29=4,$Q29=4),1,0),0))</f>
        <v/>
      </c>
      <c r="W29" s="4" t="str">
        <f>IF(OR(F29="",Results!F15=""),"",IF(F29=Results!F15,1+IF(OR($O29=5,$P29=5,$Q29=5),1,0),0))</f>
        <v/>
      </c>
      <c r="X29" s="4" t="str">
        <f>IF(OR(G29="",Results!G15=""),"",IF(G29=Results!G15,1+IF(OR($O29=6,$P29=6,$Q29=6),1,0),0))</f>
        <v/>
      </c>
      <c r="Y29" s="4" t="str">
        <f>IF(OR(H29="",Results!H15=""),"",IF(H29=Results!H15,1+IF(OR($O29=7,$P29=7,$Q29=7),1,0),0))</f>
        <v/>
      </c>
      <c r="Z29" s="4" t="str">
        <f>IF(OR(I29="",Results!I15=""),"",IF(I29=Results!I15,1+IF(OR($O29=8,$P29=8,$Q29=8),1,0),0))</f>
        <v/>
      </c>
      <c r="AA29" s="4" t="str">
        <f>IF(OR(J29="",Results!J15=""),"",IF(J29=Results!J15,1+IF(OR($O29=9,$P29=9,$Q29=9),1,0),0))</f>
        <v/>
      </c>
      <c r="AB29" s="4" t="str">
        <f>IF(OR(K29="",Results!K15=""),"",IF(K29=Results!K15,1+IF(OR($O29=10,$P29=10,$Q29=10),1,0),0))</f>
        <v/>
      </c>
      <c r="AC29" s="4" t="str">
        <f>IF(OR(L29="",Results!L15=""),"",IF(L29=Results!L15,1+IF(OR($O29=11,$P29=11,$Q29=11),1,0),0))</f>
        <v/>
      </c>
      <c r="AD29" s="4" t="str">
        <f>IF(OR(M29="",Results!M15=""),"",IF(M29=Results!M15,1+IF(OR($O29=12,$P29=12,$Q29=12),1,0),0))</f>
        <v/>
      </c>
      <c r="AE29" s="4" t="str">
        <f>IF(OR(N29="",Results!N15=""),"",IF(N29=Results!N15,1+IF(OR($O29=13,$P29=13,$Q29=13),1,0),0))</f>
        <v/>
      </c>
      <c r="AF29" s="11">
        <f t="shared" si="0"/>
        <v>0</v>
      </c>
      <c r="AG29" s="4" t="str">
        <f>IF(OR($R29="",Results!O15=""),"",ABS($R29-Results!O15))</f>
        <v/>
      </c>
      <c r="AH29" s="12">
        <v>11</v>
      </c>
      <c r="AI29" s="13" t="str">
        <f>IF(OR(B29="",Results!B15=""),"",IF(AND(B29=Results!B15,Results!B15&lt;&gt;Games!$C$135),1,0))</f>
        <v/>
      </c>
      <c r="AJ29" s="13" t="str">
        <f>IF(OR(C29="",Results!C15=""),"",IF(AND(C29=Results!C15,Results!C15&lt;&gt;Games!$C$136),1,0))</f>
        <v/>
      </c>
      <c r="AK29" s="13" t="str">
        <f>IF(OR(D29="",Results!D15=""),"",IF(AND(D29=Results!D15,Results!D15&lt;&gt;Games!$C$137),1,0))</f>
        <v/>
      </c>
      <c r="AL29" s="13" t="str">
        <f>IF(OR(E29="",Results!E15=""),"",IF(AND(E29=Results!E15,Results!E15&lt;&gt;Games!$C$138),1,0))</f>
        <v/>
      </c>
      <c r="AM29" s="13" t="str">
        <f>IF(OR(F29="",Results!F15=""),"",IF(AND(F29=Results!F15,Results!F15&lt;&gt;Games!$C$139),1,0))</f>
        <v/>
      </c>
      <c r="AN29" s="13" t="str">
        <f>IF(OR(G29="",Results!G15=""),"",IF(AND(G29=Results!G15,Results!G15&lt;&gt;Games!$C$140),1,0))</f>
        <v/>
      </c>
      <c r="AO29" s="13" t="str">
        <f>IF(OR(H29="",Results!H15=""),"",IF(AND(H29=Results!H15,Results!H15&lt;&gt;Games!$C$141),1,0))</f>
        <v/>
      </c>
      <c r="AP29" s="13" t="str">
        <f>IF(OR(I29="",Results!I15=""),"",IF(AND(I29=Results!I15,Results!I15&lt;&gt;Games!$C$142),1,0))</f>
        <v/>
      </c>
      <c r="AQ29" s="13" t="str">
        <f>IF(OR(J29="",Results!J15=""),"",IF(AND(J29=Results!J15,Results!J15&lt;&gt;Games!$C$143),1,0))</f>
        <v/>
      </c>
      <c r="AR29" s="13" t="str">
        <f>IF(OR(K29="",Results!K15=""),"",IF(AND(K29=Results!K15,Results!K15&lt;&gt;Games!$C$144),1,0))</f>
        <v/>
      </c>
      <c r="AS29" s="13" t="str">
        <f>IF(OR(L29="",Results!L15=""),"",IF(AND(L29=Results!L15,Results!L15&lt;&gt;Games!$C$145),1,0))</f>
        <v/>
      </c>
      <c r="AT29" s="13" t="str">
        <f>IF(OR(M29="",Results!M15=""),"",IF(AND(M29=Results!M15,Results!M15&lt;&gt;Games!$C$146),1,0))</f>
        <v/>
      </c>
      <c r="AU29" s="13" t="str">
        <f>IF(OR(N29="",Results!N15=""),"",IF(AND(N29=Results!N15,Results!N15&lt;&gt;Games!$C$147),1,0))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 t="str">
        <f>IF(OR(B30="",Results!B15=""),"",IF(B30=Results!B15,1+IF(OR($O30=1,$P30=1,$Q30=1),1,0),0))</f>
        <v/>
      </c>
      <c r="T30" s="4" t="str">
        <f>IF(OR(C30="",Results!C15=""),"",IF(C30=Results!C15,1+IF(OR($O30=2,$P30=2,$Q30=2),1,0),0))</f>
        <v/>
      </c>
      <c r="U30" s="4" t="str">
        <f>IF(OR(D30="",Results!D15=""),"",IF(D30=Results!D15,1+IF(OR($O30=3,$P30=3,$Q30=3),1,0),0))</f>
        <v/>
      </c>
      <c r="V30" s="4" t="str">
        <f>IF(OR(E30="",Results!E15=""),"",IF(E30=Results!E15,1+IF(OR($O30=4,$P30=4,$Q30=4),1,0),0))</f>
        <v/>
      </c>
      <c r="W30" s="4" t="str">
        <f>IF(OR(F30="",Results!F15=""),"",IF(F30=Results!F15,1+IF(OR($O30=5,$P30=5,$Q30=5),1,0),0))</f>
        <v/>
      </c>
      <c r="X30" s="4" t="str">
        <f>IF(OR(G30="",Results!G15=""),"",IF(G30=Results!G15,1+IF(OR($O30=6,$P30=6,$Q30=6),1,0),0))</f>
        <v/>
      </c>
      <c r="Y30" s="4" t="str">
        <f>IF(OR(H30="",Results!H15=""),"",IF(H30=Results!H15,1+IF(OR($O30=7,$P30=7,$Q30=7),1,0),0))</f>
        <v/>
      </c>
      <c r="Z30" s="4" t="str">
        <f>IF(OR(I30="",Results!I15=""),"",IF(I30=Results!I15,1+IF(OR($O30=8,$P30=8,$Q30=8),1,0),0))</f>
        <v/>
      </c>
      <c r="AA30" s="4" t="str">
        <f>IF(OR(J30="",Results!J15=""),"",IF(J30=Results!J15,1+IF(OR($O30=9,$P30=9,$Q30=9),1,0),0))</f>
        <v/>
      </c>
      <c r="AB30" s="4" t="str">
        <f>IF(OR(K30="",Results!K15=""),"",IF(K30=Results!K15,1+IF(OR($O30=10,$P30=10,$Q30=10),1,0),0))</f>
        <v/>
      </c>
      <c r="AC30" s="4" t="str">
        <f>IF(OR(L30="",Results!L15=""),"",IF(L30=Results!L15,1+IF(OR($O30=11,$P30=11,$Q30=11),1,0),0))</f>
        <v/>
      </c>
      <c r="AD30" s="4" t="str">
        <f>IF(OR(M30="",Results!M15=""),"",IF(M30=Results!M15,1+IF(OR($O30=12,$P30=12,$Q30=12),1,0),0))</f>
        <v/>
      </c>
      <c r="AE30" s="4" t="str">
        <f>IF(OR(N30="",Results!N15=""),"",IF(N30=Results!N15,1+IF(OR($O30=13,$P30=13,$Q30=13),1,0),0))</f>
        <v/>
      </c>
      <c r="AF30" s="11">
        <f t="shared" si="0"/>
        <v>0</v>
      </c>
      <c r="AG30" s="4" t="str">
        <f>IF(OR($R30="",Results!O15=""),"",ABS($R30-Results!O15))</f>
        <v/>
      </c>
      <c r="AH30" s="12">
        <v>12</v>
      </c>
      <c r="AI30" s="13" t="str">
        <f>IF(OR(B30="",Results!B15=""),"",IF(AND(B30=Results!B15,Results!B15&lt;&gt;Games!$C$135),1,0))</f>
        <v/>
      </c>
      <c r="AJ30" s="13" t="str">
        <f>IF(OR(C30="",Results!C15=""),"",IF(AND(C30=Results!C15,Results!C15&lt;&gt;Games!$C$136),1,0))</f>
        <v/>
      </c>
      <c r="AK30" s="13" t="str">
        <f>IF(OR(D30="",Results!D15=""),"",IF(AND(D30=Results!D15,Results!D15&lt;&gt;Games!$C$137),1,0))</f>
        <v/>
      </c>
      <c r="AL30" s="13" t="str">
        <f>IF(OR(E30="",Results!E15=""),"",IF(AND(E30=Results!E15,Results!E15&lt;&gt;Games!$C$138),1,0))</f>
        <v/>
      </c>
      <c r="AM30" s="13" t="str">
        <f>IF(OR(F30="",Results!F15=""),"",IF(AND(F30=Results!F15,Results!F15&lt;&gt;Games!$C$139),1,0))</f>
        <v/>
      </c>
      <c r="AN30" s="13" t="str">
        <f>IF(OR(G30="",Results!G15=""),"",IF(AND(G30=Results!G15,Results!G15&lt;&gt;Games!$C$140),1,0))</f>
        <v/>
      </c>
      <c r="AO30" s="13" t="str">
        <f>IF(OR(H30="",Results!H15=""),"",IF(AND(H30=Results!H15,Results!H15&lt;&gt;Games!$C$141),1,0))</f>
        <v/>
      </c>
      <c r="AP30" s="13" t="str">
        <f>IF(OR(I30="",Results!I15=""),"",IF(AND(I30=Results!I15,Results!I15&lt;&gt;Games!$C$142),1,0))</f>
        <v/>
      </c>
      <c r="AQ30" s="13" t="str">
        <f>IF(OR(J30="",Results!J15=""),"",IF(AND(J30=Results!J15,Results!J15&lt;&gt;Games!$C$143),1,0))</f>
        <v/>
      </c>
      <c r="AR30" s="13" t="str">
        <f>IF(OR(K30="",Results!K15=""),"",IF(AND(K30=Results!K15,Results!K15&lt;&gt;Games!$C$144),1,0))</f>
        <v/>
      </c>
      <c r="AS30" s="13" t="str">
        <f>IF(OR(L30="",Results!L15=""),"",IF(AND(L30=Results!L15,Results!L15&lt;&gt;Games!$C$145),1,0))</f>
        <v/>
      </c>
      <c r="AT30" s="13" t="str">
        <f>IF(OR(M30="",Results!M15=""),"",IF(AND(M30=Results!M15,Results!M15&lt;&gt;Games!$C$146),1,0))</f>
        <v/>
      </c>
      <c r="AU30" s="13" t="str">
        <f>IF(OR(N30="",Results!N15=""),"",IF(AND(N30=Results!N15,Results!N15&lt;&gt;Games!$C$147),1,0))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IF(OR(B31="",Results!B15=""),"",IF(B31=Results!B15,1+IF(OR($O31=1,$P31=1,$Q31=1),1,0),0))</f>
        <v/>
      </c>
      <c r="T31" s="4" t="str">
        <f>IF(OR(C31="",Results!C15=""),"",IF(C31=Results!C15,1+IF(OR($O31=2,$P31=2,$Q31=2),1,0),0))</f>
        <v/>
      </c>
      <c r="U31" s="4" t="str">
        <f>IF(OR(D31="",Results!D15=""),"",IF(D31=Results!D15,1+IF(OR($O31=3,$P31=3,$Q31=3),1,0),0))</f>
        <v/>
      </c>
      <c r="V31" s="4" t="str">
        <f>IF(OR(E31="",Results!E15=""),"",IF(E31=Results!E15,1+IF(OR($O31=4,$P31=4,$Q31=4),1,0),0))</f>
        <v/>
      </c>
      <c r="W31" s="4" t="str">
        <f>IF(OR(F31="",Results!F15=""),"",IF(F31=Results!F15,1+IF(OR($O31=5,$P31=5,$Q31=5),1,0),0))</f>
        <v/>
      </c>
      <c r="X31" s="4" t="str">
        <f>IF(OR(G31="",Results!G15=""),"",IF(G31=Results!G15,1+IF(OR($O31=6,$P31=6,$Q31=6),1,0),0))</f>
        <v/>
      </c>
      <c r="Y31" s="4" t="str">
        <f>IF(OR(H31="",Results!H15=""),"",IF(H31=Results!H15,1+IF(OR($O31=7,$P31=7,$Q31=7),1,0),0))</f>
        <v/>
      </c>
      <c r="Z31" s="4" t="str">
        <f>IF(OR(I31="",Results!I15=""),"",IF(I31=Results!I15,1+IF(OR($O31=8,$P31=8,$Q31=8),1,0),0))</f>
        <v/>
      </c>
      <c r="AA31" s="4" t="str">
        <f>IF(OR(J31="",Results!J15=""),"",IF(J31=Results!J15,1+IF(OR($O31=9,$P31=9,$Q31=9),1,0),0))</f>
        <v/>
      </c>
      <c r="AB31" s="4" t="str">
        <f>IF(OR(K31="",Results!K15=""),"",IF(K31=Results!K15,1+IF(OR($O31=10,$P31=10,$Q31=10),1,0),0))</f>
        <v/>
      </c>
      <c r="AC31" s="4" t="str">
        <f>IF(OR(L31="",Results!L15=""),"",IF(L31=Results!L15,1+IF(OR($O31=11,$P31=11,$Q31=11),1,0),0))</f>
        <v/>
      </c>
      <c r="AD31" s="4" t="str">
        <f>IF(OR(M31="",Results!M15=""),"",IF(M31=Results!M15,1+IF(OR($O31=12,$P31=12,$Q31=12),1,0),0))</f>
        <v/>
      </c>
      <c r="AE31" s="4" t="str">
        <f>IF(OR(N31="",Results!N15=""),"",IF(N31=Results!N15,1+IF(OR($O31=13,$P31=13,$Q31=13),1,0),0))</f>
        <v/>
      </c>
      <c r="AF31" s="11">
        <f t="shared" si="0"/>
        <v>0</v>
      </c>
      <c r="AG31" s="4" t="str">
        <f>IF(OR($R31="",Results!O15=""),"",ABS($R31-Results!O15))</f>
        <v/>
      </c>
      <c r="AH31" s="12">
        <v>13</v>
      </c>
      <c r="AI31" s="13" t="str">
        <f>IF(OR(B31="",Results!B15=""),"",IF(AND(B31=Results!B15,Results!B15&lt;&gt;Games!$C$135),1,0))</f>
        <v/>
      </c>
      <c r="AJ31" s="13" t="str">
        <f>IF(OR(C31="",Results!C15=""),"",IF(AND(C31=Results!C15,Results!C15&lt;&gt;Games!$C$136),1,0))</f>
        <v/>
      </c>
      <c r="AK31" s="13" t="str">
        <f>IF(OR(D31="",Results!D15=""),"",IF(AND(D31=Results!D15,Results!D15&lt;&gt;Games!$C$137),1,0))</f>
        <v/>
      </c>
      <c r="AL31" s="13" t="str">
        <f>IF(OR(E31="",Results!E15=""),"",IF(AND(E31=Results!E15,Results!E15&lt;&gt;Games!$C$138),1,0))</f>
        <v/>
      </c>
      <c r="AM31" s="13" t="str">
        <f>IF(OR(F31="",Results!F15=""),"",IF(AND(F31=Results!F15,Results!F15&lt;&gt;Games!$C$139),1,0))</f>
        <v/>
      </c>
      <c r="AN31" s="13" t="str">
        <f>IF(OR(G31="",Results!G15=""),"",IF(AND(G31=Results!G15,Results!G15&lt;&gt;Games!$C$140),1,0))</f>
        <v/>
      </c>
      <c r="AO31" s="13" t="str">
        <f>IF(OR(H31="",Results!H15=""),"",IF(AND(H31=Results!H15,Results!H15&lt;&gt;Games!$C$141),1,0))</f>
        <v/>
      </c>
      <c r="AP31" s="13" t="str">
        <f>IF(OR(I31="",Results!I15=""),"",IF(AND(I31=Results!I15,Results!I15&lt;&gt;Games!$C$142),1,0))</f>
        <v/>
      </c>
      <c r="AQ31" s="13" t="str">
        <f>IF(OR(J31="",Results!J15=""),"",IF(AND(J31=Results!J15,Results!J15&lt;&gt;Games!$C$143),1,0))</f>
        <v/>
      </c>
      <c r="AR31" s="13" t="str">
        <f>IF(OR(K31="",Results!K15=""),"",IF(AND(K31=Results!K15,Results!K15&lt;&gt;Games!$C$144),1,0))</f>
        <v/>
      </c>
      <c r="AS31" s="13" t="str">
        <f>IF(OR(L31="",Results!L15=""),"",IF(AND(L31=Results!L15,Results!L15&lt;&gt;Games!$C$145),1,0))</f>
        <v/>
      </c>
      <c r="AT31" s="13" t="str">
        <f>IF(OR(M31="",Results!M15=""),"",IF(AND(M31=Results!M15,Results!M15&lt;&gt;Games!$C$146),1,0))</f>
        <v/>
      </c>
      <c r="AU31" s="13" t="str">
        <f>IF(OR(N31="",Results!N15=""),"",IF(AND(N31=Results!N15,Results!N15&lt;&gt;Games!$C$147),1,0))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IF(OR(B32="",Results!B15=""),"",IF(B32=Results!B15,1+IF(OR($O32=1,$P32=1,$Q32=1),1,0),0))</f>
        <v/>
      </c>
      <c r="T32" s="4" t="str">
        <f>IF(OR(C32="",Results!C15=""),"",IF(C32=Results!C15,1+IF(OR($O32=2,$P32=2,$Q32=2),1,0),0))</f>
        <v/>
      </c>
      <c r="U32" s="4" t="str">
        <f>IF(OR(D32="",Results!D15=""),"",IF(D32=Results!D15,1+IF(OR($O32=3,$P32=3,$Q32=3),1,0),0))</f>
        <v/>
      </c>
      <c r="V32" s="4" t="str">
        <f>IF(OR(E32="",Results!E15=""),"",IF(E32=Results!E15,1+IF(OR($O32=4,$P32=4,$Q32=4),1,0),0))</f>
        <v/>
      </c>
      <c r="W32" s="4" t="str">
        <f>IF(OR(F32="",Results!F15=""),"",IF(F32=Results!F15,1+IF(OR($O32=5,$P32=5,$Q32=5),1,0),0))</f>
        <v/>
      </c>
      <c r="X32" s="4" t="str">
        <f>IF(OR(G32="",Results!G15=""),"",IF(G32=Results!G15,1+IF(OR($O32=6,$P32=6,$Q32=6),1,0),0))</f>
        <v/>
      </c>
      <c r="Y32" s="4" t="str">
        <f>IF(OR(H32="",Results!H15=""),"",IF(H32=Results!H15,1+IF(OR($O32=7,$P32=7,$Q32=7),1,0),0))</f>
        <v/>
      </c>
      <c r="Z32" s="4" t="str">
        <f>IF(OR(I32="",Results!I15=""),"",IF(I32=Results!I15,1+IF(OR($O32=8,$P32=8,$Q32=8),1,0),0))</f>
        <v/>
      </c>
      <c r="AA32" s="4" t="str">
        <f>IF(OR(J32="",Results!J15=""),"",IF(J32=Results!J15,1+IF(OR($O32=9,$P32=9,$Q32=9),1,0),0))</f>
        <v/>
      </c>
      <c r="AB32" s="4" t="str">
        <f>IF(OR(K32="",Results!K15=""),"",IF(K32=Results!K15,1+IF(OR($O32=10,$P32=10,$Q32=10),1,0),0))</f>
        <v/>
      </c>
      <c r="AC32" s="4" t="str">
        <f>IF(OR(L32="",Results!L15=""),"",IF(L32=Results!L15,1+IF(OR($O32=11,$P32=11,$Q32=11),1,0),0))</f>
        <v/>
      </c>
      <c r="AD32" s="4" t="str">
        <f>IF(OR(M32="",Results!M15=""),"",IF(M32=Results!M15,1+IF(OR($O32=12,$P32=12,$Q32=12),1,0),0))</f>
        <v/>
      </c>
      <c r="AE32" s="4" t="str">
        <f>IF(OR(N32="",Results!N15=""),"",IF(N32=Results!N15,1+IF(OR($O32=13,$P32=13,$Q32=13),1,0),0))</f>
        <v/>
      </c>
      <c r="AF32" s="11">
        <f t="shared" si="0"/>
        <v>0</v>
      </c>
      <c r="AG32" s="4" t="str">
        <f>IF(OR($R32="",Results!O15=""),"",ABS($R32-Results!O15))</f>
        <v/>
      </c>
      <c r="AH32" s="12">
        <v>14</v>
      </c>
      <c r="AI32" s="13" t="str">
        <f>IF(OR(B32="",Results!B15=""),"",IF(AND(B32=Results!B15,Results!B15&lt;&gt;Games!$C$135),1,0))</f>
        <v/>
      </c>
      <c r="AJ32" s="13" t="str">
        <f>IF(OR(C32="",Results!C15=""),"",IF(AND(C32=Results!C15,Results!C15&lt;&gt;Games!$C$136),1,0))</f>
        <v/>
      </c>
      <c r="AK32" s="13" t="str">
        <f>IF(OR(D32="",Results!D15=""),"",IF(AND(D32=Results!D15,Results!D15&lt;&gt;Games!$C$137),1,0))</f>
        <v/>
      </c>
      <c r="AL32" s="13" t="str">
        <f>IF(OR(E32="",Results!E15=""),"",IF(AND(E32=Results!E15,Results!E15&lt;&gt;Games!$C$138),1,0))</f>
        <v/>
      </c>
      <c r="AM32" s="13" t="str">
        <f>IF(OR(F32="",Results!F15=""),"",IF(AND(F32=Results!F15,Results!F15&lt;&gt;Games!$C$139),1,0))</f>
        <v/>
      </c>
      <c r="AN32" s="13" t="str">
        <f>IF(OR(G32="",Results!G15=""),"",IF(AND(G32=Results!G15,Results!G15&lt;&gt;Games!$C$140),1,0))</f>
        <v/>
      </c>
      <c r="AO32" s="13" t="str">
        <f>IF(OR(H32="",Results!H15=""),"",IF(AND(H32=Results!H15,Results!H15&lt;&gt;Games!$C$141),1,0))</f>
        <v/>
      </c>
      <c r="AP32" s="13" t="str">
        <f>IF(OR(I32="",Results!I15=""),"",IF(AND(I32=Results!I15,Results!I15&lt;&gt;Games!$C$142),1,0))</f>
        <v/>
      </c>
      <c r="AQ32" s="13" t="str">
        <f>IF(OR(J32="",Results!J15=""),"",IF(AND(J32=Results!J15,Results!J15&lt;&gt;Games!$C$143),1,0))</f>
        <v/>
      </c>
      <c r="AR32" s="13" t="str">
        <f>IF(OR(K32="",Results!K15=""),"",IF(AND(K32=Results!K15,Results!K15&lt;&gt;Games!$C$144),1,0))</f>
        <v/>
      </c>
      <c r="AS32" s="13" t="str">
        <f>IF(OR(L32="",Results!L15=""),"",IF(AND(L32=Results!L15,Results!L15&lt;&gt;Games!$C$145),1,0))</f>
        <v/>
      </c>
      <c r="AT32" s="13" t="str">
        <f>IF(OR(M32="",Results!M15=""),"",IF(AND(M32=Results!M15,Results!M15&lt;&gt;Games!$C$146),1,0))</f>
        <v/>
      </c>
      <c r="AU32" s="13" t="str">
        <f>IF(OR(N32="",Results!N15=""),"",IF(AND(N32=Results!N15,Results!N15&lt;&gt;Games!$C$147),1,0))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4" t="str">
        <f>IF(OR(B33="",Results!B15=""),"",IF(B33=Results!B15,1+IF(OR($O33=1,$P33=1,$Q33=1),1,0),0))</f>
        <v/>
      </c>
      <c r="T33" s="4" t="str">
        <f>IF(OR(C33="",Results!C15=""),"",IF(C33=Results!C15,1+IF(OR($O33=2,$P33=2,$Q33=2),1,0),0))</f>
        <v/>
      </c>
      <c r="U33" s="4" t="str">
        <f>IF(OR(D33="",Results!D15=""),"",IF(D33=Results!D15,1+IF(OR($O33=3,$P33=3,$Q33=3),1,0),0))</f>
        <v/>
      </c>
      <c r="V33" s="4" t="str">
        <f>IF(OR(E33="",Results!E15=""),"",IF(E33=Results!E15,1+IF(OR($O33=4,$P33=4,$Q33=4),1,0),0))</f>
        <v/>
      </c>
      <c r="W33" s="4" t="str">
        <f>IF(OR(F33="",Results!F15=""),"",IF(F33=Results!F15,1+IF(OR($O33=5,$P33=5,$Q33=5),1,0),0))</f>
        <v/>
      </c>
      <c r="X33" s="4" t="str">
        <f>IF(OR(G33="",Results!G15=""),"",IF(G33=Results!G15,1+IF(OR($O33=6,$P33=6,$Q33=6),1,0),0))</f>
        <v/>
      </c>
      <c r="Y33" s="4" t="str">
        <f>IF(OR(H33="",Results!H15=""),"",IF(H33=Results!H15,1+IF(OR($O33=7,$P33=7,$Q33=7),1,0),0))</f>
        <v/>
      </c>
      <c r="Z33" s="4" t="str">
        <f>IF(OR(I33="",Results!I15=""),"",IF(I33=Results!I15,1+IF(OR($O33=8,$P33=8,$Q33=8),1,0),0))</f>
        <v/>
      </c>
      <c r="AA33" s="4" t="str">
        <f>IF(OR(J33="",Results!J15=""),"",IF(J33=Results!J15,1+IF(OR($O33=9,$P33=9,$Q33=9),1,0),0))</f>
        <v/>
      </c>
      <c r="AB33" s="4" t="str">
        <f>IF(OR(K33="",Results!K15=""),"",IF(K33=Results!K15,1+IF(OR($O33=10,$P33=10,$Q33=10),1,0),0))</f>
        <v/>
      </c>
      <c r="AC33" s="4" t="str">
        <f>IF(OR(L33="",Results!L15=""),"",IF(L33=Results!L15,1+IF(OR($O33=11,$P33=11,$Q33=11),1,0),0))</f>
        <v/>
      </c>
      <c r="AD33" s="4" t="str">
        <f>IF(OR(M33="",Results!M15=""),"",IF(M33=Results!M15,1+IF(OR($O33=12,$P33=12,$Q33=12),1,0),0))</f>
        <v/>
      </c>
      <c r="AE33" s="4" t="str">
        <f>IF(OR(N33="",Results!N15=""),"",IF(N33=Results!N15,1+IF(OR($O33=13,$P33=13,$Q33=13),1,0),0))</f>
        <v/>
      </c>
      <c r="AF33" s="11">
        <f t="shared" si="0"/>
        <v>0</v>
      </c>
      <c r="AG33" s="4" t="str">
        <f>IF(OR($R33="",Results!O15=""),"",ABS($R33-Results!O15))</f>
        <v/>
      </c>
      <c r="AH33" s="12">
        <v>15</v>
      </c>
      <c r="AI33" s="13" t="str">
        <f>IF(OR(B33="",Results!B15=""),"",IF(AND(B33=Results!B15,Results!B15&lt;&gt;Games!$C$135),1,0))</f>
        <v/>
      </c>
      <c r="AJ33" s="13" t="str">
        <f>IF(OR(C33="",Results!C15=""),"",IF(AND(C33=Results!C15,Results!C15&lt;&gt;Games!$C$136),1,0))</f>
        <v/>
      </c>
      <c r="AK33" s="13" t="str">
        <f>IF(OR(D33="",Results!D15=""),"",IF(AND(D33=Results!D15,Results!D15&lt;&gt;Games!$C$137),1,0))</f>
        <v/>
      </c>
      <c r="AL33" s="13" t="str">
        <f>IF(OR(E33="",Results!E15=""),"",IF(AND(E33=Results!E15,Results!E15&lt;&gt;Games!$C$138),1,0))</f>
        <v/>
      </c>
      <c r="AM33" s="13" t="str">
        <f>IF(OR(F33="",Results!F15=""),"",IF(AND(F33=Results!F15,Results!F15&lt;&gt;Games!$C$139),1,0))</f>
        <v/>
      </c>
      <c r="AN33" s="13" t="str">
        <f>IF(OR(G33="",Results!G15=""),"",IF(AND(G33=Results!G15,Results!G15&lt;&gt;Games!$C$140),1,0))</f>
        <v/>
      </c>
      <c r="AO33" s="13" t="str">
        <f>IF(OR(H33="",Results!H15=""),"",IF(AND(H33=Results!H15,Results!H15&lt;&gt;Games!$C$141),1,0))</f>
        <v/>
      </c>
      <c r="AP33" s="13" t="str">
        <f>IF(OR(I33="",Results!I15=""),"",IF(AND(I33=Results!I15,Results!I15&lt;&gt;Games!$C$142),1,0))</f>
        <v/>
      </c>
      <c r="AQ33" s="13" t="str">
        <f>IF(OR(J33="",Results!J15=""),"",IF(AND(J33=Results!J15,Results!J15&lt;&gt;Games!$C$143),1,0))</f>
        <v/>
      </c>
      <c r="AR33" s="13" t="str">
        <f>IF(OR(K33="",Results!K15=""),"",IF(AND(K33=Results!K15,Results!K15&lt;&gt;Games!$C$144),1,0))</f>
        <v/>
      </c>
      <c r="AS33" s="13" t="str">
        <f>IF(OR(L33="",Results!L15=""),"",IF(AND(L33=Results!L15,Results!L15&lt;&gt;Games!$C$145),1,0))</f>
        <v/>
      </c>
      <c r="AT33" s="13" t="str">
        <f>IF(OR(M33="",Results!M15=""),"",IF(AND(M33=Results!M15,Results!M15&lt;&gt;Games!$C$146),1,0))</f>
        <v/>
      </c>
      <c r="AU33" s="13" t="str">
        <f>IF(OR(N33="",Results!N15=""),"",IF(AND(N33=Results!N15,Results!N15&lt;&gt;Games!$C$147),1,0))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IF(OR(B34="",Results!B15=""),"",IF(B34=Results!B15,1+IF(OR($O34=1,$P34=1,$Q34=1),1,0),0))</f>
        <v/>
      </c>
      <c r="T34" s="4" t="str">
        <f>IF(OR(C34="",Results!C15=""),"",IF(C34=Results!C15,1+IF(OR($O34=2,$P34=2,$Q34=2),1,0),0))</f>
        <v/>
      </c>
      <c r="U34" s="4" t="str">
        <f>IF(OR(D34="",Results!D15=""),"",IF(D34=Results!D15,1+IF(OR($O34=3,$P34=3,$Q34=3),1,0),0))</f>
        <v/>
      </c>
      <c r="V34" s="4" t="str">
        <f>IF(OR(E34="",Results!E15=""),"",IF(E34=Results!E15,1+IF(OR($O34=4,$P34=4,$Q34=4),1,0),0))</f>
        <v/>
      </c>
      <c r="W34" s="4" t="str">
        <f>IF(OR(F34="",Results!F15=""),"",IF(F34=Results!F15,1+IF(OR($O34=5,$P34=5,$Q34=5),1,0),0))</f>
        <v/>
      </c>
      <c r="X34" s="4" t="str">
        <f>IF(OR(G34="",Results!G15=""),"",IF(G34=Results!G15,1+IF(OR($O34=6,$P34=6,$Q34=6),1,0),0))</f>
        <v/>
      </c>
      <c r="Y34" s="4" t="str">
        <f>IF(OR(H34="",Results!H15=""),"",IF(H34=Results!H15,1+IF(OR($O34=7,$P34=7,$Q34=7),1,0),0))</f>
        <v/>
      </c>
      <c r="Z34" s="4" t="str">
        <f>IF(OR(I34="",Results!I15=""),"",IF(I34=Results!I15,1+IF(OR($O34=8,$P34=8,$Q34=8),1,0),0))</f>
        <v/>
      </c>
      <c r="AA34" s="4" t="str">
        <f>IF(OR(J34="",Results!J15=""),"",IF(J34=Results!J15,1+IF(OR($O34=9,$P34=9,$Q34=9),1,0),0))</f>
        <v/>
      </c>
      <c r="AB34" s="4" t="str">
        <f>IF(OR(K34="",Results!K15=""),"",IF(K34=Results!K15,1+IF(OR($O34=10,$P34=10,$Q34=10),1,0),0))</f>
        <v/>
      </c>
      <c r="AC34" s="4" t="str">
        <f>IF(OR(L34="",Results!L15=""),"",IF(L34=Results!L15,1+IF(OR($O34=11,$P34=11,$Q34=11),1,0),0))</f>
        <v/>
      </c>
      <c r="AD34" s="4" t="str">
        <f>IF(OR(M34="",Results!M15=""),"",IF(M34=Results!M15,1+IF(OR($O34=12,$P34=12,$Q34=12),1,0),0))</f>
        <v/>
      </c>
      <c r="AE34" s="4" t="str">
        <f>IF(OR(N34="",Results!N15=""),"",IF(N34=Results!N15,1+IF(OR($O34=13,$P34=13,$Q34=13),1,0),0))</f>
        <v/>
      </c>
      <c r="AF34" s="11">
        <f t="shared" si="0"/>
        <v>0</v>
      </c>
      <c r="AG34" s="4" t="str">
        <f>IF(OR($R34="",Results!O15=""),"",ABS($R34-Results!O15))</f>
        <v/>
      </c>
      <c r="AH34" s="12">
        <v>16</v>
      </c>
      <c r="AI34" s="13" t="str">
        <f>IF(OR(B34="",Results!B15=""),"",IF(AND(B34=Results!B15,Results!B15&lt;&gt;Games!$C$135),1,0))</f>
        <v/>
      </c>
      <c r="AJ34" s="13" t="str">
        <f>IF(OR(C34="",Results!C15=""),"",IF(AND(C34=Results!C15,Results!C15&lt;&gt;Games!$C$136),1,0))</f>
        <v/>
      </c>
      <c r="AK34" s="13" t="str">
        <f>IF(OR(D34="",Results!D15=""),"",IF(AND(D34=Results!D15,Results!D15&lt;&gt;Games!$C$137),1,0))</f>
        <v/>
      </c>
      <c r="AL34" s="13" t="str">
        <f>IF(OR(E34="",Results!E15=""),"",IF(AND(E34=Results!E15,Results!E15&lt;&gt;Games!$C$138),1,0))</f>
        <v/>
      </c>
      <c r="AM34" s="13" t="str">
        <f>IF(OR(F34="",Results!F15=""),"",IF(AND(F34=Results!F15,Results!F15&lt;&gt;Games!$C$139),1,0))</f>
        <v/>
      </c>
      <c r="AN34" s="13" t="str">
        <f>IF(OR(G34="",Results!G15=""),"",IF(AND(G34=Results!G15,Results!G15&lt;&gt;Games!$C$140),1,0))</f>
        <v/>
      </c>
      <c r="AO34" s="13" t="str">
        <f>IF(OR(H34="",Results!H15=""),"",IF(AND(H34=Results!H15,Results!H15&lt;&gt;Games!$C$141),1,0))</f>
        <v/>
      </c>
      <c r="AP34" s="13" t="str">
        <f>IF(OR(I34="",Results!I15=""),"",IF(AND(I34=Results!I15,Results!I15&lt;&gt;Games!$C$142),1,0))</f>
        <v/>
      </c>
      <c r="AQ34" s="13" t="str">
        <f>IF(OR(J34="",Results!J15=""),"",IF(AND(J34=Results!J15,Results!J15&lt;&gt;Games!$C$143),1,0))</f>
        <v/>
      </c>
      <c r="AR34" s="13" t="str">
        <f>IF(OR(K34="",Results!K15=""),"",IF(AND(K34=Results!K15,Results!K15&lt;&gt;Games!$C$144),1,0))</f>
        <v/>
      </c>
      <c r="AS34" s="13" t="str">
        <f>IF(OR(L34="",Results!L15=""),"",IF(AND(L34=Results!L15,Results!L15&lt;&gt;Games!$C$145),1,0))</f>
        <v/>
      </c>
      <c r="AT34" s="13" t="str">
        <f>IF(OR(M34="",Results!M15=""),"",IF(AND(M34=Results!M15,Results!M15&lt;&gt;Games!$C$146),1,0))</f>
        <v/>
      </c>
      <c r="AU34" s="13" t="str">
        <f>IF(OR(N34="",Results!N15=""),"",IF(AND(N34=Results!N15,Results!N15&lt;&gt;Games!$C$147),1,0))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IF(OR(B35="",Results!B15=""),"",IF(B35=Results!B15,1+IF(OR($O35=1,$P35=1,$Q35=1),1,0),0))</f>
        <v/>
      </c>
      <c r="T35" s="4" t="str">
        <f>IF(OR(C35="",Results!C15=""),"",IF(C35=Results!C15,1+IF(OR($O35=2,$P35=2,$Q35=2),1,0),0))</f>
        <v/>
      </c>
      <c r="U35" s="4" t="str">
        <f>IF(OR(D35="",Results!D15=""),"",IF(D35=Results!D15,1+IF(OR($O35=3,$P35=3,$Q35=3),1,0),0))</f>
        <v/>
      </c>
      <c r="V35" s="4" t="str">
        <f>IF(OR(E35="",Results!E15=""),"",IF(E35=Results!E15,1+IF(OR($O35=4,$P35=4,$Q35=4),1,0),0))</f>
        <v/>
      </c>
      <c r="W35" s="4" t="str">
        <f>IF(OR(F35="",Results!F15=""),"",IF(F35=Results!F15,1+IF(OR($O35=5,$P35=5,$Q35=5),1,0),0))</f>
        <v/>
      </c>
      <c r="X35" s="4" t="str">
        <f>IF(OR(G35="",Results!G15=""),"",IF(G35=Results!G15,1+IF(OR($O35=6,$P35=6,$Q35=6),1,0),0))</f>
        <v/>
      </c>
      <c r="Y35" s="4" t="str">
        <f>IF(OR(H35="",Results!H15=""),"",IF(H35=Results!H15,1+IF(OR($O35=7,$P35=7,$Q35=7),1,0),0))</f>
        <v/>
      </c>
      <c r="Z35" s="4" t="str">
        <f>IF(OR(I35="",Results!I15=""),"",IF(I35=Results!I15,1+IF(OR($O35=8,$P35=8,$Q35=8),1,0),0))</f>
        <v/>
      </c>
      <c r="AA35" s="4" t="str">
        <f>IF(OR(J35="",Results!J15=""),"",IF(J35=Results!J15,1+IF(OR($O35=9,$P35=9,$Q35=9),1,0),0))</f>
        <v/>
      </c>
      <c r="AB35" s="4" t="str">
        <f>IF(OR(K35="",Results!K15=""),"",IF(K35=Results!K15,1+IF(OR($O35=10,$P35=10,$Q35=10),1,0),0))</f>
        <v/>
      </c>
      <c r="AC35" s="4" t="str">
        <f>IF(OR(L35="",Results!L15=""),"",IF(L35=Results!L15,1+IF(OR($O35=11,$P35=11,$Q35=11),1,0),0))</f>
        <v/>
      </c>
      <c r="AD35" s="4" t="str">
        <f>IF(OR(M35="",Results!M15=""),"",IF(M35=Results!M15,1+IF(OR($O35=12,$P35=12,$Q35=12),1,0),0))</f>
        <v/>
      </c>
      <c r="AE35" s="4" t="str">
        <f>IF(OR(N35="",Results!N15=""),"",IF(N35=Results!N15,1+IF(OR($O35=13,$P35=13,$Q35=13),1,0),0))</f>
        <v/>
      </c>
      <c r="AF35" s="11">
        <f t="shared" si="0"/>
        <v>0</v>
      </c>
      <c r="AG35" s="4" t="str">
        <f>IF(OR($R35="",Results!O15=""),"",ABS($R35-Results!O15))</f>
        <v/>
      </c>
      <c r="AH35" s="12">
        <v>17</v>
      </c>
      <c r="AI35" s="13" t="str">
        <f>IF(OR(B35="",Results!B15=""),"",IF(AND(B35=Results!B15,Results!B15&lt;&gt;Games!$C$135),1,0))</f>
        <v/>
      </c>
      <c r="AJ35" s="13" t="str">
        <f>IF(OR(C35="",Results!C15=""),"",IF(AND(C35=Results!C15,Results!C15&lt;&gt;Games!$C$136),1,0))</f>
        <v/>
      </c>
      <c r="AK35" s="13" t="str">
        <f>IF(OR(D35="",Results!D15=""),"",IF(AND(D35=Results!D15,Results!D15&lt;&gt;Games!$C$137),1,0))</f>
        <v/>
      </c>
      <c r="AL35" s="13" t="str">
        <f>IF(OR(E35="",Results!E15=""),"",IF(AND(E35=Results!E15,Results!E15&lt;&gt;Games!$C$138),1,0))</f>
        <v/>
      </c>
      <c r="AM35" s="13" t="str">
        <f>IF(OR(F35="",Results!F15=""),"",IF(AND(F35=Results!F15,Results!F15&lt;&gt;Games!$C$139),1,0))</f>
        <v/>
      </c>
      <c r="AN35" s="13" t="str">
        <f>IF(OR(G35="",Results!G15=""),"",IF(AND(G35=Results!G15,Results!G15&lt;&gt;Games!$C$140),1,0))</f>
        <v/>
      </c>
      <c r="AO35" s="13" t="str">
        <f>IF(OR(H35="",Results!H15=""),"",IF(AND(H35=Results!H15,Results!H15&lt;&gt;Games!$C$141),1,0))</f>
        <v/>
      </c>
      <c r="AP35" s="13" t="str">
        <f>IF(OR(I35="",Results!I15=""),"",IF(AND(I35=Results!I15,Results!I15&lt;&gt;Games!$C$142),1,0))</f>
        <v/>
      </c>
      <c r="AQ35" s="13" t="str">
        <f>IF(OR(J35="",Results!J15=""),"",IF(AND(J35=Results!J15,Results!J15&lt;&gt;Games!$C$143),1,0))</f>
        <v/>
      </c>
      <c r="AR35" s="13" t="str">
        <f>IF(OR(K35="",Results!K15=""),"",IF(AND(K35=Results!K15,Results!K15&lt;&gt;Games!$C$144),1,0))</f>
        <v/>
      </c>
      <c r="AS35" s="13" t="str">
        <f>IF(OR(L35="",Results!L15=""),"",IF(AND(L35=Results!L15,Results!L15&lt;&gt;Games!$C$145),1,0))</f>
        <v/>
      </c>
      <c r="AT35" s="13" t="str">
        <f>IF(OR(M35="",Results!M15=""),"",IF(AND(M35=Results!M15,Results!M15&lt;&gt;Games!$C$146),1,0))</f>
        <v/>
      </c>
      <c r="AU35" s="13" t="str">
        <f>IF(OR(N35="",Results!N15=""),"",IF(AND(N35=Results!N15,Results!N15&lt;&gt;Games!$C$147),1,0))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IF(OR(B36="",Results!B15=""),"",IF(B36=Results!B15,1+IF(OR($O36=1,$P36=1,$Q36=1),1,0),0))</f>
        <v/>
      </c>
      <c r="T36" s="4" t="str">
        <f>IF(OR(C36="",Results!C15=""),"",IF(C36=Results!C15,1+IF(OR($O36=2,$P36=2,$Q36=2),1,0),0))</f>
        <v/>
      </c>
      <c r="U36" s="4" t="str">
        <f>IF(OR(D36="",Results!D15=""),"",IF(D36=Results!D15,1+IF(OR($O36=3,$P36=3,$Q36=3),1,0),0))</f>
        <v/>
      </c>
      <c r="V36" s="4" t="str">
        <f>IF(OR(E36="",Results!E15=""),"",IF(E36=Results!E15,1+IF(OR($O36=4,$P36=4,$Q36=4),1,0),0))</f>
        <v/>
      </c>
      <c r="W36" s="4" t="str">
        <f>IF(OR(F36="",Results!F15=""),"",IF(F36=Results!F15,1+IF(OR($O36=5,$P36=5,$Q36=5),1,0),0))</f>
        <v/>
      </c>
      <c r="X36" s="4" t="str">
        <f>IF(OR(G36="",Results!G15=""),"",IF(G36=Results!G15,1+IF(OR($O36=6,$P36=6,$Q36=6),1,0),0))</f>
        <v/>
      </c>
      <c r="Y36" s="4" t="str">
        <f>IF(OR(H36="",Results!H15=""),"",IF(H36=Results!H15,1+IF(OR($O36=7,$P36=7,$Q36=7),1,0),0))</f>
        <v/>
      </c>
      <c r="Z36" s="4" t="str">
        <f>IF(OR(I36="",Results!I15=""),"",IF(I36=Results!I15,1+IF(OR($O36=8,$P36=8,$Q36=8),1,0),0))</f>
        <v/>
      </c>
      <c r="AA36" s="4" t="str">
        <f>IF(OR(J36="",Results!J15=""),"",IF(J36=Results!J15,1+IF(OR($O36=9,$P36=9,$Q36=9),1,0),0))</f>
        <v/>
      </c>
      <c r="AB36" s="4" t="str">
        <f>IF(OR(K36="",Results!K15=""),"",IF(K36=Results!K15,1+IF(OR($O36=10,$P36=10,$Q36=10),1,0),0))</f>
        <v/>
      </c>
      <c r="AC36" s="4" t="str">
        <f>IF(OR(L36="",Results!L15=""),"",IF(L36=Results!L15,1+IF(OR($O36=11,$P36=11,$Q36=11),1,0),0))</f>
        <v/>
      </c>
      <c r="AD36" s="4" t="str">
        <f>IF(OR(M36="",Results!M15=""),"",IF(M36=Results!M15,1+IF(OR($O36=12,$P36=12,$Q36=12),1,0),0))</f>
        <v/>
      </c>
      <c r="AE36" s="4" t="str">
        <f>IF(OR(N36="",Results!N15=""),"",IF(N36=Results!N15,1+IF(OR($O36=13,$P36=13,$Q36=13),1,0),0))</f>
        <v/>
      </c>
      <c r="AF36" s="11">
        <f t="shared" si="0"/>
        <v>0</v>
      </c>
      <c r="AG36" s="4" t="str">
        <f>IF(OR($R36="",Results!O15=""),"",ABS($R36-Results!O15))</f>
        <v/>
      </c>
      <c r="AH36" s="12">
        <v>39</v>
      </c>
      <c r="AI36" s="13" t="str">
        <f>IF(OR(B36="",Results!B15=""),"",IF(AND(B36=Results!B15,Results!B15&lt;&gt;Games!$C$135),1,0))</f>
        <v/>
      </c>
      <c r="AJ36" s="13" t="str">
        <f>IF(OR(C36="",Results!C15=""),"",IF(AND(C36=Results!C15,Results!C15&lt;&gt;Games!$C$136),1,0))</f>
        <v/>
      </c>
      <c r="AK36" s="13" t="str">
        <f>IF(OR(D36="",Results!D15=""),"",IF(AND(D36=Results!D15,Results!D15&lt;&gt;Games!$C$137),1,0))</f>
        <v/>
      </c>
      <c r="AL36" s="13" t="str">
        <f>IF(OR(E36="",Results!E15=""),"",IF(AND(E36=Results!E15,Results!E15&lt;&gt;Games!$C$138),1,0))</f>
        <v/>
      </c>
      <c r="AM36" s="13" t="str">
        <f>IF(OR(F36="",Results!F15=""),"",IF(AND(F36=Results!F15,Results!F15&lt;&gt;Games!$C$139),1,0))</f>
        <v/>
      </c>
      <c r="AN36" s="13" t="str">
        <f>IF(OR(G36="",Results!G15=""),"",IF(AND(G36=Results!G15,Results!G15&lt;&gt;Games!$C$140),1,0))</f>
        <v/>
      </c>
      <c r="AO36" s="13" t="str">
        <f>IF(OR(H36="",Results!H15=""),"",IF(AND(H36=Results!H15,Results!H15&lt;&gt;Games!$C$141),1,0))</f>
        <v/>
      </c>
      <c r="AP36" s="13" t="str">
        <f>IF(OR(I36="",Results!I15=""),"",IF(AND(I36=Results!I15,Results!I15&lt;&gt;Games!$C$142),1,0))</f>
        <v/>
      </c>
      <c r="AQ36" s="13" t="str">
        <f>IF(OR(J36="",Results!J15=""),"",IF(AND(J36=Results!J15,Results!J15&lt;&gt;Games!$C$143),1,0))</f>
        <v/>
      </c>
      <c r="AR36" s="13" t="str">
        <f>IF(OR(K36="",Results!K15=""),"",IF(AND(K36=Results!K15,Results!K15&lt;&gt;Games!$C$144),1,0))</f>
        <v/>
      </c>
      <c r="AS36" s="13" t="str">
        <f>IF(OR(L36="",Results!L15=""),"",IF(AND(L36=Results!L15,Results!L15&lt;&gt;Games!$C$145),1,0))</f>
        <v/>
      </c>
      <c r="AT36" s="13" t="str">
        <f>IF(OR(M36="",Results!M15=""),"",IF(AND(M36=Results!M15,Results!M15&lt;&gt;Games!$C$146),1,0))</f>
        <v/>
      </c>
      <c r="AU36" s="13" t="str">
        <f>IF(OR(N36="",Results!N15=""),"",IF(AND(N36=Results!N15,Results!N15&lt;&gt;Games!$C$147),1,0))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IF(OR(B37="",Results!B15=""),"",IF(B37=Results!B15,1+IF(OR($O37=1,$P37=1,$Q37=1),1,0),0))</f>
        <v/>
      </c>
      <c r="T37" s="4" t="str">
        <f>IF(OR(C37="",Results!C15=""),"",IF(C37=Results!C15,1+IF(OR($O37=2,$P37=2,$Q37=2),1,0),0))</f>
        <v/>
      </c>
      <c r="U37" s="4" t="str">
        <f>IF(OR(D37="",Results!D15=""),"",IF(D37=Results!D15,1+IF(OR($O37=3,$P37=3,$Q37=3),1,0),0))</f>
        <v/>
      </c>
      <c r="V37" s="4" t="str">
        <f>IF(OR(E37="",Results!E15=""),"",IF(E37=Results!E15,1+IF(OR($O37=4,$P37=4,$Q37=4),1,0),0))</f>
        <v/>
      </c>
      <c r="W37" s="4" t="str">
        <f>IF(OR(F37="",Results!F15=""),"",IF(F37=Results!F15,1+IF(OR($O37=5,$P37=5,$Q37=5),1,0),0))</f>
        <v/>
      </c>
      <c r="X37" s="4" t="str">
        <f>IF(OR(G37="",Results!G15=""),"",IF(G37=Results!G15,1+IF(OR($O37=6,$P37=6,$Q37=6),1,0),0))</f>
        <v/>
      </c>
      <c r="Y37" s="4" t="str">
        <f>IF(OR(H37="",Results!H15=""),"",IF(H37=Results!H15,1+IF(OR($O37=7,$P37=7,$Q37=7),1,0),0))</f>
        <v/>
      </c>
      <c r="Z37" s="4" t="str">
        <f>IF(OR(I37="",Results!I15=""),"",IF(I37=Results!I15,1+IF(OR($O37=8,$P37=8,$Q37=8),1,0),0))</f>
        <v/>
      </c>
      <c r="AA37" s="4" t="str">
        <f>IF(OR(J37="",Results!J15=""),"",IF(J37=Results!J15,1+IF(OR($O37=9,$P37=9,$Q37=9),1,0),0))</f>
        <v/>
      </c>
      <c r="AB37" s="4" t="str">
        <f>IF(OR(K37="",Results!K15=""),"",IF(K37=Results!K15,1+IF(OR($O37=10,$P37=10,$Q37=10),1,0),0))</f>
        <v/>
      </c>
      <c r="AC37" s="4" t="str">
        <f>IF(OR(L37="",Results!L15=""),"",IF(L37=Results!L15,1+IF(OR($O37=11,$P37=11,$Q37=11),1,0),0))</f>
        <v/>
      </c>
      <c r="AD37" s="4" t="str">
        <f>IF(OR(M37="",Results!M15=""),"",IF(M37=Results!M15,1+IF(OR($O37=12,$P37=12,$Q37=12),1,0),0))</f>
        <v/>
      </c>
      <c r="AE37" s="4" t="str">
        <f>IF(OR(N37="",Results!N15=""),"",IF(N37=Results!N15,1+IF(OR($O37=13,$P37=13,$Q37=13),1,0),0))</f>
        <v/>
      </c>
      <c r="AF37" s="11">
        <f t="shared" si="0"/>
        <v>0</v>
      </c>
      <c r="AG37" s="4" t="str">
        <f>IF(OR($R37="",Results!O15=""),"",ABS($R37-Results!O15))</f>
        <v/>
      </c>
      <c r="AH37" s="12">
        <v>49</v>
      </c>
      <c r="AI37" s="13" t="str">
        <f>IF(OR(B37="",Results!B15=""),"",IF(AND(B37=Results!B15,Results!B15&lt;&gt;Games!$C$135),1,0))</f>
        <v/>
      </c>
      <c r="AJ37" s="13" t="str">
        <f>IF(OR(C37="",Results!C15=""),"",IF(AND(C37=Results!C15,Results!C15&lt;&gt;Games!$C$136),1,0))</f>
        <v/>
      </c>
      <c r="AK37" s="13" t="str">
        <f>IF(OR(D37="",Results!D15=""),"",IF(AND(D37=Results!D15,Results!D15&lt;&gt;Games!$C$137),1,0))</f>
        <v/>
      </c>
      <c r="AL37" s="13" t="str">
        <f>IF(OR(E37="",Results!E15=""),"",IF(AND(E37=Results!E15,Results!E15&lt;&gt;Games!$C$138),1,0))</f>
        <v/>
      </c>
      <c r="AM37" s="13" t="str">
        <f>IF(OR(F37="",Results!F15=""),"",IF(AND(F37=Results!F15,Results!F15&lt;&gt;Games!$C$139),1,0))</f>
        <v/>
      </c>
      <c r="AN37" s="13" t="str">
        <f>IF(OR(G37="",Results!G15=""),"",IF(AND(G37=Results!G15,Results!G15&lt;&gt;Games!$C$140),1,0))</f>
        <v/>
      </c>
      <c r="AO37" s="13" t="str">
        <f>IF(OR(H37="",Results!H15=""),"",IF(AND(H37=Results!H15,Results!H15&lt;&gt;Games!$C$141),1,0))</f>
        <v/>
      </c>
      <c r="AP37" s="13" t="str">
        <f>IF(OR(I37="",Results!I15=""),"",IF(AND(I37=Results!I15,Results!I15&lt;&gt;Games!$C$142),1,0))</f>
        <v/>
      </c>
      <c r="AQ37" s="13" t="str">
        <f>IF(OR(J37="",Results!J15=""),"",IF(AND(J37=Results!J15,Results!J15&lt;&gt;Games!$C$143),1,0))</f>
        <v/>
      </c>
      <c r="AR37" s="13" t="str">
        <f>IF(OR(K37="",Results!K15=""),"",IF(AND(K37=Results!K15,Results!K15&lt;&gt;Games!$C$144),1,0))</f>
        <v/>
      </c>
      <c r="AS37" s="13" t="str">
        <f>IF(OR(L37="",Results!L15=""),"",IF(AND(L37=Results!L15,Results!L15&lt;&gt;Games!$C$145),1,0))</f>
        <v/>
      </c>
      <c r="AT37" s="13" t="str">
        <f>IF(OR(M37="",Results!M15=""),"",IF(AND(M37=Results!M15,Results!M15&lt;&gt;Games!$C$146),1,0))</f>
        <v/>
      </c>
      <c r="AU37" s="13" t="str">
        <f>IF(OR(N37="",Results!N15=""),"",IF(AND(N37=Results!N15,Results!N15&lt;&gt;Games!$C$147),1,0))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tr">
        <f>IF(OR(B38="",Results!B15=""),"",IF(B38=Results!B15,1+IF(OR($O38=1,$P38=1,$Q38=1),1,0),0))</f>
        <v/>
      </c>
      <c r="T38" s="4" t="str">
        <f>IF(OR(C38="",Results!C15=""),"",IF(C38=Results!C15,1+IF(OR($O38=2,$P38=2,$Q38=2),1,0),0))</f>
        <v/>
      </c>
      <c r="U38" s="4" t="str">
        <f>IF(OR(D38="",Results!D15=""),"",IF(D38=Results!D15,1+IF(OR($O38=3,$P38=3,$Q38=3),1,0),0))</f>
        <v/>
      </c>
      <c r="V38" s="4" t="str">
        <f>IF(OR(E38="",Results!E15=""),"",IF(E38=Results!E15,1+IF(OR($O38=4,$P38=4,$Q38=4),1,0),0))</f>
        <v/>
      </c>
      <c r="W38" s="4" t="str">
        <f>IF(OR(F38="",Results!F15=""),"",IF(F38=Results!F15,1+IF(OR($O38=5,$P38=5,$Q38=5),1,0),0))</f>
        <v/>
      </c>
      <c r="X38" s="4" t="str">
        <f>IF(OR(G38="",Results!G15=""),"",IF(G38=Results!G15,1+IF(OR($O38=6,$P38=6,$Q38=6),1,0),0))</f>
        <v/>
      </c>
      <c r="Y38" s="4" t="str">
        <f>IF(OR(H38="",Results!H15=""),"",IF(H38=Results!H15,1+IF(OR($O38=7,$P38=7,$Q38=7),1,0),0))</f>
        <v/>
      </c>
      <c r="Z38" s="4" t="str">
        <f>IF(OR(I38="",Results!I15=""),"",IF(I38=Results!I15,1+IF(OR($O38=8,$P38=8,$Q38=8),1,0),0))</f>
        <v/>
      </c>
      <c r="AA38" s="4" t="str">
        <f>IF(OR(J38="",Results!J15=""),"",IF(J38=Results!J15,1+IF(OR($O38=9,$P38=9,$Q38=9),1,0),0))</f>
        <v/>
      </c>
      <c r="AB38" s="4" t="str">
        <f>IF(OR(K38="",Results!K15=""),"",IF(K38=Results!K15,1+IF(OR($O38=10,$P38=10,$Q38=10),1,0),0))</f>
        <v/>
      </c>
      <c r="AC38" s="4" t="str">
        <f>IF(OR(L38="",Results!L15=""),"",IF(L38=Results!L15,1+IF(OR($O38=11,$P38=11,$Q38=11),1,0),0))</f>
        <v/>
      </c>
      <c r="AD38" s="4" t="str">
        <f>IF(OR(M38="",Results!M15=""),"",IF(M38=Results!M15,1+IF(OR($O38=12,$P38=12,$Q38=12),1,0),0))</f>
        <v/>
      </c>
      <c r="AE38" s="4" t="str">
        <f>IF(OR(N38="",Results!N15=""),"",IF(N38=Results!N15,1+IF(OR($O38=13,$P38=13,$Q38=13),1,0),0))</f>
        <v/>
      </c>
      <c r="AF38" s="11">
        <f t="shared" ref="AF38:AF65" si="2">SUM(S38:AE38)</f>
        <v>0</v>
      </c>
      <c r="AG38" s="4" t="str">
        <f>IF(OR($R38="",Results!O15=""),"",ABS($R38-Results!O15))</f>
        <v/>
      </c>
      <c r="AH38" s="12">
        <v>18</v>
      </c>
      <c r="AI38" s="13" t="str">
        <f>IF(OR(B38="",Results!B15=""),"",IF(AND(B38=Results!B15,Results!B15&lt;&gt;Games!$C$135),1,0))</f>
        <v/>
      </c>
      <c r="AJ38" s="13" t="str">
        <f>IF(OR(C38="",Results!C15=""),"",IF(AND(C38=Results!C15,Results!C15&lt;&gt;Games!$C$136),1,0))</f>
        <v/>
      </c>
      <c r="AK38" s="13" t="str">
        <f>IF(OR(D38="",Results!D15=""),"",IF(AND(D38=Results!D15,Results!D15&lt;&gt;Games!$C$137),1,0))</f>
        <v/>
      </c>
      <c r="AL38" s="13" t="str">
        <f>IF(OR(E38="",Results!E15=""),"",IF(AND(E38=Results!E15,Results!E15&lt;&gt;Games!$C$138),1,0))</f>
        <v/>
      </c>
      <c r="AM38" s="13" t="str">
        <f>IF(OR(F38="",Results!F15=""),"",IF(AND(F38=Results!F15,Results!F15&lt;&gt;Games!$C$139),1,0))</f>
        <v/>
      </c>
      <c r="AN38" s="13" t="str">
        <f>IF(OR(G38="",Results!G15=""),"",IF(AND(G38=Results!G15,Results!G15&lt;&gt;Games!$C$140),1,0))</f>
        <v/>
      </c>
      <c r="AO38" s="13" t="str">
        <f>IF(OR(H38="",Results!H15=""),"",IF(AND(H38=Results!H15,Results!H15&lt;&gt;Games!$C$141),1,0))</f>
        <v/>
      </c>
      <c r="AP38" s="13" t="str">
        <f>IF(OR(I38="",Results!I15=""),"",IF(AND(I38=Results!I15,Results!I15&lt;&gt;Games!$C$142),1,0))</f>
        <v/>
      </c>
      <c r="AQ38" s="13" t="str">
        <f>IF(OR(J38="",Results!J15=""),"",IF(AND(J38=Results!J15,Results!J15&lt;&gt;Games!$C$143),1,0))</f>
        <v/>
      </c>
      <c r="AR38" s="13" t="str">
        <f>IF(OR(K38="",Results!K15=""),"",IF(AND(K38=Results!K15,Results!K15&lt;&gt;Games!$C$144),1,0))</f>
        <v/>
      </c>
      <c r="AS38" s="13" t="str">
        <f>IF(OR(L38="",Results!L15=""),"",IF(AND(L38=Results!L15,Results!L15&lt;&gt;Games!$C$145),1,0))</f>
        <v/>
      </c>
      <c r="AT38" s="13" t="str">
        <f>IF(OR(M38="",Results!M15=""),"",IF(AND(M38=Results!M15,Results!M15&lt;&gt;Games!$C$146),1,0))</f>
        <v/>
      </c>
      <c r="AU38" s="13" t="str">
        <f>IF(OR(N38="",Results!N15=""),"",IF(AND(N38=Results!N15,Results!N15&lt;&gt;Games!$C$147),1,0))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IF(OR(B39="",Results!B15=""),"",IF(B39=Results!B15,1+IF(OR($O39=1,$P39=1,$Q39=1),1,0),0))</f>
        <v/>
      </c>
      <c r="T39" s="4" t="str">
        <f>IF(OR(C39="",Results!C15=""),"",IF(C39=Results!C15,1+IF(OR($O39=2,$P39=2,$Q39=2),1,0),0))</f>
        <v/>
      </c>
      <c r="U39" s="4" t="str">
        <f>IF(OR(D39="",Results!D15=""),"",IF(D39=Results!D15,1+IF(OR($O39=3,$P39=3,$Q39=3),1,0),0))</f>
        <v/>
      </c>
      <c r="V39" s="4" t="str">
        <f>IF(OR(E39="",Results!E15=""),"",IF(E39=Results!E15,1+IF(OR($O39=4,$P39=4,$Q39=4),1,0),0))</f>
        <v/>
      </c>
      <c r="W39" s="4" t="str">
        <f>IF(OR(F39="",Results!F15=""),"",IF(F39=Results!F15,1+IF(OR($O39=5,$P39=5,$Q39=5),1,0),0))</f>
        <v/>
      </c>
      <c r="X39" s="4" t="str">
        <f>IF(OR(G39="",Results!G15=""),"",IF(G39=Results!G15,1+IF(OR($O39=6,$P39=6,$Q39=6),1,0),0))</f>
        <v/>
      </c>
      <c r="Y39" s="4" t="str">
        <f>IF(OR(H39="",Results!H15=""),"",IF(H39=Results!H15,1+IF(OR($O39=7,$P39=7,$Q39=7),1,0),0))</f>
        <v/>
      </c>
      <c r="Z39" s="4" t="str">
        <f>IF(OR(I39="",Results!I15=""),"",IF(I39=Results!I15,1+IF(OR($O39=8,$P39=8,$Q39=8),1,0),0))</f>
        <v/>
      </c>
      <c r="AA39" s="4" t="str">
        <f>IF(OR(J39="",Results!J15=""),"",IF(J39=Results!J15,1+IF(OR($O39=9,$P39=9,$Q39=9),1,0),0))</f>
        <v/>
      </c>
      <c r="AB39" s="4" t="str">
        <f>IF(OR(K39="",Results!K15=""),"",IF(K39=Results!K15,1+IF(OR($O39=10,$P39=10,$Q39=10),1,0),0))</f>
        <v/>
      </c>
      <c r="AC39" s="4" t="str">
        <f>IF(OR(L39="",Results!L15=""),"",IF(L39=Results!L15,1+IF(OR($O39=11,$P39=11,$Q39=11),1,0),0))</f>
        <v/>
      </c>
      <c r="AD39" s="4" t="str">
        <f>IF(OR(M39="",Results!M15=""),"",IF(M39=Results!M15,1+IF(OR($O39=12,$P39=12,$Q39=12),1,0),0))</f>
        <v/>
      </c>
      <c r="AE39" s="4" t="str">
        <f>IF(OR(N39="",Results!N15=""),"",IF(N39=Results!N15,1+IF(OR($O39=13,$P39=13,$Q39=13),1,0),0))</f>
        <v/>
      </c>
      <c r="AF39" s="11">
        <f t="shared" si="2"/>
        <v>0</v>
      </c>
      <c r="AG39" s="4" t="str">
        <f>IF(OR($R39="",Results!O15=""),"",ABS($R39-Results!O15))</f>
        <v/>
      </c>
      <c r="AH39" s="12">
        <v>50</v>
      </c>
      <c r="AI39" s="13" t="str">
        <f>IF(OR(B39="",Results!B15=""),"",IF(AND(B39=Results!B15,Results!B15&lt;&gt;Games!$C$135),1,0))</f>
        <v/>
      </c>
      <c r="AJ39" s="13" t="str">
        <f>IF(OR(C39="",Results!C15=""),"",IF(AND(C39=Results!C15,Results!C15&lt;&gt;Games!$C$136),1,0))</f>
        <v/>
      </c>
      <c r="AK39" s="13" t="str">
        <f>IF(OR(D39="",Results!D15=""),"",IF(AND(D39=Results!D15,Results!D15&lt;&gt;Games!$C$137),1,0))</f>
        <v/>
      </c>
      <c r="AL39" s="13" t="str">
        <f>IF(OR(E39="",Results!E15=""),"",IF(AND(E39=Results!E15,Results!E15&lt;&gt;Games!$C$138),1,0))</f>
        <v/>
      </c>
      <c r="AM39" s="13" t="str">
        <f>IF(OR(F39="",Results!F15=""),"",IF(AND(F39=Results!F15,Results!F15&lt;&gt;Games!$C$139),1,0))</f>
        <v/>
      </c>
      <c r="AN39" s="13" t="str">
        <f>IF(OR(G39="",Results!G15=""),"",IF(AND(G39=Results!G15,Results!G15&lt;&gt;Games!$C$140),1,0))</f>
        <v/>
      </c>
      <c r="AO39" s="13" t="str">
        <f>IF(OR(H39="",Results!H15=""),"",IF(AND(H39=Results!H15,Results!H15&lt;&gt;Games!$C$141),1,0))</f>
        <v/>
      </c>
      <c r="AP39" s="13" t="str">
        <f>IF(OR(I39="",Results!I15=""),"",IF(AND(I39=Results!I15,Results!I15&lt;&gt;Games!$C$142),1,0))</f>
        <v/>
      </c>
      <c r="AQ39" s="13" t="str">
        <f>IF(OR(J39="",Results!J15=""),"",IF(AND(J39=Results!J15,Results!J15&lt;&gt;Games!$C$143),1,0))</f>
        <v/>
      </c>
      <c r="AR39" s="13" t="str">
        <f>IF(OR(K39="",Results!K15=""),"",IF(AND(K39=Results!K15,Results!K15&lt;&gt;Games!$C$144),1,0))</f>
        <v/>
      </c>
      <c r="AS39" s="13" t="str">
        <f>IF(OR(L39="",Results!L15=""),"",IF(AND(L39=Results!L15,Results!L15&lt;&gt;Games!$C$145),1,0))</f>
        <v/>
      </c>
      <c r="AT39" s="13" t="str">
        <f>IF(OR(M39="",Results!M15=""),"",IF(AND(M39=Results!M15,Results!M15&lt;&gt;Games!$C$146),1,0))</f>
        <v/>
      </c>
      <c r="AU39" s="13" t="str">
        <f>IF(OR(N39="",Results!N15=""),"",IF(AND(N39=Results!N15,Results!N15&lt;&gt;Games!$C$147),1,0))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4" t="str">
        <f>IF(OR(B40="",Results!B15=""),"",IF(B40=Results!B15,1+IF(OR($O40=1,$P40=1,$Q40=1),1,0),0))</f>
        <v/>
      </c>
      <c r="T40" s="4" t="str">
        <f>IF(OR(C40="",Results!C15=""),"",IF(C40=Results!C15,1+IF(OR($O40=2,$P40=2,$Q40=2),1,0),0))</f>
        <v/>
      </c>
      <c r="U40" s="4" t="str">
        <f>IF(OR(D40="",Results!D15=""),"",IF(D40=Results!D15,1+IF(OR($O40=3,$P40=3,$Q40=3),1,0),0))</f>
        <v/>
      </c>
      <c r="V40" s="4" t="str">
        <f>IF(OR(E40="",Results!E15=""),"",IF(E40=Results!E15,1+IF(OR($O40=4,$P40=4,$Q40=4),1,0),0))</f>
        <v/>
      </c>
      <c r="W40" s="4" t="str">
        <f>IF(OR(F40="",Results!F15=""),"",IF(F40=Results!F15,1+IF(OR($O40=5,$P40=5,$Q40=5),1,0),0))</f>
        <v/>
      </c>
      <c r="X40" s="4" t="str">
        <f>IF(OR(G40="",Results!G15=""),"",IF(G40=Results!G15,1+IF(OR($O40=6,$P40=6,$Q40=6),1,0),0))</f>
        <v/>
      </c>
      <c r="Y40" s="4" t="str">
        <f>IF(OR(H40="",Results!H15=""),"",IF(H40=Results!H15,1+IF(OR($O40=7,$P40=7,$Q40=7),1,0),0))</f>
        <v/>
      </c>
      <c r="Z40" s="4" t="str">
        <f>IF(OR(I40="",Results!I15=""),"",IF(I40=Results!I15,1+IF(OR($O40=8,$P40=8,$Q40=8),1,0),0))</f>
        <v/>
      </c>
      <c r="AA40" s="4" t="str">
        <f>IF(OR(J40="",Results!J15=""),"",IF(J40=Results!J15,1+IF(OR($O40=9,$P40=9,$Q40=9),1,0),0))</f>
        <v/>
      </c>
      <c r="AB40" s="4" t="str">
        <f>IF(OR(K40="",Results!K15=""),"",IF(K40=Results!K15,1+IF(OR($O40=10,$P40=10,$Q40=10),1,0),0))</f>
        <v/>
      </c>
      <c r="AC40" s="4" t="str">
        <f>IF(OR(L40="",Results!L15=""),"",IF(L40=Results!L15,1+IF(OR($O40=11,$P40=11,$Q40=11),1,0),0))</f>
        <v/>
      </c>
      <c r="AD40" s="4" t="str">
        <f>IF(OR(M40="",Results!M15=""),"",IF(M40=Results!M15,1+IF(OR($O40=12,$P40=12,$Q40=12),1,0),0))</f>
        <v/>
      </c>
      <c r="AE40" s="4" t="str">
        <f>IF(OR(N40="",Results!N15=""),"",IF(N40=Results!N15,1+IF(OR($O40=13,$P40=13,$Q40=13),1,0),0))</f>
        <v/>
      </c>
      <c r="AF40" s="11">
        <f t="shared" si="2"/>
        <v>0</v>
      </c>
      <c r="AG40" s="4" t="str">
        <f>IF(OR($R40="",Results!O15=""),"",ABS($R40-Results!O15))</f>
        <v/>
      </c>
      <c r="AH40" s="12">
        <v>19</v>
      </c>
      <c r="AI40" s="13" t="str">
        <f>IF(OR(B40="",Results!B15=""),"",IF(AND(B40=Results!B15,Results!B15&lt;&gt;Games!$C$135),1,0))</f>
        <v/>
      </c>
      <c r="AJ40" s="13" t="str">
        <f>IF(OR(C40="",Results!C15=""),"",IF(AND(C40=Results!C15,Results!C15&lt;&gt;Games!$C$136),1,0))</f>
        <v/>
      </c>
      <c r="AK40" s="13" t="str">
        <f>IF(OR(D40="",Results!D15=""),"",IF(AND(D40=Results!D15,Results!D15&lt;&gt;Games!$C$137),1,0))</f>
        <v/>
      </c>
      <c r="AL40" s="13" t="str">
        <f>IF(OR(E40="",Results!E15=""),"",IF(AND(E40=Results!E15,Results!E15&lt;&gt;Games!$C$138),1,0))</f>
        <v/>
      </c>
      <c r="AM40" s="13" t="str">
        <f>IF(OR(F40="",Results!F15=""),"",IF(AND(F40=Results!F15,Results!F15&lt;&gt;Games!$C$139),1,0))</f>
        <v/>
      </c>
      <c r="AN40" s="13" t="str">
        <f>IF(OR(G40="",Results!G15=""),"",IF(AND(G40=Results!G15,Results!G15&lt;&gt;Games!$C$140),1,0))</f>
        <v/>
      </c>
      <c r="AO40" s="13" t="str">
        <f>IF(OR(H40="",Results!H15=""),"",IF(AND(H40=Results!H15,Results!H15&lt;&gt;Games!$C$141),1,0))</f>
        <v/>
      </c>
      <c r="AP40" s="13" t="str">
        <f>IF(OR(I40="",Results!I15=""),"",IF(AND(I40=Results!I15,Results!I15&lt;&gt;Games!$C$142),1,0))</f>
        <v/>
      </c>
      <c r="AQ40" s="13" t="str">
        <f>IF(OR(J40="",Results!J15=""),"",IF(AND(J40=Results!J15,Results!J15&lt;&gt;Games!$C$143),1,0))</f>
        <v/>
      </c>
      <c r="AR40" s="13" t="str">
        <f>IF(OR(K40="",Results!K15=""),"",IF(AND(K40=Results!K15,Results!K15&lt;&gt;Games!$C$144),1,0))</f>
        <v/>
      </c>
      <c r="AS40" s="13" t="str">
        <f>IF(OR(L40="",Results!L15=""),"",IF(AND(L40=Results!L15,Results!L15&lt;&gt;Games!$C$145),1,0))</f>
        <v/>
      </c>
      <c r="AT40" s="13" t="str">
        <f>IF(OR(M40="",Results!M15=""),"",IF(AND(M40=Results!M15,Results!M15&lt;&gt;Games!$C$146),1,0))</f>
        <v/>
      </c>
      <c r="AU40" s="13" t="str">
        <f>IF(OR(N40="",Results!N15=""),"",IF(AND(N40=Results!N15,Results!N15&lt;&gt;Games!$C$147),1,0))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IF(OR(B41="",Results!B15=""),"",IF(B41=Results!B15,1+IF(OR($O41=1,$P41=1,$Q41=1),1,0),0))</f>
        <v/>
      </c>
      <c r="T41" s="4" t="str">
        <f>IF(OR(C41="",Results!C15=""),"",IF(C41=Results!C15,1+IF(OR($O41=2,$P41=2,$Q41=2),1,0),0))</f>
        <v/>
      </c>
      <c r="U41" s="4" t="str">
        <f>IF(OR(D41="",Results!D15=""),"",IF(D41=Results!D15,1+IF(OR($O41=3,$P41=3,$Q41=3),1,0),0))</f>
        <v/>
      </c>
      <c r="V41" s="4" t="str">
        <f>IF(OR(E41="",Results!E15=""),"",IF(E41=Results!E15,1+IF(OR($O41=4,$P41=4,$Q41=4),1,0),0))</f>
        <v/>
      </c>
      <c r="W41" s="4" t="str">
        <f>IF(OR(F41="",Results!F15=""),"",IF(F41=Results!F15,1+IF(OR($O41=5,$P41=5,$Q41=5),1,0),0))</f>
        <v/>
      </c>
      <c r="X41" s="4" t="str">
        <f>IF(OR(G41="",Results!G15=""),"",IF(G41=Results!G15,1+IF(OR($O41=6,$P41=6,$Q41=6),1,0),0))</f>
        <v/>
      </c>
      <c r="Y41" s="4" t="str">
        <f>IF(OR(H41="",Results!H15=""),"",IF(H41=Results!H15,1+IF(OR($O41=7,$P41=7,$Q41=7),1,0),0))</f>
        <v/>
      </c>
      <c r="Z41" s="4" t="str">
        <f>IF(OR(I41="",Results!I15=""),"",IF(I41=Results!I15,1+IF(OR($O41=8,$P41=8,$Q41=8),1,0),0))</f>
        <v/>
      </c>
      <c r="AA41" s="4" t="str">
        <f>IF(OR(J41="",Results!J15=""),"",IF(J41=Results!J15,1+IF(OR($O41=9,$P41=9,$Q41=9),1,0),0))</f>
        <v/>
      </c>
      <c r="AB41" s="4" t="str">
        <f>IF(OR(K41="",Results!K15=""),"",IF(K41=Results!K15,1+IF(OR($O41=10,$P41=10,$Q41=10),1,0),0))</f>
        <v/>
      </c>
      <c r="AC41" s="4" t="str">
        <f>IF(OR(L41="",Results!L15=""),"",IF(L41=Results!L15,1+IF(OR($O41=11,$P41=11,$Q41=11),1,0),0))</f>
        <v/>
      </c>
      <c r="AD41" s="4" t="str">
        <f>IF(OR(M41="",Results!M15=""),"",IF(M41=Results!M15,1+IF(OR($O41=12,$P41=12,$Q41=12),1,0),0))</f>
        <v/>
      </c>
      <c r="AE41" s="4" t="str">
        <f>IF(OR(N41="",Results!N15=""),"",IF(N41=Results!N15,1+IF(OR($O41=13,$P41=13,$Q41=13),1,0),0))</f>
        <v/>
      </c>
      <c r="AF41" s="11">
        <f t="shared" si="2"/>
        <v>0</v>
      </c>
      <c r="AG41" s="4" t="str">
        <f>IF(OR($R41="",Results!O15=""),"",ABS($R41-Results!O15))</f>
        <v/>
      </c>
      <c r="AH41" s="12">
        <v>20</v>
      </c>
      <c r="AI41" s="13" t="str">
        <f>IF(OR(B41="",Results!B15=""),"",IF(AND(B41=Results!B15,Results!B15&lt;&gt;Games!$C$135),1,0))</f>
        <v/>
      </c>
      <c r="AJ41" s="13" t="str">
        <f>IF(OR(C41="",Results!C15=""),"",IF(AND(C41=Results!C15,Results!C15&lt;&gt;Games!$C$136),1,0))</f>
        <v/>
      </c>
      <c r="AK41" s="13" t="str">
        <f>IF(OR(D41="",Results!D15=""),"",IF(AND(D41=Results!D15,Results!D15&lt;&gt;Games!$C$137),1,0))</f>
        <v/>
      </c>
      <c r="AL41" s="13" t="str">
        <f>IF(OR(E41="",Results!E15=""),"",IF(AND(E41=Results!E15,Results!E15&lt;&gt;Games!$C$138),1,0))</f>
        <v/>
      </c>
      <c r="AM41" s="13" t="str">
        <f>IF(OR(F41="",Results!F15=""),"",IF(AND(F41=Results!F15,Results!F15&lt;&gt;Games!$C$139),1,0))</f>
        <v/>
      </c>
      <c r="AN41" s="13" t="str">
        <f>IF(OR(G41="",Results!G15=""),"",IF(AND(G41=Results!G15,Results!G15&lt;&gt;Games!$C$140),1,0))</f>
        <v/>
      </c>
      <c r="AO41" s="13" t="str">
        <f>IF(OR(H41="",Results!H15=""),"",IF(AND(H41=Results!H15,Results!H15&lt;&gt;Games!$C$141),1,0))</f>
        <v/>
      </c>
      <c r="AP41" s="13" t="str">
        <f>IF(OR(I41="",Results!I15=""),"",IF(AND(I41=Results!I15,Results!I15&lt;&gt;Games!$C$142),1,0))</f>
        <v/>
      </c>
      <c r="AQ41" s="13" t="str">
        <f>IF(OR(J41="",Results!J15=""),"",IF(AND(J41=Results!J15,Results!J15&lt;&gt;Games!$C$143),1,0))</f>
        <v/>
      </c>
      <c r="AR41" s="13" t="str">
        <f>IF(OR(K41="",Results!K15=""),"",IF(AND(K41=Results!K15,Results!K15&lt;&gt;Games!$C$144),1,0))</f>
        <v/>
      </c>
      <c r="AS41" s="13" t="str">
        <f>IF(OR(L41="",Results!L15=""),"",IF(AND(L41=Results!L15,Results!L15&lt;&gt;Games!$C$145),1,0))</f>
        <v/>
      </c>
      <c r="AT41" s="13" t="str">
        <f>IF(OR(M41="",Results!M15=""),"",IF(AND(M41=Results!M15,Results!M15&lt;&gt;Games!$C$146),1,0))</f>
        <v/>
      </c>
      <c r="AU41" s="13" t="str">
        <f>IF(OR(N41="",Results!N15=""),"",IF(AND(N41=Results!N15,Results!N15&lt;&gt;Games!$C$147),1,0))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4" t="str">
        <f>IF(OR(B42="",Results!B15=""),"",IF(B42=Results!B15,1+IF(OR($O42=1,$P42=1,$Q42=1),1,0),0))</f>
        <v/>
      </c>
      <c r="T42" s="4" t="str">
        <f>IF(OR(C42="",Results!C15=""),"",IF(C42=Results!C15,1+IF(OR($O42=2,$P42=2,$Q42=2),1,0),0))</f>
        <v/>
      </c>
      <c r="U42" s="4" t="str">
        <f>IF(OR(D42="",Results!D15=""),"",IF(D42=Results!D15,1+IF(OR($O42=3,$P42=3,$Q42=3),1,0),0))</f>
        <v/>
      </c>
      <c r="V42" s="4" t="str">
        <f>IF(OR(E42="",Results!E15=""),"",IF(E42=Results!E15,1+IF(OR($O42=4,$P42=4,$Q42=4),1,0),0))</f>
        <v/>
      </c>
      <c r="W42" s="4" t="str">
        <f>IF(OR(F42="",Results!F15=""),"",IF(F42=Results!F15,1+IF(OR($O42=5,$P42=5,$Q42=5),1,0),0))</f>
        <v/>
      </c>
      <c r="X42" s="4" t="str">
        <f>IF(OR(G42="",Results!G15=""),"",IF(G42=Results!G15,1+IF(OR($O42=6,$P42=6,$Q42=6),1,0),0))</f>
        <v/>
      </c>
      <c r="Y42" s="4" t="str">
        <f>IF(OR(H42="",Results!H15=""),"",IF(H42=Results!H15,1+IF(OR($O42=7,$P42=7,$Q42=7),1,0),0))</f>
        <v/>
      </c>
      <c r="Z42" s="4" t="str">
        <f>IF(OR(I42="",Results!I15=""),"",IF(I42=Results!I15,1+IF(OR($O42=8,$P42=8,$Q42=8),1,0),0))</f>
        <v/>
      </c>
      <c r="AA42" s="4" t="str">
        <f>IF(OR(J42="",Results!J15=""),"",IF(J42=Results!J15,1+IF(OR($O42=9,$P42=9,$Q42=9),1,0),0))</f>
        <v/>
      </c>
      <c r="AB42" s="4" t="str">
        <f>IF(OR(K42="",Results!K15=""),"",IF(K42=Results!K15,1+IF(OR($O42=10,$P42=10,$Q42=10),1,0),0))</f>
        <v/>
      </c>
      <c r="AC42" s="4" t="str">
        <f>IF(OR(L42="",Results!L15=""),"",IF(L42=Results!L15,1+IF(OR($O42=11,$P42=11,$Q42=11),1,0),0))</f>
        <v/>
      </c>
      <c r="AD42" s="4" t="str">
        <f>IF(OR(M42="",Results!M15=""),"",IF(M42=Results!M15,1+IF(OR($O42=12,$P42=12,$Q42=12),1,0),0))</f>
        <v/>
      </c>
      <c r="AE42" s="4" t="str">
        <f>IF(OR(N42="",Results!N15=""),"",IF(N42=Results!N15,1+IF(OR($O42=13,$P42=13,$Q42=13),1,0),0))</f>
        <v/>
      </c>
      <c r="AF42" s="11">
        <f t="shared" si="2"/>
        <v>0</v>
      </c>
      <c r="AG42" s="4" t="str">
        <f>IF(OR($R42="",Results!O15=""),"",ABS($R42-Results!O15))</f>
        <v/>
      </c>
      <c r="AH42" s="12">
        <v>21</v>
      </c>
      <c r="AI42" s="13" t="str">
        <f>IF(OR(B42="",Results!B15=""),"",IF(AND(B42=Results!B15,Results!B15&lt;&gt;Games!$C$135),1,0))</f>
        <v/>
      </c>
      <c r="AJ42" s="13" t="str">
        <f>IF(OR(C42="",Results!C15=""),"",IF(AND(C42=Results!C15,Results!C15&lt;&gt;Games!$C$136),1,0))</f>
        <v/>
      </c>
      <c r="AK42" s="13" t="str">
        <f>IF(OR(D42="",Results!D15=""),"",IF(AND(D42=Results!D15,Results!D15&lt;&gt;Games!$C$137),1,0))</f>
        <v/>
      </c>
      <c r="AL42" s="13" t="str">
        <f>IF(OR(E42="",Results!E15=""),"",IF(AND(E42=Results!E15,Results!E15&lt;&gt;Games!$C$138),1,0))</f>
        <v/>
      </c>
      <c r="AM42" s="13" t="str">
        <f>IF(OR(F42="",Results!F15=""),"",IF(AND(F42=Results!F15,Results!F15&lt;&gt;Games!$C$139),1,0))</f>
        <v/>
      </c>
      <c r="AN42" s="13" t="str">
        <f>IF(OR(G42="",Results!G15=""),"",IF(AND(G42=Results!G15,Results!G15&lt;&gt;Games!$C$140),1,0))</f>
        <v/>
      </c>
      <c r="AO42" s="13" t="str">
        <f>IF(OR(H42="",Results!H15=""),"",IF(AND(H42=Results!H15,Results!H15&lt;&gt;Games!$C$141),1,0))</f>
        <v/>
      </c>
      <c r="AP42" s="13" t="str">
        <f>IF(OR(I42="",Results!I15=""),"",IF(AND(I42=Results!I15,Results!I15&lt;&gt;Games!$C$142),1,0))</f>
        <v/>
      </c>
      <c r="AQ42" s="13" t="str">
        <f>IF(OR(J42="",Results!J15=""),"",IF(AND(J42=Results!J15,Results!J15&lt;&gt;Games!$C$143),1,0))</f>
        <v/>
      </c>
      <c r="AR42" s="13" t="str">
        <f>IF(OR(K42="",Results!K15=""),"",IF(AND(K42=Results!K15,Results!K15&lt;&gt;Games!$C$144),1,0))</f>
        <v/>
      </c>
      <c r="AS42" s="13" t="str">
        <f>IF(OR(L42="",Results!L15=""),"",IF(AND(L42=Results!L15,Results!L15&lt;&gt;Games!$C$145),1,0))</f>
        <v/>
      </c>
      <c r="AT42" s="13" t="str">
        <f>IF(OR(M42="",Results!M15=""),"",IF(AND(M42=Results!M15,Results!M15&lt;&gt;Games!$C$146),1,0))</f>
        <v/>
      </c>
      <c r="AU42" s="13" t="str">
        <f>IF(OR(N42="",Results!N15=""),"",IF(AND(N42=Results!N15,Results!N15&lt;&gt;Games!$C$147),1,0))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4" t="str">
        <f>IF(OR(B43="",Results!B15=""),"",IF(B43=Results!B15,1+IF(OR($O43=1,$P43=1,$Q43=1),1,0),0))</f>
        <v/>
      </c>
      <c r="T43" s="4" t="str">
        <f>IF(OR(C43="",Results!C15=""),"",IF(C43=Results!C15,1+IF(OR($O43=2,$P43=2,$Q43=2),1,0),0))</f>
        <v/>
      </c>
      <c r="U43" s="4" t="str">
        <f>IF(OR(D43="",Results!D15=""),"",IF(D43=Results!D15,1+IF(OR($O43=3,$P43=3,$Q43=3),1,0),0))</f>
        <v/>
      </c>
      <c r="V43" s="4" t="str">
        <f>IF(OR(E43="",Results!E15=""),"",IF(E43=Results!E15,1+IF(OR($O43=4,$P43=4,$Q43=4),1,0),0))</f>
        <v/>
      </c>
      <c r="W43" s="4" t="str">
        <f>IF(OR(F43="",Results!F15=""),"",IF(F43=Results!F15,1+IF(OR($O43=5,$P43=5,$Q43=5),1,0),0))</f>
        <v/>
      </c>
      <c r="X43" s="4" t="str">
        <f>IF(OR(G43="",Results!G15=""),"",IF(G43=Results!G15,1+IF(OR($O43=6,$P43=6,$Q43=6),1,0),0))</f>
        <v/>
      </c>
      <c r="Y43" s="4" t="str">
        <f>IF(OR(H43="",Results!H15=""),"",IF(H43=Results!H15,1+IF(OR($O43=7,$P43=7,$Q43=7),1,0),0))</f>
        <v/>
      </c>
      <c r="Z43" s="4" t="str">
        <f>IF(OR(I43="",Results!I15=""),"",IF(I43=Results!I15,1+IF(OR($O43=8,$P43=8,$Q43=8),1,0),0))</f>
        <v/>
      </c>
      <c r="AA43" s="4" t="str">
        <f>IF(OR(J43="",Results!J15=""),"",IF(J43=Results!J15,1+IF(OR($O43=9,$P43=9,$Q43=9),1,0),0))</f>
        <v/>
      </c>
      <c r="AB43" s="4" t="str">
        <f>IF(OR(K43="",Results!K15=""),"",IF(K43=Results!K15,1+IF(OR($O43=10,$P43=10,$Q43=10),1,0),0))</f>
        <v/>
      </c>
      <c r="AC43" s="4" t="str">
        <f>IF(OR(L43="",Results!L15=""),"",IF(L43=Results!L15,1+IF(OR($O43=11,$P43=11,$Q43=11),1,0),0))</f>
        <v/>
      </c>
      <c r="AD43" s="4" t="str">
        <f>IF(OR(M43="",Results!M15=""),"",IF(M43=Results!M15,1+IF(OR($O43=12,$P43=12,$Q43=12),1,0),0))</f>
        <v/>
      </c>
      <c r="AE43" s="4" t="str">
        <f>IF(OR(N43="",Results!N15=""),"",IF(N43=Results!N15,1+IF(OR($O43=13,$P43=13,$Q43=13),1,0),0))</f>
        <v/>
      </c>
      <c r="AF43" s="11">
        <f t="shared" si="2"/>
        <v>0</v>
      </c>
      <c r="AG43" s="4" t="str">
        <f>IF(OR($R43="",Results!O15=""),"",ABS($R43-Results!O15))</f>
        <v/>
      </c>
      <c r="AH43" s="12">
        <v>22</v>
      </c>
      <c r="AI43" s="13" t="str">
        <f>IF(OR(B43="",Results!B15=""),"",IF(AND(B43=Results!B15,Results!B15&lt;&gt;Games!$C$135),1,0))</f>
        <v/>
      </c>
      <c r="AJ43" s="13" t="str">
        <f>IF(OR(C43="",Results!C15=""),"",IF(AND(C43=Results!C15,Results!C15&lt;&gt;Games!$C$136),1,0))</f>
        <v/>
      </c>
      <c r="AK43" s="13" t="str">
        <f>IF(OR(D43="",Results!D15=""),"",IF(AND(D43=Results!D15,Results!D15&lt;&gt;Games!$C$137),1,0))</f>
        <v/>
      </c>
      <c r="AL43" s="13" t="str">
        <f>IF(OR(E43="",Results!E15=""),"",IF(AND(E43=Results!E15,Results!E15&lt;&gt;Games!$C$138),1,0))</f>
        <v/>
      </c>
      <c r="AM43" s="13" t="str">
        <f>IF(OR(F43="",Results!F15=""),"",IF(AND(F43=Results!F15,Results!F15&lt;&gt;Games!$C$139),1,0))</f>
        <v/>
      </c>
      <c r="AN43" s="13" t="str">
        <f>IF(OR(G43="",Results!G15=""),"",IF(AND(G43=Results!G15,Results!G15&lt;&gt;Games!$C$140),1,0))</f>
        <v/>
      </c>
      <c r="AO43" s="13" t="str">
        <f>IF(OR(H43="",Results!H15=""),"",IF(AND(H43=Results!H15,Results!H15&lt;&gt;Games!$C$141),1,0))</f>
        <v/>
      </c>
      <c r="AP43" s="13" t="str">
        <f>IF(OR(I43="",Results!I15=""),"",IF(AND(I43=Results!I15,Results!I15&lt;&gt;Games!$C$142),1,0))</f>
        <v/>
      </c>
      <c r="AQ43" s="13" t="str">
        <f>IF(OR(J43="",Results!J15=""),"",IF(AND(J43=Results!J15,Results!J15&lt;&gt;Games!$C$143),1,0))</f>
        <v/>
      </c>
      <c r="AR43" s="13" t="str">
        <f>IF(OR(K43="",Results!K15=""),"",IF(AND(K43=Results!K15,Results!K15&lt;&gt;Games!$C$144),1,0))</f>
        <v/>
      </c>
      <c r="AS43" s="13" t="str">
        <f>IF(OR(L43="",Results!L15=""),"",IF(AND(L43=Results!L15,Results!L15&lt;&gt;Games!$C$145),1,0))</f>
        <v/>
      </c>
      <c r="AT43" s="13" t="str">
        <f>IF(OR(M43="",Results!M15=""),"",IF(AND(M43=Results!M15,Results!M15&lt;&gt;Games!$C$146),1,0))</f>
        <v/>
      </c>
      <c r="AU43" s="13" t="str">
        <f>IF(OR(N43="",Results!N15=""),"",IF(AND(N43=Results!N15,Results!N15&lt;&gt;Games!$C$147),1,0))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tr">
        <f>IF(OR(B44="",Results!B15=""),"",IF(B44=Results!B15,1+IF(OR($O44=1,$P44=1,$Q44=1),1,0),0))</f>
        <v/>
      </c>
      <c r="T44" s="4" t="str">
        <f>IF(OR(C44="",Results!C15=""),"",IF(C44=Results!C15,1+IF(OR($O44=2,$P44=2,$Q44=2),1,0),0))</f>
        <v/>
      </c>
      <c r="U44" s="4" t="str">
        <f>IF(OR(D44="",Results!D15=""),"",IF(D44=Results!D15,1+IF(OR($O44=3,$P44=3,$Q44=3),1,0),0))</f>
        <v/>
      </c>
      <c r="V44" s="4" t="str">
        <f>IF(OR(E44="",Results!E15=""),"",IF(E44=Results!E15,1+IF(OR($O44=4,$P44=4,$Q44=4),1,0),0))</f>
        <v/>
      </c>
      <c r="W44" s="4" t="str">
        <f>IF(OR(F44="",Results!F15=""),"",IF(F44=Results!F15,1+IF(OR($O44=5,$P44=5,$Q44=5),1,0),0))</f>
        <v/>
      </c>
      <c r="X44" s="4" t="str">
        <f>IF(OR(G44="",Results!G15=""),"",IF(G44=Results!G15,1+IF(OR($O44=6,$P44=6,$Q44=6),1,0),0))</f>
        <v/>
      </c>
      <c r="Y44" s="4" t="str">
        <f>IF(OR(H44="",Results!H15=""),"",IF(H44=Results!H15,1+IF(OR($O44=7,$P44=7,$Q44=7),1,0),0))</f>
        <v/>
      </c>
      <c r="Z44" s="4" t="str">
        <f>IF(OR(I44="",Results!I15=""),"",IF(I44=Results!I15,1+IF(OR($O44=8,$P44=8,$Q44=8),1,0),0))</f>
        <v/>
      </c>
      <c r="AA44" s="4" t="str">
        <f>IF(OR(J44="",Results!J15=""),"",IF(J44=Results!J15,1+IF(OR($O44=9,$P44=9,$Q44=9),1,0),0))</f>
        <v/>
      </c>
      <c r="AB44" s="4" t="str">
        <f>IF(OR(K44="",Results!K15=""),"",IF(K44=Results!K15,1+IF(OR($O44=10,$P44=10,$Q44=10),1,0),0))</f>
        <v/>
      </c>
      <c r="AC44" s="4" t="str">
        <f>IF(OR(L44="",Results!L15=""),"",IF(L44=Results!L15,1+IF(OR($O44=11,$P44=11,$Q44=11),1,0),0))</f>
        <v/>
      </c>
      <c r="AD44" s="4" t="str">
        <f>IF(OR(M44="",Results!M15=""),"",IF(M44=Results!M15,1+IF(OR($O44=12,$P44=12,$Q44=12),1,0),0))</f>
        <v/>
      </c>
      <c r="AE44" s="4" t="str">
        <f>IF(OR(N44="",Results!N15=""),"",IF(N44=Results!N15,1+IF(OR($O44=13,$P44=13,$Q44=13),1,0),0))</f>
        <v/>
      </c>
      <c r="AF44" s="11">
        <f t="shared" si="2"/>
        <v>0</v>
      </c>
      <c r="AG44" s="4" t="str">
        <f>IF(OR($R44="",Results!O15=""),"",ABS($R44-Results!O15))</f>
        <v/>
      </c>
      <c r="AH44" s="12">
        <v>23</v>
      </c>
      <c r="AI44" s="13" t="str">
        <f>IF(OR(B44="",Results!B15=""),"",IF(AND(B44=Results!B15,Results!B15&lt;&gt;Games!$C$135),1,0))</f>
        <v/>
      </c>
      <c r="AJ44" s="13" t="str">
        <f>IF(OR(C44="",Results!C15=""),"",IF(AND(C44=Results!C15,Results!C15&lt;&gt;Games!$C$136),1,0))</f>
        <v/>
      </c>
      <c r="AK44" s="13" t="str">
        <f>IF(OR(D44="",Results!D15=""),"",IF(AND(D44=Results!D15,Results!D15&lt;&gt;Games!$C$137),1,0))</f>
        <v/>
      </c>
      <c r="AL44" s="13" t="str">
        <f>IF(OR(E44="",Results!E15=""),"",IF(AND(E44=Results!E15,Results!E15&lt;&gt;Games!$C$138),1,0))</f>
        <v/>
      </c>
      <c r="AM44" s="13" t="str">
        <f>IF(OR(F44="",Results!F15=""),"",IF(AND(F44=Results!F15,Results!F15&lt;&gt;Games!$C$139),1,0))</f>
        <v/>
      </c>
      <c r="AN44" s="13" t="str">
        <f>IF(OR(G44="",Results!G15=""),"",IF(AND(G44=Results!G15,Results!G15&lt;&gt;Games!$C$140),1,0))</f>
        <v/>
      </c>
      <c r="AO44" s="13" t="str">
        <f>IF(OR(H44="",Results!H15=""),"",IF(AND(H44=Results!H15,Results!H15&lt;&gt;Games!$C$141),1,0))</f>
        <v/>
      </c>
      <c r="AP44" s="13" t="str">
        <f>IF(OR(I44="",Results!I15=""),"",IF(AND(I44=Results!I15,Results!I15&lt;&gt;Games!$C$142),1,0))</f>
        <v/>
      </c>
      <c r="AQ44" s="13" t="str">
        <f>IF(OR(J44="",Results!J15=""),"",IF(AND(J44=Results!J15,Results!J15&lt;&gt;Games!$C$143),1,0))</f>
        <v/>
      </c>
      <c r="AR44" s="13" t="str">
        <f>IF(OR(K44="",Results!K15=""),"",IF(AND(K44=Results!K15,Results!K15&lt;&gt;Games!$C$144),1,0))</f>
        <v/>
      </c>
      <c r="AS44" s="13" t="str">
        <f>IF(OR(L44="",Results!L15=""),"",IF(AND(L44=Results!L15,Results!L15&lt;&gt;Games!$C$145),1,0))</f>
        <v/>
      </c>
      <c r="AT44" s="13" t="str">
        <f>IF(OR(M44="",Results!M15=""),"",IF(AND(M44=Results!M15,Results!M15&lt;&gt;Games!$C$146),1,0))</f>
        <v/>
      </c>
      <c r="AU44" s="13" t="str">
        <f>IF(OR(N44="",Results!N15=""),"",IF(AND(N44=Results!N15,Results!N15&lt;&gt;Games!$C$147),1,0))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IF(OR(B45="",Results!B15=""),"",IF(B45=Results!B15,1+IF(OR($O45=1,$P45=1,$Q45=1),1,0),0))</f>
        <v/>
      </c>
      <c r="T45" s="4" t="str">
        <f>IF(OR(C45="",Results!C15=""),"",IF(C45=Results!C15,1+IF(OR($O45=2,$P45=2,$Q45=2),1,0),0))</f>
        <v/>
      </c>
      <c r="U45" s="4" t="str">
        <f>IF(OR(D45="",Results!D15=""),"",IF(D45=Results!D15,1+IF(OR($O45=3,$P45=3,$Q45=3),1,0),0))</f>
        <v/>
      </c>
      <c r="V45" s="4" t="str">
        <f>IF(OR(E45="",Results!E15=""),"",IF(E45=Results!E15,1+IF(OR($O45=4,$P45=4,$Q45=4),1,0),0))</f>
        <v/>
      </c>
      <c r="W45" s="4" t="str">
        <f>IF(OR(F45="",Results!F15=""),"",IF(F45=Results!F15,1+IF(OR($O45=5,$P45=5,$Q45=5),1,0),0))</f>
        <v/>
      </c>
      <c r="X45" s="4" t="str">
        <f>IF(OR(G45="",Results!G15=""),"",IF(G45=Results!G15,1+IF(OR($O45=6,$P45=6,$Q45=6),1,0),0))</f>
        <v/>
      </c>
      <c r="Y45" s="4" t="str">
        <f>IF(OR(H45="",Results!H15=""),"",IF(H45=Results!H15,1+IF(OR($O45=7,$P45=7,$Q45=7),1,0),0))</f>
        <v/>
      </c>
      <c r="Z45" s="4" t="str">
        <f>IF(OR(I45="",Results!I15=""),"",IF(I45=Results!I15,1+IF(OR($O45=8,$P45=8,$Q45=8),1,0),0))</f>
        <v/>
      </c>
      <c r="AA45" s="4" t="str">
        <f>IF(OR(J45="",Results!J15=""),"",IF(J45=Results!J15,1+IF(OR($O45=9,$P45=9,$Q45=9),1,0),0))</f>
        <v/>
      </c>
      <c r="AB45" s="4" t="str">
        <f>IF(OR(K45="",Results!K15=""),"",IF(K45=Results!K15,1+IF(OR($O45=10,$P45=10,$Q45=10),1,0),0))</f>
        <v/>
      </c>
      <c r="AC45" s="4" t="str">
        <f>IF(OR(L45="",Results!L15=""),"",IF(L45=Results!L15,1+IF(OR($O45=11,$P45=11,$Q45=11),1,0),0))</f>
        <v/>
      </c>
      <c r="AD45" s="4" t="str">
        <f>IF(OR(M45="",Results!M15=""),"",IF(M45=Results!M15,1+IF(OR($O45=12,$P45=12,$Q45=12),1,0),0))</f>
        <v/>
      </c>
      <c r="AE45" s="4" t="str">
        <f>IF(OR(N45="",Results!N15=""),"",IF(N45=Results!N15,1+IF(OR($O45=13,$P45=13,$Q45=13),1,0),0))</f>
        <v/>
      </c>
      <c r="AF45" s="11">
        <f t="shared" si="2"/>
        <v>0</v>
      </c>
      <c r="AG45" s="4" t="str">
        <f>IF(OR($R45="",Results!O15=""),"",ABS($R45-Results!O15))</f>
        <v/>
      </c>
      <c r="AH45" s="12">
        <v>24</v>
      </c>
      <c r="AI45" s="13" t="str">
        <f>IF(OR(B45="",Results!B15=""),"",IF(AND(B45=Results!B15,Results!B15&lt;&gt;Games!$C$135),1,0))</f>
        <v/>
      </c>
      <c r="AJ45" s="13" t="str">
        <f>IF(OR(C45="",Results!C15=""),"",IF(AND(C45=Results!C15,Results!C15&lt;&gt;Games!$C$136),1,0))</f>
        <v/>
      </c>
      <c r="AK45" s="13" t="str">
        <f>IF(OR(D45="",Results!D15=""),"",IF(AND(D45=Results!D15,Results!D15&lt;&gt;Games!$C$137),1,0))</f>
        <v/>
      </c>
      <c r="AL45" s="13" t="str">
        <f>IF(OR(E45="",Results!E15=""),"",IF(AND(E45=Results!E15,Results!E15&lt;&gt;Games!$C$138),1,0))</f>
        <v/>
      </c>
      <c r="AM45" s="13" t="str">
        <f>IF(OR(F45="",Results!F15=""),"",IF(AND(F45=Results!F15,Results!F15&lt;&gt;Games!$C$139),1,0))</f>
        <v/>
      </c>
      <c r="AN45" s="13" t="str">
        <f>IF(OR(G45="",Results!G15=""),"",IF(AND(G45=Results!G15,Results!G15&lt;&gt;Games!$C$140),1,0))</f>
        <v/>
      </c>
      <c r="AO45" s="13" t="str">
        <f>IF(OR(H45="",Results!H15=""),"",IF(AND(H45=Results!H15,Results!H15&lt;&gt;Games!$C$141),1,0))</f>
        <v/>
      </c>
      <c r="AP45" s="13" t="str">
        <f>IF(OR(I45="",Results!I15=""),"",IF(AND(I45=Results!I15,Results!I15&lt;&gt;Games!$C$142),1,0))</f>
        <v/>
      </c>
      <c r="AQ45" s="13" t="str">
        <f>IF(OR(J45="",Results!J15=""),"",IF(AND(J45=Results!J15,Results!J15&lt;&gt;Games!$C$143),1,0))</f>
        <v/>
      </c>
      <c r="AR45" s="13" t="str">
        <f>IF(OR(K45="",Results!K15=""),"",IF(AND(K45=Results!K15,Results!K15&lt;&gt;Games!$C$144),1,0))</f>
        <v/>
      </c>
      <c r="AS45" s="13" t="str">
        <f>IF(OR(L45="",Results!L15=""),"",IF(AND(L45=Results!L15,Results!L15&lt;&gt;Games!$C$145),1,0))</f>
        <v/>
      </c>
      <c r="AT45" s="13" t="str">
        <f>IF(OR(M45="",Results!M15=""),"",IF(AND(M45=Results!M15,Results!M15&lt;&gt;Games!$C$146),1,0))</f>
        <v/>
      </c>
      <c r="AU45" s="13" t="str">
        <f>IF(OR(N45="",Results!N15=""),"",IF(AND(N45=Results!N15,Results!N15&lt;&gt;Games!$C$147),1,0))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IF(OR(B46="",Results!B15=""),"",IF(B46=Results!B15,1+IF(OR($O46=1,$P46=1,$Q46=1),1,0),0))</f>
        <v/>
      </c>
      <c r="T46" s="4" t="str">
        <f>IF(OR(C46="",Results!C15=""),"",IF(C46=Results!C15,1+IF(OR($O46=2,$P46=2,$Q46=2),1,0),0))</f>
        <v/>
      </c>
      <c r="U46" s="4" t="str">
        <f>IF(OR(D46="",Results!D15=""),"",IF(D46=Results!D15,1+IF(OR($O46=3,$P46=3,$Q46=3),1,0),0))</f>
        <v/>
      </c>
      <c r="V46" s="4" t="str">
        <f>IF(OR(E46="",Results!E15=""),"",IF(E46=Results!E15,1+IF(OR($O46=4,$P46=4,$Q46=4),1,0),0))</f>
        <v/>
      </c>
      <c r="W46" s="4" t="str">
        <f>IF(OR(F46="",Results!F15=""),"",IF(F46=Results!F15,1+IF(OR($O46=5,$P46=5,$Q46=5),1,0),0))</f>
        <v/>
      </c>
      <c r="X46" s="4" t="str">
        <f>IF(OR(G46="",Results!G15=""),"",IF(G46=Results!G15,1+IF(OR($O46=6,$P46=6,$Q46=6),1,0),0))</f>
        <v/>
      </c>
      <c r="Y46" s="4" t="str">
        <f>IF(OR(H46="",Results!H15=""),"",IF(H46=Results!H15,1+IF(OR($O46=7,$P46=7,$Q46=7),1,0),0))</f>
        <v/>
      </c>
      <c r="Z46" s="4" t="str">
        <f>IF(OR(I46="",Results!I15=""),"",IF(I46=Results!I15,1+IF(OR($O46=8,$P46=8,$Q46=8),1,0),0))</f>
        <v/>
      </c>
      <c r="AA46" s="4" t="str">
        <f>IF(OR(J46="",Results!J15=""),"",IF(J46=Results!J15,1+IF(OR($O46=9,$P46=9,$Q46=9),1,0),0))</f>
        <v/>
      </c>
      <c r="AB46" s="4" t="str">
        <f>IF(OR(K46="",Results!K15=""),"",IF(K46=Results!K15,1+IF(OR($O46=10,$P46=10,$Q46=10),1,0),0))</f>
        <v/>
      </c>
      <c r="AC46" s="4" t="str">
        <f>IF(OR(L46="",Results!L15=""),"",IF(L46=Results!L15,1+IF(OR($O46=11,$P46=11,$Q46=11),1,0),0))</f>
        <v/>
      </c>
      <c r="AD46" s="4" t="str">
        <f>IF(OR(M46="",Results!M15=""),"",IF(M46=Results!M15,1+IF(OR($O46=12,$P46=12,$Q46=12),1,0),0))</f>
        <v/>
      </c>
      <c r="AE46" s="4" t="str">
        <f>IF(OR(N46="",Results!N15=""),"",IF(N46=Results!N15,1+IF(OR($O46=13,$P46=13,$Q46=13),1,0),0))</f>
        <v/>
      </c>
      <c r="AF46" s="11">
        <f t="shared" si="2"/>
        <v>0</v>
      </c>
      <c r="AG46" s="4" t="str">
        <f>IF(OR($R46="",Results!O15=""),"",ABS($R46-Results!O15))</f>
        <v/>
      </c>
      <c r="AH46" s="12">
        <v>36</v>
      </c>
      <c r="AI46" s="13" t="str">
        <f>IF(OR(B46="",Results!B15=""),"",IF(AND(B46=Results!B15,Results!B15&lt;&gt;Games!$C$135),1,0))</f>
        <v/>
      </c>
      <c r="AJ46" s="13" t="str">
        <f>IF(OR(C46="",Results!C15=""),"",IF(AND(C46=Results!C15,Results!C15&lt;&gt;Games!$C$136),1,0))</f>
        <v/>
      </c>
      <c r="AK46" s="13" t="str">
        <f>IF(OR(D46="",Results!D15=""),"",IF(AND(D46=Results!D15,Results!D15&lt;&gt;Games!$C$137),1,0))</f>
        <v/>
      </c>
      <c r="AL46" s="13" t="str">
        <f>IF(OR(E46="",Results!E15=""),"",IF(AND(E46=Results!E15,Results!E15&lt;&gt;Games!$C$138),1,0))</f>
        <v/>
      </c>
      <c r="AM46" s="13" t="str">
        <f>IF(OR(F46="",Results!F15=""),"",IF(AND(F46=Results!F15,Results!F15&lt;&gt;Games!$C$139),1,0))</f>
        <v/>
      </c>
      <c r="AN46" s="13" t="str">
        <f>IF(OR(G46="",Results!G15=""),"",IF(AND(G46=Results!G15,Results!G15&lt;&gt;Games!$C$140),1,0))</f>
        <v/>
      </c>
      <c r="AO46" s="13" t="str">
        <f>IF(OR(H46="",Results!H15=""),"",IF(AND(H46=Results!H15,Results!H15&lt;&gt;Games!$C$141),1,0))</f>
        <v/>
      </c>
      <c r="AP46" s="13" t="str">
        <f>IF(OR(I46="",Results!I15=""),"",IF(AND(I46=Results!I15,Results!I15&lt;&gt;Games!$C$142),1,0))</f>
        <v/>
      </c>
      <c r="AQ46" s="13" t="str">
        <f>IF(OR(J46="",Results!J15=""),"",IF(AND(J46=Results!J15,Results!J15&lt;&gt;Games!$C$143),1,0))</f>
        <v/>
      </c>
      <c r="AR46" s="13" t="str">
        <f>IF(OR(K46="",Results!K15=""),"",IF(AND(K46=Results!K15,Results!K15&lt;&gt;Games!$C$144),1,0))</f>
        <v/>
      </c>
      <c r="AS46" s="13" t="str">
        <f>IF(OR(L46="",Results!L15=""),"",IF(AND(L46=Results!L15,Results!L15&lt;&gt;Games!$C$145),1,0))</f>
        <v/>
      </c>
      <c r="AT46" s="13" t="str">
        <f>IF(OR(M46="",Results!M15=""),"",IF(AND(M46=Results!M15,Results!M15&lt;&gt;Games!$C$146),1,0))</f>
        <v/>
      </c>
      <c r="AU46" s="13" t="str">
        <f>IF(OR(N46="",Results!N15=""),"",IF(AND(N46=Results!N15,Results!N15&lt;&gt;Games!$C$147),1,0))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 t="str">
        <f>IF(OR(B47="",Results!B15=""),"",IF(B47=Results!B15,1+IF(OR($O47=1,$P47=1,$Q47=1),1,0),0))</f>
        <v/>
      </c>
      <c r="T47" s="4" t="str">
        <f>IF(OR(C47="",Results!C15=""),"",IF(C47=Results!C15,1+IF(OR($O47=2,$P47=2,$Q47=2),1,0),0))</f>
        <v/>
      </c>
      <c r="U47" s="4" t="str">
        <f>IF(OR(D47="",Results!D15=""),"",IF(D47=Results!D15,1+IF(OR($O47=3,$P47=3,$Q47=3),1,0),0))</f>
        <v/>
      </c>
      <c r="V47" s="4" t="str">
        <f>IF(OR(E47="",Results!E15=""),"",IF(E47=Results!E15,1+IF(OR($O47=4,$P47=4,$Q47=4),1,0),0))</f>
        <v/>
      </c>
      <c r="W47" s="4" t="str">
        <f>IF(OR(F47="",Results!F15=""),"",IF(F47=Results!F15,1+IF(OR($O47=5,$P47=5,$Q47=5),1,0),0))</f>
        <v/>
      </c>
      <c r="X47" s="4" t="str">
        <f>IF(OR(G47="",Results!G15=""),"",IF(G47=Results!G15,1+IF(OR($O47=6,$P47=6,$Q47=6),1,0),0))</f>
        <v/>
      </c>
      <c r="Y47" s="4" t="str">
        <f>IF(OR(H47="",Results!H15=""),"",IF(H47=Results!H15,1+IF(OR($O47=7,$P47=7,$Q47=7),1,0),0))</f>
        <v/>
      </c>
      <c r="Z47" s="4" t="str">
        <f>IF(OR(I47="",Results!I15=""),"",IF(I47=Results!I15,1+IF(OR($O47=8,$P47=8,$Q47=8),1,0),0))</f>
        <v/>
      </c>
      <c r="AA47" s="4" t="str">
        <f>IF(OR(J47="",Results!J15=""),"",IF(J47=Results!J15,1+IF(OR($O47=9,$P47=9,$Q47=9),1,0),0))</f>
        <v/>
      </c>
      <c r="AB47" s="4" t="str">
        <f>IF(OR(K47="",Results!K15=""),"",IF(K47=Results!K15,1+IF(OR($O47=10,$P47=10,$Q47=10),1,0),0))</f>
        <v/>
      </c>
      <c r="AC47" s="4" t="str">
        <f>IF(OR(L47="",Results!L15=""),"",IF(L47=Results!L15,1+IF(OR($O47=11,$P47=11,$Q47=11),1,0),0))</f>
        <v/>
      </c>
      <c r="AD47" s="4" t="str">
        <f>IF(OR(M47="",Results!M15=""),"",IF(M47=Results!M15,1+IF(OR($O47=12,$P47=12,$Q47=12),1,0),0))</f>
        <v/>
      </c>
      <c r="AE47" s="4" t="str">
        <f>IF(OR(N47="",Results!N15=""),"",IF(N47=Results!N15,1+IF(OR($O47=13,$P47=13,$Q47=13),1,0),0))</f>
        <v/>
      </c>
      <c r="AF47" s="11">
        <f t="shared" si="2"/>
        <v>0</v>
      </c>
      <c r="AG47" s="4" t="str">
        <f>IF(OR($R47="",Results!O15=""),"",ABS($R47-Results!O15))</f>
        <v/>
      </c>
      <c r="AH47" s="12">
        <v>25</v>
      </c>
      <c r="AI47" s="13" t="str">
        <f>IF(OR(B47="",Results!B15=""),"",IF(AND(B47=Results!B15,Results!B15&lt;&gt;Games!$C$135),1,0))</f>
        <v/>
      </c>
      <c r="AJ47" s="13" t="str">
        <f>IF(OR(C47="",Results!C15=""),"",IF(AND(C47=Results!C15,Results!C15&lt;&gt;Games!$C$136),1,0))</f>
        <v/>
      </c>
      <c r="AK47" s="13" t="str">
        <f>IF(OR(D47="",Results!D15=""),"",IF(AND(D47=Results!D15,Results!D15&lt;&gt;Games!$C$137),1,0))</f>
        <v/>
      </c>
      <c r="AL47" s="13" t="str">
        <f>IF(OR(E47="",Results!E15=""),"",IF(AND(E47=Results!E15,Results!E15&lt;&gt;Games!$C$138),1,0))</f>
        <v/>
      </c>
      <c r="AM47" s="13" t="str">
        <f>IF(OR(F47="",Results!F15=""),"",IF(AND(F47=Results!F15,Results!F15&lt;&gt;Games!$C$139),1,0))</f>
        <v/>
      </c>
      <c r="AN47" s="13" t="str">
        <f>IF(OR(G47="",Results!G15=""),"",IF(AND(G47=Results!G15,Results!G15&lt;&gt;Games!$C$140),1,0))</f>
        <v/>
      </c>
      <c r="AO47" s="13" t="str">
        <f>IF(OR(H47="",Results!H15=""),"",IF(AND(H47=Results!H15,Results!H15&lt;&gt;Games!$C$141),1,0))</f>
        <v/>
      </c>
      <c r="AP47" s="13" t="str">
        <f>IF(OR(I47="",Results!I15=""),"",IF(AND(I47=Results!I15,Results!I15&lt;&gt;Games!$C$142),1,0))</f>
        <v/>
      </c>
      <c r="AQ47" s="13" t="str">
        <f>IF(OR(J47="",Results!J15=""),"",IF(AND(J47=Results!J15,Results!J15&lt;&gt;Games!$C$143),1,0))</f>
        <v/>
      </c>
      <c r="AR47" s="13" t="str">
        <f>IF(OR(K47="",Results!K15=""),"",IF(AND(K47=Results!K15,Results!K15&lt;&gt;Games!$C$144),1,0))</f>
        <v/>
      </c>
      <c r="AS47" s="13" t="str">
        <f>IF(OR(L47="",Results!L15=""),"",IF(AND(L47=Results!L15,Results!L15&lt;&gt;Games!$C$145),1,0))</f>
        <v/>
      </c>
      <c r="AT47" s="13" t="str">
        <f>IF(OR(M47="",Results!M15=""),"",IF(AND(M47=Results!M15,Results!M15&lt;&gt;Games!$C$146),1,0))</f>
        <v/>
      </c>
      <c r="AU47" s="13" t="str">
        <f>IF(OR(N47="",Results!N15=""),"",IF(AND(N47=Results!N15,Results!N15&lt;&gt;Games!$C$147),1,0))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IF(OR(B48="",Results!B15=""),"",IF(B48=Results!B15,1+IF(OR($O48=1,$P48=1,$Q48=1),1,0),0))</f>
        <v/>
      </c>
      <c r="T48" s="4" t="str">
        <f>IF(OR(C48="",Results!C15=""),"",IF(C48=Results!C15,1+IF(OR($O48=2,$P48=2,$Q48=2),1,0),0))</f>
        <v/>
      </c>
      <c r="U48" s="4" t="str">
        <f>IF(OR(D48="",Results!D15=""),"",IF(D48=Results!D15,1+IF(OR($O48=3,$P48=3,$Q48=3),1,0),0))</f>
        <v/>
      </c>
      <c r="V48" s="4" t="str">
        <f>IF(OR(E48="",Results!E15=""),"",IF(E48=Results!E15,1+IF(OR($O48=4,$P48=4,$Q48=4),1,0),0))</f>
        <v/>
      </c>
      <c r="W48" s="4" t="str">
        <f>IF(OR(F48="",Results!F15=""),"",IF(F48=Results!F15,1+IF(OR($O48=5,$P48=5,$Q48=5),1,0),0))</f>
        <v/>
      </c>
      <c r="X48" s="4" t="str">
        <f>IF(OR(G48="",Results!G15=""),"",IF(G48=Results!G15,1+IF(OR($O48=6,$P48=6,$Q48=6),1,0),0))</f>
        <v/>
      </c>
      <c r="Y48" s="4" t="str">
        <f>IF(OR(H48="",Results!H15=""),"",IF(H48=Results!H15,1+IF(OR($O48=7,$P48=7,$Q48=7),1,0),0))</f>
        <v/>
      </c>
      <c r="Z48" s="4" t="str">
        <f>IF(OR(I48="",Results!I15=""),"",IF(I48=Results!I15,1+IF(OR($O48=8,$P48=8,$Q48=8),1,0),0))</f>
        <v/>
      </c>
      <c r="AA48" s="4" t="str">
        <f>IF(OR(J48="",Results!J15=""),"",IF(J48=Results!J15,1+IF(OR($O48=9,$P48=9,$Q48=9),1,0),0))</f>
        <v/>
      </c>
      <c r="AB48" s="4" t="str">
        <f>IF(OR(K48="",Results!K15=""),"",IF(K48=Results!K15,1+IF(OR($O48=10,$P48=10,$Q48=10),1,0),0))</f>
        <v/>
      </c>
      <c r="AC48" s="4" t="str">
        <f>IF(OR(L48="",Results!L15=""),"",IF(L48=Results!L15,1+IF(OR($O48=11,$P48=11,$Q48=11),1,0),0))</f>
        <v/>
      </c>
      <c r="AD48" s="4" t="str">
        <f>IF(OR(M48="",Results!M15=""),"",IF(M48=Results!M15,1+IF(OR($O48=12,$P48=12,$Q48=12),1,0),0))</f>
        <v/>
      </c>
      <c r="AE48" s="4" t="str">
        <f>IF(OR(N48="",Results!N15=""),"",IF(N48=Results!N15,1+IF(OR($O48=13,$P48=13,$Q48=13),1,0),0))</f>
        <v/>
      </c>
      <c r="AF48" s="11">
        <f t="shared" si="2"/>
        <v>0</v>
      </c>
      <c r="AG48" s="4" t="str">
        <f>IF(OR($R48="",Results!O15=""),"",ABS($R48-Results!O15))</f>
        <v/>
      </c>
      <c r="AH48" s="12">
        <v>56</v>
      </c>
      <c r="AI48" s="13" t="str">
        <f>IF(OR(B48="",Results!B15=""),"",IF(AND(B48=Results!B15,Results!B15&lt;&gt;Games!$C$135),1,0))</f>
        <v/>
      </c>
      <c r="AJ48" s="13" t="str">
        <f>IF(OR(C48="",Results!C15=""),"",IF(AND(C48=Results!C15,Results!C15&lt;&gt;Games!$C$136),1,0))</f>
        <v/>
      </c>
      <c r="AK48" s="13" t="str">
        <f>IF(OR(D48="",Results!D15=""),"",IF(AND(D48=Results!D15,Results!D15&lt;&gt;Games!$C$137),1,0))</f>
        <v/>
      </c>
      <c r="AL48" s="13" t="str">
        <f>IF(OR(E48="",Results!E15=""),"",IF(AND(E48=Results!E15,Results!E15&lt;&gt;Games!$C$138),1,0))</f>
        <v/>
      </c>
      <c r="AM48" s="13" t="str">
        <f>IF(OR(F48="",Results!F15=""),"",IF(AND(F48=Results!F15,Results!F15&lt;&gt;Games!$C$139),1,0))</f>
        <v/>
      </c>
      <c r="AN48" s="13" t="str">
        <f>IF(OR(G48="",Results!G15=""),"",IF(AND(G48=Results!G15,Results!G15&lt;&gt;Games!$C$140),1,0))</f>
        <v/>
      </c>
      <c r="AO48" s="13" t="str">
        <f>IF(OR(H48="",Results!H15=""),"",IF(AND(H48=Results!H15,Results!H15&lt;&gt;Games!$C$141),1,0))</f>
        <v/>
      </c>
      <c r="AP48" s="13" t="str">
        <f>IF(OR(I48="",Results!I15=""),"",IF(AND(I48=Results!I15,Results!I15&lt;&gt;Games!$C$142),1,0))</f>
        <v/>
      </c>
      <c r="AQ48" s="13" t="str">
        <f>IF(OR(J48="",Results!J15=""),"",IF(AND(J48=Results!J15,Results!J15&lt;&gt;Games!$C$143),1,0))</f>
        <v/>
      </c>
      <c r="AR48" s="13" t="str">
        <f>IF(OR(K48="",Results!K15=""),"",IF(AND(K48=Results!K15,Results!K15&lt;&gt;Games!$C$144),1,0))</f>
        <v/>
      </c>
      <c r="AS48" s="13" t="str">
        <f>IF(OR(L48="",Results!L15=""),"",IF(AND(L48=Results!L15,Results!L15&lt;&gt;Games!$C$145),1,0))</f>
        <v/>
      </c>
      <c r="AT48" s="13" t="str">
        <f>IF(OR(M48="",Results!M15=""),"",IF(AND(M48=Results!M15,Results!M15&lt;&gt;Games!$C$146),1,0))</f>
        <v/>
      </c>
      <c r="AU48" s="13" t="str">
        <f>IF(OR(N48="",Results!N15=""),"",IF(AND(N48=Results!N15,Results!N15&lt;&gt;Games!$C$147),1,0))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 t="str">
        <f>IF(OR(B49="",Results!B15=""),"",IF(B49=Results!B15,1+IF(OR($O49=1,$P49=1,$Q49=1),1,0),0))</f>
        <v/>
      </c>
      <c r="T49" s="4" t="str">
        <f>IF(OR(C49="",Results!C15=""),"",IF(C49=Results!C15,1+IF(OR($O49=2,$P49=2,$Q49=2),1,0),0))</f>
        <v/>
      </c>
      <c r="U49" s="4" t="str">
        <f>IF(OR(D49="",Results!D15=""),"",IF(D49=Results!D15,1+IF(OR($O49=3,$P49=3,$Q49=3),1,0),0))</f>
        <v/>
      </c>
      <c r="V49" s="4" t="str">
        <f>IF(OR(E49="",Results!E15=""),"",IF(E49=Results!E15,1+IF(OR($O49=4,$P49=4,$Q49=4),1,0),0))</f>
        <v/>
      </c>
      <c r="W49" s="4" t="str">
        <f>IF(OR(F49="",Results!F15=""),"",IF(F49=Results!F15,1+IF(OR($O49=5,$P49=5,$Q49=5),1,0),0))</f>
        <v/>
      </c>
      <c r="X49" s="4" t="str">
        <f>IF(OR(G49="",Results!G15=""),"",IF(G49=Results!G15,1+IF(OR($O49=6,$P49=6,$Q49=6),1,0),0))</f>
        <v/>
      </c>
      <c r="Y49" s="4" t="str">
        <f>IF(OR(H49="",Results!H15=""),"",IF(H49=Results!H15,1+IF(OR($O49=7,$P49=7,$Q49=7),1,0),0))</f>
        <v/>
      </c>
      <c r="Z49" s="4" t="str">
        <f>IF(OR(I49="",Results!I15=""),"",IF(I49=Results!I15,1+IF(OR($O49=8,$P49=8,$Q49=8),1,0),0))</f>
        <v/>
      </c>
      <c r="AA49" s="4" t="str">
        <f>IF(OR(J49="",Results!J15=""),"",IF(J49=Results!J15,1+IF(OR($O49=9,$P49=9,$Q49=9),1,0),0))</f>
        <v/>
      </c>
      <c r="AB49" s="4" t="str">
        <f>IF(OR(K49="",Results!K15=""),"",IF(K49=Results!K15,1+IF(OR($O49=10,$P49=10,$Q49=10),1,0),0))</f>
        <v/>
      </c>
      <c r="AC49" s="4" t="str">
        <f>IF(OR(L49="",Results!L15=""),"",IF(L49=Results!L15,1+IF(OR($O49=11,$P49=11,$Q49=11),1,0),0))</f>
        <v/>
      </c>
      <c r="AD49" s="4" t="str">
        <f>IF(OR(M49="",Results!M15=""),"",IF(M49=Results!M15,1+IF(OR($O49=12,$P49=12,$Q49=12),1,0),0))</f>
        <v/>
      </c>
      <c r="AE49" s="4" t="str">
        <f>IF(OR(N49="",Results!N15=""),"",IF(N49=Results!N15,1+IF(OR($O49=13,$P49=13,$Q49=13),1,0),0))</f>
        <v/>
      </c>
      <c r="AF49" s="11">
        <f t="shared" si="2"/>
        <v>0</v>
      </c>
      <c r="AG49" s="4" t="str">
        <f>IF(OR($R49="",Results!O15=""),"",ABS($R49-Results!O15))</f>
        <v/>
      </c>
      <c r="AH49" s="12">
        <v>34</v>
      </c>
      <c r="AI49" s="13" t="str">
        <f>IF(OR(B49="",Results!B15=""),"",IF(AND(B49=Results!B15,Results!B15&lt;&gt;Games!$C$135),1,0))</f>
        <v/>
      </c>
      <c r="AJ49" s="13" t="str">
        <f>IF(OR(C49="",Results!C15=""),"",IF(AND(C49=Results!C15,Results!C15&lt;&gt;Games!$C$136),1,0))</f>
        <v/>
      </c>
      <c r="AK49" s="13" t="str">
        <f>IF(OR(D49="",Results!D15=""),"",IF(AND(D49=Results!D15,Results!D15&lt;&gt;Games!$C$137),1,0))</f>
        <v/>
      </c>
      <c r="AL49" s="13" t="str">
        <f>IF(OR(E49="",Results!E15=""),"",IF(AND(E49=Results!E15,Results!E15&lt;&gt;Games!$C$138),1,0))</f>
        <v/>
      </c>
      <c r="AM49" s="13" t="str">
        <f>IF(OR(F49="",Results!F15=""),"",IF(AND(F49=Results!F15,Results!F15&lt;&gt;Games!$C$139),1,0))</f>
        <v/>
      </c>
      <c r="AN49" s="13" t="str">
        <f>IF(OR(G49="",Results!G15=""),"",IF(AND(G49=Results!G15,Results!G15&lt;&gt;Games!$C$140),1,0))</f>
        <v/>
      </c>
      <c r="AO49" s="13" t="str">
        <f>IF(OR(H49="",Results!H15=""),"",IF(AND(H49=Results!H15,Results!H15&lt;&gt;Games!$C$141),1,0))</f>
        <v/>
      </c>
      <c r="AP49" s="13" t="str">
        <f>IF(OR(I49="",Results!I15=""),"",IF(AND(I49=Results!I15,Results!I15&lt;&gt;Games!$C$142),1,0))</f>
        <v/>
      </c>
      <c r="AQ49" s="13" t="str">
        <f>IF(OR(J49="",Results!J15=""),"",IF(AND(J49=Results!J15,Results!J15&lt;&gt;Games!$C$143),1,0))</f>
        <v/>
      </c>
      <c r="AR49" s="13" t="str">
        <f>IF(OR(K49="",Results!K15=""),"",IF(AND(K49=Results!K15,Results!K15&lt;&gt;Games!$C$144),1,0))</f>
        <v/>
      </c>
      <c r="AS49" s="13" t="str">
        <f>IF(OR(L49="",Results!L15=""),"",IF(AND(L49=Results!L15,Results!L15&lt;&gt;Games!$C$145),1,0))</f>
        <v/>
      </c>
      <c r="AT49" s="13" t="str">
        <f>IF(OR(M49="",Results!M15=""),"",IF(AND(M49=Results!M15,Results!M15&lt;&gt;Games!$C$146),1,0))</f>
        <v/>
      </c>
      <c r="AU49" s="13" t="str">
        <f>IF(OR(N49="",Results!N15=""),"",IF(AND(N49=Results!N15,Results!N15&lt;&gt;Games!$C$147),1,0))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IF(OR(B50="",Results!B15=""),"",IF(B50=Results!B15,1+IF(OR($O50=1,$P50=1,$Q50=1),1,0),0))</f>
        <v/>
      </c>
      <c r="T50" s="4" t="str">
        <f>IF(OR(C50="",Results!C15=""),"",IF(C50=Results!C15,1+IF(OR($O50=2,$P50=2,$Q50=2),1,0),0))</f>
        <v/>
      </c>
      <c r="U50" s="4" t="str">
        <f>IF(OR(D50="",Results!D15=""),"",IF(D50=Results!D15,1+IF(OR($O50=3,$P50=3,$Q50=3),1,0),0))</f>
        <v/>
      </c>
      <c r="V50" s="4" t="str">
        <f>IF(OR(E50="",Results!E15=""),"",IF(E50=Results!E15,1+IF(OR($O50=4,$P50=4,$Q50=4),1,0),0))</f>
        <v/>
      </c>
      <c r="W50" s="4" t="str">
        <f>IF(OR(F50="",Results!F15=""),"",IF(F50=Results!F15,1+IF(OR($O50=5,$P50=5,$Q50=5),1,0),0))</f>
        <v/>
      </c>
      <c r="X50" s="4" t="str">
        <f>IF(OR(G50="",Results!G15=""),"",IF(G50=Results!G15,1+IF(OR($O50=6,$P50=6,$Q50=6),1,0),0))</f>
        <v/>
      </c>
      <c r="Y50" s="4" t="str">
        <f>IF(OR(H50="",Results!H15=""),"",IF(H50=Results!H15,1+IF(OR($O50=7,$P50=7,$Q50=7),1,0),0))</f>
        <v/>
      </c>
      <c r="Z50" s="4" t="str">
        <f>IF(OR(I50="",Results!I15=""),"",IF(I50=Results!I15,1+IF(OR($O50=8,$P50=8,$Q50=8),1,0),0))</f>
        <v/>
      </c>
      <c r="AA50" s="4" t="str">
        <f>IF(OR(J50="",Results!J15=""),"",IF(J50=Results!J15,1+IF(OR($O50=9,$P50=9,$Q50=9),1,0),0))</f>
        <v/>
      </c>
      <c r="AB50" s="4" t="str">
        <f>IF(OR(K50="",Results!K15=""),"",IF(K50=Results!K15,1+IF(OR($O50=10,$P50=10,$Q50=10),1,0),0))</f>
        <v/>
      </c>
      <c r="AC50" s="4" t="str">
        <f>IF(OR(L50="",Results!L15=""),"",IF(L50=Results!L15,1+IF(OR($O50=11,$P50=11,$Q50=11),1,0),0))</f>
        <v/>
      </c>
      <c r="AD50" s="4" t="str">
        <f>IF(OR(M50="",Results!M15=""),"",IF(M50=Results!M15,1+IF(OR($O50=12,$P50=12,$Q50=12),1,0),0))</f>
        <v/>
      </c>
      <c r="AE50" s="4" t="str">
        <f>IF(OR(N50="",Results!N15=""),"",IF(N50=Results!N15,1+IF(OR($O50=13,$P50=13,$Q50=13),1,0),0))</f>
        <v/>
      </c>
      <c r="AF50" s="11">
        <f t="shared" si="2"/>
        <v>0</v>
      </c>
      <c r="AG50" s="4" t="str">
        <f>IF(OR($R50="",Results!O15=""),"",ABS($R50-Results!O15))</f>
        <v/>
      </c>
      <c r="AH50" s="12">
        <v>40</v>
      </c>
      <c r="AI50" s="13" t="str">
        <f>IF(OR(B50="",Results!B15=""),"",IF(AND(B50=Results!B15,Results!B15&lt;&gt;Games!$C$135),1,0))</f>
        <v/>
      </c>
      <c r="AJ50" s="13" t="str">
        <f>IF(OR(C50="",Results!C15=""),"",IF(AND(C50=Results!C15,Results!C15&lt;&gt;Games!$C$136),1,0))</f>
        <v/>
      </c>
      <c r="AK50" s="13" t="str">
        <f>IF(OR(D50="",Results!D15=""),"",IF(AND(D50=Results!D15,Results!D15&lt;&gt;Games!$C$137),1,0))</f>
        <v/>
      </c>
      <c r="AL50" s="13" t="str">
        <f>IF(OR(E50="",Results!E15=""),"",IF(AND(E50=Results!E15,Results!E15&lt;&gt;Games!$C$138),1,0))</f>
        <v/>
      </c>
      <c r="AM50" s="13" t="str">
        <f>IF(OR(F50="",Results!F15=""),"",IF(AND(F50=Results!F15,Results!F15&lt;&gt;Games!$C$139),1,0))</f>
        <v/>
      </c>
      <c r="AN50" s="13" t="str">
        <f>IF(OR(G50="",Results!G15=""),"",IF(AND(G50=Results!G15,Results!G15&lt;&gt;Games!$C$140),1,0))</f>
        <v/>
      </c>
      <c r="AO50" s="13" t="str">
        <f>IF(OR(H50="",Results!H15=""),"",IF(AND(H50=Results!H15,Results!H15&lt;&gt;Games!$C$141),1,0))</f>
        <v/>
      </c>
      <c r="AP50" s="13" t="str">
        <f>IF(OR(I50="",Results!I15=""),"",IF(AND(I50=Results!I15,Results!I15&lt;&gt;Games!$C$142),1,0))</f>
        <v/>
      </c>
      <c r="AQ50" s="13" t="str">
        <f>IF(OR(J50="",Results!J15=""),"",IF(AND(J50=Results!J15,Results!J15&lt;&gt;Games!$C$143),1,0))</f>
        <v/>
      </c>
      <c r="AR50" s="13" t="str">
        <f>IF(OR(K50="",Results!K15=""),"",IF(AND(K50=Results!K15,Results!K15&lt;&gt;Games!$C$144),1,0))</f>
        <v/>
      </c>
      <c r="AS50" s="13" t="str">
        <f>IF(OR(L50="",Results!L15=""),"",IF(AND(L50=Results!L15,Results!L15&lt;&gt;Games!$C$145),1,0))</f>
        <v/>
      </c>
      <c r="AT50" s="13" t="str">
        <f>IF(OR(M50="",Results!M15=""),"",IF(AND(M50=Results!M15,Results!M15&lt;&gt;Games!$C$146),1,0))</f>
        <v/>
      </c>
      <c r="AU50" s="13" t="str">
        <f>IF(OR(N50="",Results!N15=""),"",IF(AND(N50=Results!N15,Results!N15&lt;&gt;Games!$C$147),1,0))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IF(OR(B51="",Results!B15=""),"",IF(B51=Results!B15,1+IF(OR($O51=1,$P51=1,$Q51=1),1,0),0))</f>
        <v/>
      </c>
      <c r="T51" s="4" t="str">
        <f>IF(OR(C51="",Results!C15=""),"",IF(C51=Results!C15,1+IF(OR($O51=2,$P51=2,$Q51=2),1,0),0))</f>
        <v/>
      </c>
      <c r="U51" s="4" t="str">
        <f>IF(OR(D51="",Results!D15=""),"",IF(D51=Results!D15,1+IF(OR($O51=3,$P51=3,$Q51=3),1,0),0))</f>
        <v/>
      </c>
      <c r="V51" s="4" t="str">
        <f>IF(OR(E51="",Results!E15=""),"",IF(E51=Results!E15,1+IF(OR($O51=4,$P51=4,$Q51=4),1,0),0))</f>
        <v/>
      </c>
      <c r="W51" s="4" t="str">
        <f>IF(OR(F51="",Results!F15=""),"",IF(F51=Results!F15,1+IF(OR($O51=5,$P51=5,$Q51=5),1,0),0))</f>
        <v/>
      </c>
      <c r="X51" s="4" t="str">
        <f>IF(OR(G51="",Results!G15=""),"",IF(G51=Results!G15,1+IF(OR($O51=6,$P51=6,$Q51=6),1,0),0))</f>
        <v/>
      </c>
      <c r="Y51" s="4" t="str">
        <f>IF(OR(H51="",Results!H15=""),"",IF(H51=Results!H15,1+IF(OR($O51=7,$P51=7,$Q51=7),1,0),0))</f>
        <v/>
      </c>
      <c r="Z51" s="4" t="str">
        <f>IF(OR(I51="",Results!I15=""),"",IF(I51=Results!I15,1+IF(OR($O51=8,$P51=8,$Q51=8),1,0),0))</f>
        <v/>
      </c>
      <c r="AA51" s="4" t="str">
        <f>IF(OR(J51="",Results!J15=""),"",IF(J51=Results!J15,1+IF(OR($O51=9,$P51=9,$Q51=9),1,0),0))</f>
        <v/>
      </c>
      <c r="AB51" s="4" t="str">
        <f>IF(OR(K51="",Results!K15=""),"",IF(K51=Results!K15,1+IF(OR($O51=10,$P51=10,$Q51=10),1,0),0))</f>
        <v/>
      </c>
      <c r="AC51" s="4" t="str">
        <f>IF(OR(L51="",Results!L15=""),"",IF(L51=Results!L15,1+IF(OR($O51=11,$P51=11,$Q51=11),1,0),0))</f>
        <v/>
      </c>
      <c r="AD51" s="4" t="str">
        <f>IF(OR(M51="",Results!M15=""),"",IF(M51=Results!M15,1+IF(OR($O51=12,$P51=12,$Q51=12),1,0),0))</f>
        <v/>
      </c>
      <c r="AE51" s="4" t="str">
        <f>IF(OR(N51="",Results!N15=""),"",IF(N51=Results!N15,1+IF(OR($O51=13,$P51=13,$Q51=13),1,0),0))</f>
        <v/>
      </c>
      <c r="AF51" s="11">
        <f t="shared" si="2"/>
        <v>0</v>
      </c>
      <c r="AG51" s="4" t="str">
        <f>IF(OR($R51="",Results!O15=""),"",ABS($R51-Results!O15))</f>
        <v/>
      </c>
      <c r="AH51" s="12">
        <v>42</v>
      </c>
      <c r="AI51" s="13" t="str">
        <f>IF(OR(B51="",Results!B15=""),"",IF(AND(B51=Results!B15,Results!B15&lt;&gt;Games!$C$135),1,0))</f>
        <v/>
      </c>
      <c r="AJ51" s="13" t="str">
        <f>IF(OR(C51="",Results!C15=""),"",IF(AND(C51=Results!C15,Results!C15&lt;&gt;Games!$C$136),1,0))</f>
        <v/>
      </c>
      <c r="AK51" s="13" t="str">
        <f>IF(OR(D51="",Results!D15=""),"",IF(AND(D51=Results!D15,Results!D15&lt;&gt;Games!$C$137),1,0))</f>
        <v/>
      </c>
      <c r="AL51" s="13" t="str">
        <f>IF(OR(E51="",Results!E15=""),"",IF(AND(E51=Results!E15,Results!E15&lt;&gt;Games!$C$138),1,0))</f>
        <v/>
      </c>
      <c r="AM51" s="13" t="str">
        <f>IF(OR(F51="",Results!F15=""),"",IF(AND(F51=Results!F15,Results!F15&lt;&gt;Games!$C$139),1,0))</f>
        <v/>
      </c>
      <c r="AN51" s="13" t="str">
        <f>IF(OR(G51="",Results!G15=""),"",IF(AND(G51=Results!G15,Results!G15&lt;&gt;Games!$C$140),1,0))</f>
        <v/>
      </c>
      <c r="AO51" s="13" t="str">
        <f>IF(OR(H51="",Results!H15=""),"",IF(AND(H51=Results!H15,Results!H15&lt;&gt;Games!$C$141),1,0))</f>
        <v/>
      </c>
      <c r="AP51" s="13" t="str">
        <f>IF(OR(I51="",Results!I15=""),"",IF(AND(I51=Results!I15,Results!I15&lt;&gt;Games!$C$142),1,0))</f>
        <v/>
      </c>
      <c r="AQ51" s="13" t="str">
        <f>IF(OR(J51="",Results!J15=""),"",IF(AND(J51=Results!J15,Results!J15&lt;&gt;Games!$C$143),1,0))</f>
        <v/>
      </c>
      <c r="AR51" s="13" t="str">
        <f>IF(OR(K51="",Results!K15=""),"",IF(AND(K51=Results!K15,Results!K15&lt;&gt;Games!$C$144),1,0))</f>
        <v/>
      </c>
      <c r="AS51" s="13" t="str">
        <f>IF(OR(L51="",Results!L15=""),"",IF(AND(L51=Results!L15,Results!L15&lt;&gt;Games!$C$145),1,0))</f>
        <v/>
      </c>
      <c r="AT51" s="13" t="str">
        <f>IF(OR(M51="",Results!M15=""),"",IF(AND(M51=Results!M15,Results!M15&lt;&gt;Games!$C$146),1,0))</f>
        <v/>
      </c>
      <c r="AU51" s="13" t="str">
        <f>IF(OR(N51="",Results!N15=""),"",IF(AND(N51=Results!N15,Results!N15&lt;&gt;Games!$C$147),1,0))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 t="str">
        <f>IF(OR(B52="",Results!B15=""),"",IF(B52=Results!B15,1+IF(OR($O52=1,$P52=1,$Q52=1),1,0),0))</f>
        <v/>
      </c>
      <c r="T52" s="4" t="str">
        <f>IF(OR(C52="",Results!C15=""),"",IF(C52=Results!C15,1+IF(OR($O52=2,$P52=2,$Q52=2),1,0),0))</f>
        <v/>
      </c>
      <c r="U52" s="4" t="str">
        <f>IF(OR(D52="",Results!D15=""),"",IF(D52=Results!D15,1+IF(OR($O52=3,$P52=3,$Q52=3),1,0),0))</f>
        <v/>
      </c>
      <c r="V52" s="4" t="str">
        <f>IF(OR(E52="",Results!E15=""),"",IF(E52=Results!E15,1+IF(OR($O52=4,$P52=4,$Q52=4),1,0),0))</f>
        <v/>
      </c>
      <c r="W52" s="4" t="str">
        <f>IF(OR(F52="",Results!F15=""),"",IF(F52=Results!F15,1+IF(OR($O52=5,$P52=5,$Q52=5),1,0),0))</f>
        <v/>
      </c>
      <c r="X52" s="4" t="str">
        <f>IF(OR(G52="",Results!G15=""),"",IF(G52=Results!G15,1+IF(OR($O52=6,$P52=6,$Q52=6),1,0),0))</f>
        <v/>
      </c>
      <c r="Y52" s="4" t="str">
        <f>IF(OR(H52="",Results!H15=""),"",IF(H52=Results!H15,1+IF(OR($O52=7,$P52=7,$Q52=7),1,0),0))</f>
        <v/>
      </c>
      <c r="Z52" s="4" t="str">
        <f>IF(OR(I52="",Results!I15=""),"",IF(I52=Results!I15,1+IF(OR($O52=8,$P52=8,$Q52=8),1,0),0))</f>
        <v/>
      </c>
      <c r="AA52" s="4" t="str">
        <f>IF(OR(J52="",Results!J15=""),"",IF(J52=Results!J15,1+IF(OR($O52=9,$P52=9,$Q52=9),1,0),0))</f>
        <v/>
      </c>
      <c r="AB52" s="4" t="str">
        <f>IF(OR(K52="",Results!K15=""),"",IF(K52=Results!K15,1+IF(OR($O52=10,$P52=10,$Q52=10),1,0),0))</f>
        <v/>
      </c>
      <c r="AC52" s="4" t="str">
        <f>IF(OR(L52="",Results!L15=""),"",IF(L52=Results!L15,1+IF(OR($O52=11,$P52=11,$Q52=11),1,0),0))</f>
        <v/>
      </c>
      <c r="AD52" s="4" t="str">
        <f>IF(OR(M52="",Results!M15=""),"",IF(M52=Results!M15,1+IF(OR($O52=12,$P52=12,$Q52=12),1,0),0))</f>
        <v/>
      </c>
      <c r="AE52" s="4" t="str">
        <f>IF(OR(N52="",Results!N15=""),"",IF(N52=Results!N15,1+IF(OR($O52=13,$P52=13,$Q52=13),1,0),0))</f>
        <v/>
      </c>
      <c r="AF52" s="11">
        <f t="shared" si="2"/>
        <v>0</v>
      </c>
      <c r="AG52" s="4" t="str">
        <f>IF(OR($R52="",Results!O15=""),"",ABS($R52-Results!O15))</f>
        <v/>
      </c>
      <c r="AH52" s="12">
        <v>27</v>
      </c>
      <c r="AI52" s="13" t="str">
        <f>IF(OR(B52="",Results!B15=""),"",IF(AND(B52=Results!B15,Results!B15&lt;&gt;Games!$C$135),1,0))</f>
        <v/>
      </c>
      <c r="AJ52" s="13" t="str">
        <f>IF(OR(C52="",Results!C15=""),"",IF(AND(C52=Results!C15,Results!C15&lt;&gt;Games!$C$136),1,0))</f>
        <v/>
      </c>
      <c r="AK52" s="13" t="str">
        <f>IF(OR(D52="",Results!D15=""),"",IF(AND(D52=Results!D15,Results!D15&lt;&gt;Games!$C$137),1,0))</f>
        <v/>
      </c>
      <c r="AL52" s="13" t="str">
        <f>IF(OR(E52="",Results!E15=""),"",IF(AND(E52=Results!E15,Results!E15&lt;&gt;Games!$C$138),1,0))</f>
        <v/>
      </c>
      <c r="AM52" s="13" t="str">
        <f>IF(OR(F52="",Results!F15=""),"",IF(AND(F52=Results!F15,Results!F15&lt;&gt;Games!$C$139),1,0))</f>
        <v/>
      </c>
      <c r="AN52" s="13" t="str">
        <f>IF(OR(G52="",Results!G15=""),"",IF(AND(G52=Results!G15,Results!G15&lt;&gt;Games!$C$140),1,0))</f>
        <v/>
      </c>
      <c r="AO52" s="13" t="str">
        <f>IF(OR(H52="",Results!H15=""),"",IF(AND(H52=Results!H15,Results!H15&lt;&gt;Games!$C$141),1,0))</f>
        <v/>
      </c>
      <c r="AP52" s="13" t="str">
        <f>IF(OR(I52="",Results!I15=""),"",IF(AND(I52=Results!I15,Results!I15&lt;&gt;Games!$C$142),1,0))</f>
        <v/>
      </c>
      <c r="AQ52" s="13" t="str">
        <f>IF(OR(J52="",Results!J15=""),"",IF(AND(J52=Results!J15,Results!J15&lt;&gt;Games!$C$143),1,0))</f>
        <v/>
      </c>
      <c r="AR52" s="13" t="str">
        <f>IF(OR(K52="",Results!K15=""),"",IF(AND(K52=Results!K15,Results!K15&lt;&gt;Games!$C$144),1,0))</f>
        <v/>
      </c>
      <c r="AS52" s="13" t="str">
        <f>IF(OR(L52="",Results!L15=""),"",IF(AND(L52=Results!L15,Results!L15&lt;&gt;Games!$C$145),1,0))</f>
        <v/>
      </c>
      <c r="AT52" s="13" t="str">
        <f>IF(OR(M52="",Results!M15=""),"",IF(AND(M52=Results!M15,Results!M15&lt;&gt;Games!$C$146),1,0))</f>
        <v/>
      </c>
      <c r="AU52" s="13" t="str">
        <f>IF(OR(N52="",Results!N15=""),"",IF(AND(N52=Results!N15,Results!N15&lt;&gt;Games!$C$147),1,0))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IF(OR(B53="",Results!B15=""),"",IF(B53=Results!B15,1+IF(OR($O53=1,$P53=1,$Q53=1),1,0),0))</f>
        <v/>
      </c>
      <c r="T53" s="4" t="str">
        <f>IF(OR(C53="",Results!C15=""),"",IF(C53=Results!C15,1+IF(OR($O53=2,$P53=2,$Q53=2),1,0),0))</f>
        <v/>
      </c>
      <c r="U53" s="4" t="str">
        <f>IF(OR(D53="",Results!D15=""),"",IF(D53=Results!D15,1+IF(OR($O53=3,$P53=3,$Q53=3),1,0),0))</f>
        <v/>
      </c>
      <c r="V53" s="4" t="str">
        <f>IF(OR(E53="",Results!E15=""),"",IF(E53=Results!E15,1+IF(OR($O53=4,$P53=4,$Q53=4),1,0),0))</f>
        <v/>
      </c>
      <c r="W53" s="4" t="str">
        <f>IF(OR(F53="",Results!F15=""),"",IF(F53=Results!F15,1+IF(OR($O53=5,$P53=5,$Q53=5),1,0),0))</f>
        <v/>
      </c>
      <c r="X53" s="4" t="str">
        <f>IF(OR(G53="",Results!G15=""),"",IF(G53=Results!G15,1+IF(OR($O53=6,$P53=6,$Q53=6),1,0),0))</f>
        <v/>
      </c>
      <c r="Y53" s="4" t="str">
        <f>IF(OR(H53="",Results!H15=""),"",IF(H53=Results!H15,1+IF(OR($O53=7,$P53=7,$Q53=7),1,0),0))</f>
        <v/>
      </c>
      <c r="Z53" s="4" t="str">
        <f>IF(OR(I53="",Results!I15=""),"",IF(I53=Results!I15,1+IF(OR($O53=8,$P53=8,$Q53=8),1,0),0))</f>
        <v/>
      </c>
      <c r="AA53" s="4" t="str">
        <f>IF(OR(J53="",Results!J15=""),"",IF(J53=Results!J15,1+IF(OR($O53=9,$P53=9,$Q53=9),1,0),0))</f>
        <v/>
      </c>
      <c r="AB53" s="4" t="str">
        <f>IF(OR(K53="",Results!K15=""),"",IF(K53=Results!K15,1+IF(OR($O53=10,$P53=10,$Q53=10),1,0),0))</f>
        <v/>
      </c>
      <c r="AC53" s="4" t="str">
        <f>IF(OR(L53="",Results!L15=""),"",IF(L53=Results!L15,1+IF(OR($O53=11,$P53=11,$Q53=11),1,0),0))</f>
        <v/>
      </c>
      <c r="AD53" s="4" t="str">
        <f>IF(OR(M53="",Results!M15=""),"",IF(M53=Results!M15,1+IF(OR($O53=12,$P53=12,$Q53=12),1,0),0))</f>
        <v/>
      </c>
      <c r="AE53" s="4" t="str">
        <f>IF(OR(N53="",Results!N15=""),"",IF(N53=Results!N15,1+IF(OR($O53=13,$P53=13,$Q53=13),1,0),0))</f>
        <v/>
      </c>
      <c r="AF53" s="11">
        <f t="shared" si="2"/>
        <v>0</v>
      </c>
      <c r="AG53" s="4" t="str">
        <f>IF(OR($R53="",Results!O15=""),"",ABS($R53-Results!O15))</f>
        <v/>
      </c>
      <c r="AH53" s="12">
        <v>35</v>
      </c>
      <c r="AI53" s="13" t="str">
        <f>IF(OR(B53="",Results!B15=""),"",IF(AND(B53=Results!B15,Results!B15&lt;&gt;Games!$C$135),1,0))</f>
        <v/>
      </c>
      <c r="AJ53" s="13" t="str">
        <f>IF(OR(C53="",Results!C15=""),"",IF(AND(C53=Results!C15,Results!C15&lt;&gt;Games!$C$136),1,0))</f>
        <v/>
      </c>
      <c r="AK53" s="13" t="str">
        <f>IF(OR(D53="",Results!D15=""),"",IF(AND(D53=Results!D15,Results!D15&lt;&gt;Games!$C$137),1,0))</f>
        <v/>
      </c>
      <c r="AL53" s="13" t="str">
        <f>IF(OR(E53="",Results!E15=""),"",IF(AND(E53=Results!E15,Results!E15&lt;&gt;Games!$C$138),1,0))</f>
        <v/>
      </c>
      <c r="AM53" s="13" t="str">
        <f>IF(OR(F53="",Results!F15=""),"",IF(AND(F53=Results!F15,Results!F15&lt;&gt;Games!$C$139),1,0))</f>
        <v/>
      </c>
      <c r="AN53" s="13" t="str">
        <f>IF(OR(G53="",Results!G15=""),"",IF(AND(G53=Results!G15,Results!G15&lt;&gt;Games!$C$140),1,0))</f>
        <v/>
      </c>
      <c r="AO53" s="13" t="str">
        <f>IF(OR(H53="",Results!H15=""),"",IF(AND(H53=Results!H15,Results!H15&lt;&gt;Games!$C$141),1,0))</f>
        <v/>
      </c>
      <c r="AP53" s="13" t="str">
        <f>IF(OR(I53="",Results!I15=""),"",IF(AND(I53=Results!I15,Results!I15&lt;&gt;Games!$C$142),1,0))</f>
        <v/>
      </c>
      <c r="AQ53" s="13" t="str">
        <f>IF(OR(J53="",Results!J15=""),"",IF(AND(J53=Results!J15,Results!J15&lt;&gt;Games!$C$143),1,0))</f>
        <v/>
      </c>
      <c r="AR53" s="13" t="str">
        <f>IF(OR(K53="",Results!K15=""),"",IF(AND(K53=Results!K15,Results!K15&lt;&gt;Games!$C$144),1,0))</f>
        <v/>
      </c>
      <c r="AS53" s="13" t="str">
        <f>IF(OR(L53="",Results!L15=""),"",IF(AND(L53=Results!L15,Results!L15&lt;&gt;Games!$C$145),1,0))</f>
        <v/>
      </c>
      <c r="AT53" s="13" t="str">
        <f>IF(OR(M53="",Results!M15=""),"",IF(AND(M53=Results!M15,Results!M15&lt;&gt;Games!$C$146),1,0))</f>
        <v/>
      </c>
      <c r="AU53" s="13" t="str">
        <f>IF(OR(N53="",Results!N15=""),"",IF(AND(N53=Results!N15,Results!N15&lt;&gt;Games!$C$147),1,0))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 t="str">
        <f>IF(OR(B54="",Results!B15=""),"",IF(B54=Results!B15,1+IF(OR($O54=1,$P54=1,$Q54=1),1,0),0))</f>
        <v/>
      </c>
      <c r="T54" s="4" t="str">
        <f>IF(OR(C54="",Results!C15=""),"",IF(C54=Results!C15,1+IF(OR($O54=2,$P54=2,$Q54=2),1,0),0))</f>
        <v/>
      </c>
      <c r="U54" s="4" t="str">
        <f>IF(OR(D54="",Results!D15=""),"",IF(D54=Results!D15,1+IF(OR($O54=3,$P54=3,$Q54=3),1,0),0))</f>
        <v/>
      </c>
      <c r="V54" s="4" t="str">
        <f>IF(OR(E54="",Results!E15=""),"",IF(E54=Results!E15,1+IF(OR($O54=4,$P54=4,$Q54=4),1,0),0))</f>
        <v/>
      </c>
      <c r="W54" s="4" t="str">
        <f>IF(OR(F54="",Results!F15=""),"",IF(F54=Results!F15,1+IF(OR($O54=5,$P54=5,$Q54=5),1,0),0))</f>
        <v/>
      </c>
      <c r="X54" s="4" t="str">
        <f>IF(OR(G54="",Results!G15=""),"",IF(G54=Results!G15,1+IF(OR($O54=6,$P54=6,$Q54=6),1,0),0))</f>
        <v/>
      </c>
      <c r="Y54" s="4" t="str">
        <f>IF(OR(H54="",Results!H15=""),"",IF(H54=Results!H15,1+IF(OR($O54=7,$P54=7,$Q54=7),1,0),0))</f>
        <v/>
      </c>
      <c r="Z54" s="4" t="str">
        <f>IF(OR(I54="",Results!I15=""),"",IF(I54=Results!I15,1+IF(OR($O54=8,$P54=8,$Q54=8),1,0),0))</f>
        <v/>
      </c>
      <c r="AA54" s="4" t="str">
        <f>IF(OR(J54="",Results!J15=""),"",IF(J54=Results!J15,1+IF(OR($O54=9,$P54=9,$Q54=9),1,0),0))</f>
        <v/>
      </c>
      <c r="AB54" s="4" t="str">
        <f>IF(OR(K54="",Results!K15=""),"",IF(K54=Results!K15,1+IF(OR($O54=10,$P54=10,$Q54=10),1,0),0))</f>
        <v/>
      </c>
      <c r="AC54" s="4" t="str">
        <f>IF(OR(L54="",Results!L15=""),"",IF(L54=Results!L15,1+IF(OR($O54=11,$P54=11,$Q54=11),1,0),0))</f>
        <v/>
      </c>
      <c r="AD54" s="4" t="str">
        <f>IF(OR(M54="",Results!M15=""),"",IF(M54=Results!M15,1+IF(OR($O54=12,$P54=12,$Q54=12),1,0),0))</f>
        <v/>
      </c>
      <c r="AE54" s="4" t="str">
        <f>IF(OR(N54="",Results!N15=""),"",IF(N54=Results!N15,1+IF(OR($O54=13,$P54=13,$Q54=13),1,0),0))</f>
        <v/>
      </c>
      <c r="AF54" s="11">
        <f t="shared" si="2"/>
        <v>0</v>
      </c>
      <c r="AG54" s="4" t="str">
        <f>IF(OR($R54="",Results!O15=""),"",ABS($R54-Results!O15))</f>
        <v/>
      </c>
      <c r="AH54" s="12">
        <v>43</v>
      </c>
      <c r="AI54" s="13" t="str">
        <f>IF(OR(B54="",Results!B15=""),"",IF(AND(B54=Results!B15,Results!B15&lt;&gt;Games!$C$135),1,0))</f>
        <v/>
      </c>
      <c r="AJ54" s="13" t="str">
        <f>IF(OR(C54="",Results!C15=""),"",IF(AND(C54=Results!C15,Results!C15&lt;&gt;Games!$C$136),1,0))</f>
        <v/>
      </c>
      <c r="AK54" s="13" t="str">
        <f>IF(OR(D54="",Results!D15=""),"",IF(AND(D54=Results!D15,Results!D15&lt;&gt;Games!$C$137),1,0))</f>
        <v/>
      </c>
      <c r="AL54" s="13" t="str">
        <f>IF(OR(E54="",Results!E15=""),"",IF(AND(E54=Results!E15,Results!E15&lt;&gt;Games!$C$138),1,0))</f>
        <v/>
      </c>
      <c r="AM54" s="13" t="str">
        <f>IF(OR(F54="",Results!F15=""),"",IF(AND(F54=Results!F15,Results!F15&lt;&gt;Games!$C$139),1,0))</f>
        <v/>
      </c>
      <c r="AN54" s="13" t="str">
        <f>IF(OR(G54="",Results!G15=""),"",IF(AND(G54=Results!G15,Results!G15&lt;&gt;Games!$C$140),1,0))</f>
        <v/>
      </c>
      <c r="AO54" s="13" t="str">
        <f>IF(OR(H54="",Results!H15=""),"",IF(AND(H54=Results!H15,Results!H15&lt;&gt;Games!$C$141),1,0))</f>
        <v/>
      </c>
      <c r="AP54" s="13" t="str">
        <f>IF(OR(I54="",Results!I15=""),"",IF(AND(I54=Results!I15,Results!I15&lt;&gt;Games!$C$142),1,0))</f>
        <v/>
      </c>
      <c r="AQ54" s="13" t="str">
        <f>IF(OR(J54="",Results!J15=""),"",IF(AND(J54=Results!J15,Results!J15&lt;&gt;Games!$C$143),1,0))</f>
        <v/>
      </c>
      <c r="AR54" s="13" t="str">
        <f>IF(OR(K54="",Results!K15=""),"",IF(AND(K54=Results!K15,Results!K15&lt;&gt;Games!$C$144),1,0))</f>
        <v/>
      </c>
      <c r="AS54" s="13" t="str">
        <f>IF(OR(L54="",Results!L15=""),"",IF(AND(L54=Results!L15,Results!L15&lt;&gt;Games!$C$145),1,0))</f>
        <v/>
      </c>
      <c r="AT54" s="13" t="str">
        <f>IF(OR(M54="",Results!M15=""),"",IF(AND(M54=Results!M15,Results!M15&lt;&gt;Games!$C$146),1,0))</f>
        <v/>
      </c>
      <c r="AU54" s="13" t="str">
        <f>IF(OR(N54="",Results!N15=""),"",IF(AND(N54=Results!N15,Results!N15&lt;&gt;Games!$C$147),1,0))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IF(OR(B55="",Results!B15=""),"",IF(B55=Results!B15,1+IF(OR($O55=1,$P55=1,$Q55=1),1,0),0))</f>
        <v/>
      </c>
      <c r="T55" s="4" t="str">
        <f>IF(OR(C55="",Results!C15=""),"",IF(C55=Results!C15,1+IF(OR($O55=2,$P55=2,$Q55=2),1,0),0))</f>
        <v/>
      </c>
      <c r="U55" s="4" t="str">
        <f>IF(OR(D55="",Results!D15=""),"",IF(D55=Results!D15,1+IF(OR($O55=3,$P55=3,$Q55=3),1,0),0))</f>
        <v/>
      </c>
      <c r="V55" s="4" t="str">
        <f>IF(OR(E55="",Results!E15=""),"",IF(E55=Results!E15,1+IF(OR($O55=4,$P55=4,$Q55=4),1,0),0))</f>
        <v/>
      </c>
      <c r="W55" s="4" t="str">
        <f>IF(OR(F55="",Results!F15=""),"",IF(F55=Results!F15,1+IF(OR($O55=5,$P55=5,$Q55=5),1,0),0))</f>
        <v/>
      </c>
      <c r="X55" s="4" t="str">
        <f>IF(OR(G55="",Results!G15=""),"",IF(G55=Results!G15,1+IF(OR($O55=6,$P55=6,$Q55=6),1,0),0))</f>
        <v/>
      </c>
      <c r="Y55" s="4" t="str">
        <f>IF(OR(H55="",Results!H15=""),"",IF(H55=Results!H15,1+IF(OR($O55=7,$P55=7,$Q55=7),1,0),0))</f>
        <v/>
      </c>
      <c r="Z55" s="4" t="str">
        <f>IF(OR(I55="",Results!I15=""),"",IF(I55=Results!I15,1+IF(OR($O55=8,$P55=8,$Q55=8),1,0),0))</f>
        <v/>
      </c>
      <c r="AA55" s="4" t="str">
        <f>IF(OR(J55="",Results!J15=""),"",IF(J55=Results!J15,1+IF(OR($O55=9,$P55=9,$Q55=9),1,0),0))</f>
        <v/>
      </c>
      <c r="AB55" s="4" t="str">
        <f>IF(OR(K55="",Results!K15=""),"",IF(K55=Results!K15,1+IF(OR($O55=10,$P55=10,$Q55=10),1,0),0))</f>
        <v/>
      </c>
      <c r="AC55" s="4" t="str">
        <f>IF(OR(L55="",Results!L15=""),"",IF(L55=Results!L15,1+IF(OR($O55=11,$P55=11,$Q55=11),1,0),0))</f>
        <v/>
      </c>
      <c r="AD55" s="4" t="str">
        <f>IF(OR(M55="",Results!M15=""),"",IF(M55=Results!M15,1+IF(OR($O55=12,$P55=12,$Q55=12),1,0),0))</f>
        <v/>
      </c>
      <c r="AE55" s="4" t="str">
        <f>IF(OR(N55="",Results!N15=""),"",IF(N55=Results!N15,1+IF(OR($O55=13,$P55=13,$Q55=13),1,0),0))</f>
        <v/>
      </c>
      <c r="AF55" s="11">
        <f t="shared" si="2"/>
        <v>0</v>
      </c>
      <c r="AG55" s="4" t="str">
        <f>IF(OR($R55="",Results!O15=""),"",ABS($R55-Results!O15))</f>
        <v/>
      </c>
      <c r="AH55" s="12">
        <v>44</v>
      </c>
      <c r="AI55" s="13" t="str">
        <f>IF(OR(B55="",Results!B15=""),"",IF(AND(B55=Results!B15,Results!B15&lt;&gt;Games!$C$135),1,0))</f>
        <v/>
      </c>
      <c r="AJ55" s="13" t="str">
        <f>IF(OR(C55="",Results!C15=""),"",IF(AND(C55=Results!C15,Results!C15&lt;&gt;Games!$C$136),1,0))</f>
        <v/>
      </c>
      <c r="AK55" s="13" t="str">
        <f>IF(OR(D55="",Results!D15=""),"",IF(AND(D55=Results!D15,Results!D15&lt;&gt;Games!$C$137),1,0))</f>
        <v/>
      </c>
      <c r="AL55" s="13" t="str">
        <f>IF(OR(E55="",Results!E15=""),"",IF(AND(E55=Results!E15,Results!E15&lt;&gt;Games!$C$138),1,0))</f>
        <v/>
      </c>
      <c r="AM55" s="13" t="str">
        <f>IF(OR(F55="",Results!F15=""),"",IF(AND(F55=Results!F15,Results!F15&lt;&gt;Games!$C$139),1,0))</f>
        <v/>
      </c>
      <c r="AN55" s="13" t="str">
        <f>IF(OR(G55="",Results!G15=""),"",IF(AND(G55=Results!G15,Results!G15&lt;&gt;Games!$C$140),1,0))</f>
        <v/>
      </c>
      <c r="AO55" s="13" t="str">
        <f>IF(OR(H55="",Results!H15=""),"",IF(AND(H55=Results!H15,Results!H15&lt;&gt;Games!$C$141),1,0))</f>
        <v/>
      </c>
      <c r="AP55" s="13" t="str">
        <f>IF(OR(I55="",Results!I15=""),"",IF(AND(I55=Results!I15,Results!I15&lt;&gt;Games!$C$142),1,0))</f>
        <v/>
      </c>
      <c r="AQ55" s="13" t="str">
        <f>IF(OR(J55="",Results!J15=""),"",IF(AND(J55=Results!J15,Results!J15&lt;&gt;Games!$C$143),1,0))</f>
        <v/>
      </c>
      <c r="AR55" s="13" t="str">
        <f>IF(OR(K55="",Results!K15=""),"",IF(AND(K55=Results!K15,Results!K15&lt;&gt;Games!$C$144),1,0))</f>
        <v/>
      </c>
      <c r="AS55" s="13" t="str">
        <f>IF(OR(L55="",Results!L15=""),"",IF(AND(L55=Results!L15,Results!L15&lt;&gt;Games!$C$145),1,0))</f>
        <v/>
      </c>
      <c r="AT55" s="13" t="str">
        <f>IF(OR(M55="",Results!M15=""),"",IF(AND(M55=Results!M15,Results!M15&lt;&gt;Games!$C$146),1,0))</f>
        <v/>
      </c>
      <c r="AU55" s="13" t="str">
        <f>IF(OR(N55="",Results!N15=""),"",IF(AND(N55=Results!N15,Results!N15&lt;&gt;Games!$C$147),1,0))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IF(OR(B56="",Results!B15=""),"",IF(B56=Results!B15,1+IF(OR($O56=1,$P56=1,$Q56=1),1,0),0))</f>
        <v/>
      </c>
      <c r="T56" s="4" t="str">
        <f>IF(OR(C56="",Results!C15=""),"",IF(C56=Results!C15,1+IF(OR($O56=2,$P56=2,$Q56=2),1,0),0))</f>
        <v/>
      </c>
      <c r="U56" s="4" t="str">
        <f>IF(OR(D56="",Results!D15=""),"",IF(D56=Results!D15,1+IF(OR($O56=3,$P56=3,$Q56=3),1,0),0))</f>
        <v/>
      </c>
      <c r="V56" s="4" t="str">
        <f>IF(OR(E56="",Results!E15=""),"",IF(E56=Results!E15,1+IF(OR($O56=4,$P56=4,$Q56=4),1,0),0))</f>
        <v/>
      </c>
      <c r="W56" s="4" t="str">
        <f>IF(OR(F56="",Results!F15=""),"",IF(F56=Results!F15,1+IF(OR($O56=5,$P56=5,$Q56=5),1,0),0))</f>
        <v/>
      </c>
      <c r="X56" s="4" t="str">
        <f>IF(OR(G56="",Results!G15=""),"",IF(G56=Results!G15,1+IF(OR($O56=6,$P56=6,$Q56=6),1,0),0))</f>
        <v/>
      </c>
      <c r="Y56" s="4" t="str">
        <f>IF(OR(H56="",Results!H15=""),"",IF(H56=Results!H15,1+IF(OR($O56=7,$P56=7,$Q56=7),1,0),0))</f>
        <v/>
      </c>
      <c r="Z56" s="4" t="str">
        <f>IF(OR(I56="",Results!I15=""),"",IF(I56=Results!I15,1+IF(OR($O56=8,$P56=8,$Q56=8),1,0),0))</f>
        <v/>
      </c>
      <c r="AA56" s="4" t="str">
        <f>IF(OR(J56="",Results!J15=""),"",IF(J56=Results!J15,1+IF(OR($O56=9,$P56=9,$Q56=9),1,0),0))</f>
        <v/>
      </c>
      <c r="AB56" s="4" t="str">
        <f>IF(OR(K56="",Results!K15=""),"",IF(K56=Results!K15,1+IF(OR($O56=10,$P56=10,$Q56=10),1,0),0))</f>
        <v/>
      </c>
      <c r="AC56" s="4" t="str">
        <f>IF(OR(L56="",Results!L15=""),"",IF(L56=Results!L15,1+IF(OR($O56=11,$P56=11,$Q56=11),1,0),0))</f>
        <v/>
      </c>
      <c r="AD56" s="4" t="str">
        <f>IF(OR(M56="",Results!M15=""),"",IF(M56=Results!M15,1+IF(OR($O56=12,$P56=12,$Q56=12),1,0),0))</f>
        <v/>
      </c>
      <c r="AE56" s="4" t="str">
        <f>IF(OR(N56="",Results!N15=""),"",IF(N56=Results!N15,1+IF(OR($O56=13,$P56=13,$Q56=13),1,0),0))</f>
        <v/>
      </c>
      <c r="AF56" s="11">
        <f t="shared" si="2"/>
        <v>0</v>
      </c>
      <c r="AG56" s="4" t="str">
        <f>IF(OR($R56="",Results!O15=""),"",ABS($R56-Results!O15))</f>
        <v/>
      </c>
      <c r="AH56" s="12">
        <v>59</v>
      </c>
      <c r="AI56" s="13" t="str">
        <f>IF(OR(B56="",Results!B15=""),"",IF(AND(B56=Results!B15,Results!B15&lt;&gt;Games!$C$135),1,0))</f>
        <v/>
      </c>
      <c r="AJ56" s="13" t="str">
        <f>IF(OR(C56="",Results!C15=""),"",IF(AND(C56=Results!C15,Results!C15&lt;&gt;Games!$C$136),1,0))</f>
        <v/>
      </c>
      <c r="AK56" s="13" t="str">
        <f>IF(OR(D56="",Results!D15=""),"",IF(AND(D56=Results!D15,Results!D15&lt;&gt;Games!$C$137),1,0))</f>
        <v/>
      </c>
      <c r="AL56" s="13" t="str">
        <f>IF(OR(E56="",Results!E15=""),"",IF(AND(E56=Results!E15,Results!E15&lt;&gt;Games!$C$138),1,0))</f>
        <v/>
      </c>
      <c r="AM56" s="13" t="str">
        <f>IF(OR(F56="",Results!F15=""),"",IF(AND(F56=Results!F15,Results!F15&lt;&gt;Games!$C$139),1,0))</f>
        <v/>
      </c>
      <c r="AN56" s="13" t="str">
        <f>IF(OR(G56="",Results!G15=""),"",IF(AND(G56=Results!G15,Results!G15&lt;&gt;Games!$C$140),1,0))</f>
        <v/>
      </c>
      <c r="AO56" s="13" t="str">
        <f>IF(OR(H56="",Results!H15=""),"",IF(AND(H56=Results!H15,Results!H15&lt;&gt;Games!$C$141),1,0))</f>
        <v/>
      </c>
      <c r="AP56" s="13" t="str">
        <f>IF(OR(I56="",Results!I15=""),"",IF(AND(I56=Results!I15,Results!I15&lt;&gt;Games!$C$142),1,0))</f>
        <v/>
      </c>
      <c r="AQ56" s="13" t="str">
        <f>IF(OR(J56="",Results!J15=""),"",IF(AND(J56=Results!J15,Results!J15&lt;&gt;Games!$C$143),1,0))</f>
        <v/>
      </c>
      <c r="AR56" s="13" t="str">
        <f>IF(OR(K56="",Results!K15=""),"",IF(AND(K56=Results!K15,Results!K15&lt;&gt;Games!$C$144),1,0))</f>
        <v/>
      </c>
      <c r="AS56" s="13" t="str">
        <f>IF(OR(L56="",Results!L15=""),"",IF(AND(L56=Results!L15,Results!L15&lt;&gt;Games!$C$145),1,0))</f>
        <v/>
      </c>
      <c r="AT56" s="13" t="str">
        <f>IF(OR(M56="",Results!M15=""),"",IF(AND(M56=Results!M15,Results!M15&lt;&gt;Games!$C$146),1,0))</f>
        <v/>
      </c>
      <c r="AU56" s="13" t="str">
        <f>IF(OR(N56="",Results!N15=""),"",IF(AND(N56=Results!N15,Results!N15&lt;&gt;Games!$C$147),1,0))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tr">
        <f>IF(OR(B57="",Results!B15=""),"",IF(B57=Results!B15,1+IF(OR($O57=1,$P57=1,$Q57=1),1,0),0))</f>
        <v/>
      </c>
      <c r="T57" s="4" t="str">
        <f>IF(OR(C57="",Results!C15=""),"",IF(C57=Results!C15,1+IF(OR($O57=2,$P57=2,$Q57=2),1,0),0))</f>
        <v/>
      </c>
      <c r="U57" s="4" t="str">
        <f>IF(OR(D57="",Results!D15=""),"",IF(D57=Results!D15,1+IF(OR($O57=3,$P57=3,$Q57=3),1,0),0))</f>
        <v/>
      </c>
      <c r="V57" s="4" t="str">
        <f>IF(OR(E57="",Results!E15=""),"",IF(E57=Results!E15,1+IF(OR($O57=4,$P57=4,$Q57=4),1,0),0))</f>
        <v/>
      </c>
      <c r="W57" s="4" t="str">
        <f>IF(OR(F57="",Results!F15=""),"",IF(F57=Results!F15,1+IF(OR($O57=5,$P57=5,$Q57=5),1,0),0))</f>
        <v/>
      </c>
      <c r="X57" s="4" t="str">
        <f>IF(OR(G57="",Results!G15=""),"",IF(G57=Results!G15,1+IF(OR($O57=6,$P57=6,$Q57=6),1,0),0))</f>
        <v/>
      </c>
      <c r="Y57" s="4" t="str">
        <f>IF(OR(H57="",Results!H15=""),"",IF(H57=Results!H15,1+IF(OR($O57=7,$P57=7,$Q57=7),1,0),0))</f>
        <v/>
      </c>
      <c r="Z57" s="4" t="str">
        <f>IF(OR(I57="",Results!I15=""),"",IF(I57=Results!I15,1+IF(OR($O57=8,$P57=8,$Q57=8),1,0),0))</f>
        <v/>
      </c>
      <c r="AA57" s="4" t="str">
        <f>IF(OR(J57="",Results!J15=""),"",IF(J57=Results!J15,1+IF(OR($O57=9,$P57=9,$Q57=9),1,0),0))</f>
        <v/>
      </c>
      <c r="AB57" s="4" t="str">
        <f>IF(OR(K57="",Results!K15=""),"",IF(K57=Results!K15,1+IF(OR($O57=10,$P57=10,$Q57=10),1,0),0))</f>
        <v/>
      </c>
      <c r="AC57" s="4" t="str">
        <f>IF(OR(L57="",Results!L15=""),"",IF(L57=Results!L15,1+IF(OR($O57=11,$P57=11,$Q57=11),1,0),0))</f>
        <v/>
      </c>
      <c r="AD57" s="4" t="str">
        <f>IF(OR(M57="",Results!M15=""),"",IF(M57=Results!M15,1+IF(OR($O57=12,$P57=12,$Q57=12),1,0),0))</f>
        <v/>
      </c>
      <c r="AE57" s="4" t="str">
        <f>IF(OR(N57="",Results!N15=""),"",IF(N57=Results!N15,1+IF(OR($O57=13,$P57=13,$Q57=13),1,0),0))</f>
        <v/>
      </c>
      <c r="AF57" s="11">
        <f t="shared" si="2"/>
        <v>0</v>
      </c>
      <c r="AG57" s="4" t="str">
        <f>IF(OR($R57="",Results!O15=""),"",ABS($R57-Results!O15))</f>
        <v/>
      </c>
      <c r="AH57" s="12">
        <v>28</v>
      </c>
      <c r="AI57" s="13" t="str">
        <f>IF(OR(B57="",Results!B15=""),"",IF(AND(B57=Results!B15,Results!B15&lt;&gt;Games!$C$135),1,0))</f>
        <v/>
      </c>
      <c r="AJ57" s="13" t="str">
        <f>IF(OR(C57="",Results!C15=""),"",IF(AND(C57=Results!C15,Results!C15&lt;&gt;Games!$C$136),1,0))</f>
        <v/>
      </c>
      <c r="AK57" s="13" t="str">
        <f>IF(OR(D57="",Results!D15=""),"",IF(AND(D57=Results!D15,Results!D15&lt;&gt;Games!$C$137),1,0))</f>
        <v/>
      </c>
      <c r="AL57" s="13" t="str">
        <f>IF(OR(E57="",Results!E15=""),"",IF(AND(E57=Results!E15,Results!E15&lt;&gt;Games!$C$138),1,0))</f>
        <v/>
      </c>
      <c r="AM57" s="13" t="str">
        <f>IF(OR(F57="",Results!F15=""),"",IF(AND(F57=Results!F15,Results!F15&lt;&gt;Games!$C$139),1,0))</f>
        <v/>
      </c>
      <c r="AN57" s="13" t="str">
        <f>IF(OR(G57="",Results!G15=""),"",IF(AND(G57=Results!G15,Results!G15&lt;&gt;Games!$C$140),1,0))</f>
        <v/>
      </c>
      <c r="AO57" s="13" t="str">
        <f>IF(OR(H57="",Results!H15=""),"",IF(AND(H57=Results!H15,Results!H15&lt;&gt;Games!$C$141),1,0))</f>
        <v/>
      </c>
      <c r="AP57" s="13" t="str">
        <f>IF(OR(I57="",Results!I15=""),"",IF(AND(I57=Results!I15,Results!I15&lt;&gt;Games!$C$142),1,0))</f>
        <v/>
      </c>
      <c r="AQ57" s="13" t="str">
        <f>IF(OR(J57="",Results!J15=""),"",IF(AND(J57=Results!J15,Results!J15&lt;&gt;Games!$C$143),1,0))</f>
        <v/>
      </c>
      <c r="AR57" s="13" t="str">
        <f>IF(OR(K57="",Results!K15=""),"",IF(AND(K57=Results!K15,Results!K15&lt;&gt;Games!$C$144),1,0))</f>
        <v/>
      </c>
      <c r="AS57" s="13" t="str">
        <f>IF(OR(L57="",Results!L15=""),"",IF(AND(L57=Results!L15,Results!L15&lt;&gt;Games!$C$145),1,0))</f>
        <v/>
      </c>
      <c r="AT57" s="13" t="str">
        <f>IF(OR(M57="",Results!M15=""),"",IF(AND(M57=Results!M15,Results!M15&lt;&gt;Games!$C$146),1,0))</f>
        <v/>
      </c>
      <c r="AU57" s="13" t="str">
        <f>IF(OR(N57="",Results!N15=""),"",IF(AND(N57=Results!N15,Results!N15&lt;&gt;Games!$C$147),1,0))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 t="str">
        <f>IF(OR(B58="",Results!B15=""),"",IF(B58=Results!B15,1+IF(OR($O58=1,$P58=1,$Q58=1),1,0),0))</f>
        <v/>
      </c>
      <c r="T58" s="4" t="str">
        <f>IF(OR(C58="",Results!C15=""),"",IF(C58=Results!C15,1+IF(OR($O58=2,$P58=2,$Q58=2),1,0),0))</f>
        <v/>
      </c>
      <c r="U58" s="4" t="str">
        <f>IF(OR(D58="",Results!D15=""),"",IF(D58=Results!D15,1+IF(OR($O58=3,$P58=3,$Q58=3),1,0),0))</f>
        <v/>
      </c>
      <c r="V58" s="4" t="str">
        <f>IF(OR(E58="",Results!E15=""),"",IF(E58=Results!E15,1+IF(OR($O58=4,$P58=4,$Q58=4),1,0),0))</f>
        <v/>
      </c>
      <c r="W58" s="4" t="str">
        <f>IF(OR(F58="",Results!F15=""),"",IF(F58=Results!F15,1+IF(OR($O58=5,$P58=5,$Q58=5),1,0),0))</f>
        <v/>
      </c>
      <c r="X58" s="4" t="str">
        <f>IF(OR(G58="",Results!G15=""),"",IF(G58=Results!G15,1+IF(OR($O58=6,$P58=6,$Q58=6),1,0),0))</f>
        <v/>
      </c>
      <c r="Y58" s="4" t="str">
        <f>IF(OR(H58="",Results!H15=""),"",IF(H58=Results!H15,1+IF(OR($O58=7,$P58=7,$Q58=7),1,0),0))</f>
        <v/>
      </c>
      <c r="Z58" s="4" t="str">
        <f>IF(OR(I58="",Results!I15=""),"",IF(I58=Results!I15,1+IF(OR($O58=8,$P58=8,$Q58=8),1,0),0))</f>
        <v/>
      </c>
      <c r="AA58" s="4" t="str">
        <f>IF(OR(J58="",Results!J15=""),"",IF(J58=Results!J15,1+IF(OR($O58=9,$P58=9,$Q58=9),1,0),0))</f>
        <v/>
      </c>
      <c r="AB58" s="4" t="str">
        <f>IF(OR(K58="",Results!K15=""),"",IF(K58=Results!K15,1+IF(OR($O58=10,$P58=10,$Q58=10),1,0),0))</f>
        <v/>
      </c>
      <c r="AC58" s="4" t="str">
        <f>IF(OR(L58="",Results!L15=""),"",IF(L58=Results!L15,1+IF(OR($O58=11,$P58=11,$Q58=11),1,0),0))</f>
        <v/>
      </c>
      <c r="AD58" s="4" t="str">
        <f>IF(OR(M58="",Results!M15=""),"",IF(M58=Results!M15,1+IF(OR($O58=12,$P58=12,$Q58=12),1,0),0))</f>
        <v/>
      </c>
      <c r="AE58" s="4" t="str">
        <f>IF(OR(N58="",Results!N15=""),"",IF(N58=Results!N15,1+IF(OR($O58=13,$P58=13,$Q58=13),1,0),0))</f>
        <v/>
      </c>
      <c r="AF58" s="11">
        <f t="shared" si="2"/>
        <v>0</v>
      </c>
      <c r="AG58" s="4" t="str">
        <f>IF(OR($R58="",Results!O15=""),"",ABS($R58-Results!O15))</f>
        <v/>
      </c>
      <c r="AH58" s="12">
        <v>29</v>
      </c>
      <c r="AI58" s="13" t="str">
        <f>IF(OR(B58="",Results!B15=""),"",IF(AND(B58=Results!B15,Results!B15&lt;&gt;Games!$C$135),1,0))</f>
        <v/>
      </c>
      <c r="AJ58" s="13" t="str">
        <f>IF(OR(C58="",Results!C15=""),"",IF(AND(C58=Results!C15,Results!C15&lt;&gt;Games!$C$136),1,0))</f>
        <v/>
      </c>
      <c r="AK58" s="13" t="str">
        <f>IF(OR(D58="",Results!D15=""),"",IF(AND(D58=Results!D15,Results!D15&lt;&gt;Games!$C$137),1,0))</f>
        <v/>
      </c>
      <c r="AL58" s="13" t="str">
        <f>IF(OR(E58="",Results!E15=""),"",IF(AND(E58=Results!E15,Results!E15&lt;&gt;Games!$C$138),1,0))</f>
        <v/>
      </c>
      <c r="AM58" s="13" t="str">
        <f>IF(OR(F58="",Results!F15=""),"",IF(AND(F58=Results!F15,Results!F15&lt;&gt;Games!$C$139),1,0))</f>
        <v/>
      </c>
      <c r="AN58" s="13" t="str">
        <f>IF(OR(G58="",Results!G15=""),"",IF(AND(G58=Results!G15,Results!G15&lt;&gt;Games!$C$140),1,0))</f>
        <v/>
      </c>
      <c r="AO58" s="13" t="str">
        <f>IF(OR(H58="",Results!H15=""),"",IF(AND(H58=Results!H15,Results!H15&lt;&gt;Games!$C$141),1,0))</f>
        <v/>
      </c>
      <c r="AP58" s="13" t="str">
        <f>IF(OR(I58="",Results!I15=""),"",IF(AND(I58=Results!I15,Results!I15&lt;&gt;Games!$C$142),1,0))</f>
        <v/>
      </c>
      <c r="AQ58" s="13" t="str">
        <f>IF(OR(J58="",Results!J15=""),"",IF(AND(J58=Results!J15,Results!J15&lt;&gt;Games!$C$143),1,0))</f>
        <v/>
      </c>
      <c r="AR58" s="13" t="str">
        <f>IF(OR(K58="",Results!K15=""),"",IF(AND(K58=Results!K15,Results!K15&lt;&gt;Games!$C$144),1,0))</f>
        <v/>
      </c>
      <c r="AS58" s="13" t="str">
        <f>IF(OR(L58="",Results!L15=""),"",IF(AND(L58=Results!L15,Results!L15&lt;&gt;Games!$C$145),1,0))</f>
        <v/>
      </c>
      <c r="AT58" s="13" t="str">
        <f>IF(OR(M58="",Results!M15=""),"",IF(AND(M58=Results!M15,Results!M15&lt;&gt;Games!$C$146),1,0))</f>
        <v/>
      </c>
      <c r="AU58" s="13" t="str">
        <f>IF(OR(N58="",Results!N15=""),"",IF(AND(N58=Results!N15,Results!N15&lt;&gt;Games!$C$147),1,0))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IF(OR(B59="",Results!B15=""),"",IF(B59=Results!B15,1+IF(OR($O59=1,$P59=1,$Q59=1),1,0),0))</f>
        <v/>
      </c>
      <c r="T59" s="4" t="str">
        <f>IF(OR(C59="",Results!C15=""),"",IF(C59=Results!C15,1+IF(OR($O59=2,$P59=2,$Q59=2),1,0),0))</f>
        <v/>
      </c>
      <c r="U59" s="4" t="str">
        <f>IF(OR(D59="",Results!D15=""),"",IF(D59=Results!D15,1+IF(OR($O59=3,$P59=3,$Q59=3),1,0),0))</f>
        <v/>
      </c>
      <c r="V59" s="4" t="str">
        <f>IF(OR(E59="",Results!E15=""),"",IF(E59=Results!E15,1+IF(OR($O59=4,$P59=4,$Q59=4),1,0),0))</f>
        <v/>
      </c>
      <c r="W59" s="4" t="str">
        <f>IF(OR(F59="",Results!F15=""),"",IF(F59=Results!F15,1+IF(OR($O59=5,$P59=5,$Q59=5),1,0),0))</f>
        <v/>
      </c>
      <c r="X59" s="4" t="str">
        <f>IF(OR(G59="",Results!G15=""),"",IF(G59=Results!G15,1+IF(OR($O59=6,$P59=6,$Q59=6),1,0),0))</f>
        <v/>
      </c>
      <c r="Y59" s="4" t="str">
        <f>IF(OR(H59="",Results!H15=""),"",IF(H59=Results!H15,1+IF(OR($O59=7,$P59=7,$Q59=7),1,0),0))</f>
        <v/>
      </c>
      <c r="Z59" s="4" t="str">
        <f>IF(OR(I59="",Results!I15=""),"",IF(I59=Results!I15,1+IF(OR($O59=8,$P59=8,$Q59=8),1,0),0))</f>
        <v/>
      </c>
      <c r="AA59" s="4" t="str">
        <f>IF(OR(J59="",Results!J15=""),"",IF(J59=Results!J15,1+IF(OR($O59=9,$P59=9,$Q59=9),1,0),0))</f>
        <v/>
      </c>
      <c r="AB59" s="4" t="str">
        <f>IF(OR(K59="",Results!K15=""),"",IF(K59=Results!K15,1+IF(OR($O59=10,$P59=10,$Q59=10),1,0),0))</f>
        <v/>
      </c>
      <c r="AC59" s="4" t="str">
        <f>IF(OR(L59="",Results!L15=""),"",IF(L59=Results!L15,1+IF(OR($O59=11,$P59=11,$Q59=11),1,0),0))</f>
        <v/>
      </c>
      <c r="AD59" s="4" t="str">
        <f>IF(OR(M59="",Results!M15=""),"",IF(M59=Results!M15,1+IF(OR($O59=12,$P59=12,$Q59=12),1,0),0))</f>
        <v/>
      </c>
      <c r="AE59" s="4" t="str">
        <f>IF(OR(N59="",Results!N15=""),"",IF(N59=Results!N15,1+IF(OR($O59=13,$P59=13,$Q59=13),1,0),0))</f>
        <v/>
      </c>
      <c r="AF59" s="11">
        <f t="shared" si="2"/>
        <v>0</v>
      </c>
      <c r="AG59" s="4" t="str">
        <f>IF(OR($R59="",Results!O15=""),"",ABS($R59-Results!O15))</f>
        <v/>
      </c>
      <c r="AH59" s="12">
        <v>51</v>
      </c>
      <c r="AI59" s="13" t="str">
        <f>IF(OR(B59="",Results!B15=""),"",IF(AND(B59=Results!B15,Results!B15&lt;&gt;Games!$C$135),1,0))</f>
        <v/>
      </c>
      <c r="AJ59" s="13" t="str">
        <f>IF(OR(C59="",Results!C15=""),"",IF(AND(C59=Results!C15,Results!C15&lt;&gt;Games!$C$136),1,0))</f>
        <v/>
      </c>
      <c r="AK59" s="13" t="str">
        <f>IF(OR(D59="",Results!D15=""),"",IF(AND(D59=Results!D15,Results!D15&lt;&gt;Games!$C$137),1,0))</f>
        <v/>
      </c>
      <c r="AL59" s="13" t="str">
        <f>IF(OR(E59="",Results!E15=""),"",IF(AND(E59=Results!E15,Results!E15&lt;&gt;Games!$C$138),1,0))</f>
        <v/>
      </c>
      <c r="AM59" s="13" t="str">
        <f>IF(OR(F59="",Results!F15=""),"",IF(AND(F59=Results!F15,Results!F15&lt;&gt;Games!$C$139),1,0))</f>
        <v/>
      </c>
      <c r="AN59" s="13" t="str">
        <f>IF(OR(G59="",Results!G15=""),"",IF(AND(G59=Results!G15,Results!G15&lt;&gt;Games!$C$140),1,0))</f>
        <v/>
      </c>
      <c r="AO59" s="13" t="str">
        <f>IF(OR(H59="",Results!H15=""),"",IF(AND(H59=Results!H15,Results!H15&lt;&gt;Games!$C$141),1,0))</f>
        <v/>
      </c>
      <c r="AP59" s="13" t="str">
        <f>IF(OR(I59="",Results!I15=""),"",IF(AND(I59=Results!I15,Results!I15&lt;&gt;Games!$C$142),1,0))</f>
        <v/>
      </c>
      <c r="AQ59" s="13" t="str">
        <f>IF(OR(J59="",Results!J15=""),"",IF(AND(J59=Results!J15,Results!J15&lt;&gt;Games!$C$143),1,0))</f>
        <v/>
      </c>
      <c r="AR59" s="13" t="str">
        <f>IF(OR(K59="",Results!K15=""),"",IF(AND(K59=Results!K15,Results!K15&lt;&gt;Games!$C$144),1,0))</f>
        <v/>
      </c>
      <c r="AS59" s="13" t="str">
        <f>IF(OR(L59="",Results!L15=""),"",IF(AND(L59=Results!L15,Results!L15&lt;&gt;Games!$C$145),1,0))</f>
        <v/>
      </c>
      <c r="AT59" s="13" t="str">
        <f>IF(OR(M59="",Results!M15=""),"",IF(AND(M59=Results!M15,Results!M15&lt;&gt;Games!$C$146),1,0))</f>
        <v/>
      </c>
      <c r="AU59" s="13" t="str">
        <f>IF(OR(N59="",Results!N15=""),"",IF(AND(N59=Results!N15,Results!N15&lt;&gt;Games!$C$147),1,0))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IF(OR(B60="",Results!B15=""),"",IF(B60=Results!B15,1+IF(OR($O60=1,$P60=1,$Q60=1),1,0),0))</f>
        <v/>
      </c>
      <c r="T60" s="4" t="str">
        <f>IF(OR(C60="",Results!C15=""),"",IF(C60=Results!C15,1+IF(OR($O60=2,$P60=2,$Q60=2),1,0),0))</f>
        <v/>
      </c>
      <c r="U60" s="4" t="str">
        <f>IF(OR(D60="",Results!D15=""),"",IF(D60=Results!D15,1+IF(OR($O60=3,$P60=3,$Q60=3),1,0),0))</f>
        <v/>
      </c>
      <c r="V60" s="4" t="str">
        <f>IF(OR(E60="",Results!E15=""),"",IF(E60=Results!E15,1+IF(OR($O60=4,$P60=4,$Q60=4),1,0),0))</f>
        <v/>
      </c>
      <c r="W60" s="4" t="str">
        <f>IF(OR(F60="",Results!F15=""),"",IF(F60=Results!F15,1+IF(OR($O60=5,$P60=5,$Q60=5),1,0),0))</f>
        <v/>
      </c>
      <c r="X60" s="4" t="str">
        <f>IF(OR(G60="",Results!G15=""),"",IF(G60=Results!G15,1+IF(OR($O60=6,$P60=6,$Q60=6),1,0),0))</f>
        <v/>
      </c>
      <c r="Y60" s="4" t="str">
        <f>IF(OR(H60="",Results!H15=""),"",IF(H60=Results!H15,1+IF(OR($O60=7,$P60=7,$Q60=7),1,0),0))</f>
        <v/>
      </c>
      <c r="Z60" s="4" t="str">
        <f>IF(OR(I60="",Results!I15=""),"",IF(I60=Results!I15,1+IF(OR($O60=8,$P60=8,$Q60=8),1,0),0))</f>
        <v/>
      </c>
      <c r="AA60" s="4" t="str">
        <f>IF(OR(J60="",Results!J15=""),"",IF(J60=Results!J15,1+IF(OR($O60=9,$P60=9,$Q60=9),1,0),0))</f>
        <v/>
      </c>
      <c r="AB60" s="4" t="str">
        <f>IF(OR(K60="",Results!K15=""),"",IF(K60=Results!K15,1+IF(OR($O60=10,$P60=10,$Q60=10),1,0),0))</f>
        <v/>
      </c>
      <c r="AC60" s="4" t="str">
        <f>IF(OR(L60="",Results!L15=""),"",IF(L60=Results!L15,1+IF(OR($O60=11,$P60=11,$Q60=11),1,0),0))</f>
        <v/>
      </c>
      <c r="AD60" s="4" t="str">
        <f>IF(OR(M60="",Results!M15=""),"",IF(M60=Results!M15,1+IF(OR($O60=12,$P60=12,$Q60=12),1,0),0))</f>
        <v/>
      </c>
      <c r="AE60" s="4" t="str">
        <f>IF(OR(N60="",Results!N15=""),"",IF(N60=Results!N15,1+IF(OR($O60=13,$P60=13,$Q60=13),1,0),0))</f>
        <v/>
      </c>
      <c r="AF60" s="11">
        <f t="shared" si="2"/>
        <v>0</v>
      </c>
      <c r="AG60" s="4" t="str">
        <f>IF(OR($R60="",Results!O15=""),"",ABS($R60-Results!O15))</f>
        <v/>
      </c>
      <c r="AH60" s="12">
        <v>45</v>
      </c>
      <c r="AI60" s="13" t="str">
        <f>IF(OR(B60="",Results!B15=""),"",IF(AND(B60=Results!B15,Results!B15&lt;&gt;Games!$C$135),1,0))</f>
        <v/>
      </c>
      <c r="AJ60" s="13" t="str">
        <f>IF(OR(C60="",Results!C15=""),"",IF(AND(C60=Results!C15,Results!C15&lt;&gt;Games!$C$136),1,0))</f>
        <v/>
      </c>
      <c r="AK60" s="13" t="str">
        <f>IF(OR(D60="",Results!D15=""),"",IF(AND(D60=Results!D15,Results!D15&lt;&gt;Games!$C$137),1,0))</f>
        <v/>
      </c>
      <c r="AL60" s="13" t="str">
        <f>IF(OR(E60="",Results!E15=""),"",IF(AND(E60=Results!E15,Results!E15&lt;&gt;Games!$C$138),1,0))</f>
        <v/>
      </c>
      <c r="AM60" s="13" t="str">
        <f>IF(OR(F60="",Results!F15=""),"",IF(AND(F60=Results!F15,Results!F15&lt;&gt;Games!$C$139),1,0))</f>
        <v/>
      </c>
      <c r="AN60" s="13" t="str">
        <f>IF(OR(G60="",Results!G15=""),"",IF(AND(G60=Results!G15,Results!G15&lt;&gt;Games!$C$140),1,0))</f>
        <v/>
      </c>
      <c r="AO60" s="13" t="str">
        <f>IF(OR(H60="",Results!H15=""),"",IF(AND(H60=Results!H15,Results!H15&lt;&gt;Games!$C$141),1,0))</f>
        <v/>
      </c>
      <c r="AP60" s="13" t="str">
        <f>IF(OR(I60="",Results!I15=""),"",IF(AND(I60=Results!I15,Results!I15&lt;&gt;Games!$C$142),1,0))</f>
        <v/>
      </c>
      <c r="AQ60" s="13" t="str">
        <f>IF(OR(J60="",Results!J15=""),"",IF(AND(J60=Results!J15,Results!J15&lt;&gt;Games!$C$143),1,0))</f>
        <v/>
      </c>
      <c r="AR60" s="13" t="str">
        <f>IF(OR(K60="",Results!K15=""),"",IF(AND(K60=Results!K15,Results!K15&lt;&gt;Games!$C$144),1,0))</f>
        <v/>
      </c>
      <c r="AS60" s="13" t="str">
        <f>IF(OR(L60="",Results!L15=""),"",IF(AND(L60=Results!L15,Results!L15&lt;&gt;Games!$C$145),1,0))</f>
        <v/>
      </c>
      <c r="AT60" s="13" t="str">
        <f>IF(OR(M60="",Results!M15=""),"",IF(AND(M60=Results!M15,Results!M15&lt;&gt;Games!$C$146),1,0))</f>
        <v/>
      </c>
      <c r="AU60" s="13" t="str">
        <f>IF(OR(N60="",Results!N15=""),"",IF(AND(N60=Results!N15,Results!N15&lt;&gt;Games!$C$147),1,0))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 t="str">
        <f>IF(OR(B61="",Results!B15=""),"",IF(B61=Results!B15,1+IF(OR($O61=1,$P61=1,$Q61=1),1,0),0))</f>
        <v/>
      </c>
      <c r="T61" s="4" t="str">
        <f>IF(OR(C61="",Results!C15=""),"",IF(C61=Results!C15,1+IF(OR($O61=2,$P61=2,$Q61=2),1,0),0))</f>
        <v/>
      </c>
      <c r="U61" s="4" t="str">
        <f>IF(OR(D61="",Results!D15=""),"",IF(D61=Results!D15,1+IF(OR($O61=3,$P61=3,$Q61=3),1,0),0))</f>
        <v/>
      </c>
      <c r="V61" s="4" t="str">
        <f>IF(OR(E61="",Results!E15=""),"",IF(E61=Results!E15,1+IF(OR($O61=4,$P61=4,$Q61=4),1,0),0))</f>
        <v/>
      </c>
      <c r="W61" s="4" t="str">
        <f>IF(OR(F61="",Results!F15=""),"",IF(F61=Results!F15,1+IF(OR($O61=5,$P61=5,$Q61=5),1,0),0))</f>
        <v/>
      </c>
      <c r="X61" s="4" t="str">
        <f>IF(OR(G61="",Results!G15=""),"",IF(G61=Results!G15,1+IF(OR($O61=6,$P61=6,$Q61=6),1,0),0))</f>
        <v/>
      </c>
      <c r="Y61" s="4" t="str">
        <f>IF(OR(H61="",Results!H15=""),"",IF(H61=Results!H15,1+IF(OR($O61=7,$P61=7,$Q61=7),1,0),0))</f>
        <v/>
      </c>
      <c r="Z61" s="4" t="str">
        <f>IF(OR(I61="",Results!I15=""),"",IF(I61=Results!I15,1+IF(OR($O61=8,$P61=8,$Q61=8),1,0),0))</f>
        <v/>
      </c>
      <c r="AA61" s="4" t="str">
        <f>IF(OR(J61="",Results!J15=""),"",IF(J61=Results!J15,1+IF(OR($O61=9,$P61=9,$Q61=9),1,0),0))</f>
        <v/>
      </c>
      <c r="AB61" s="4" t="str">
        <f>IF(OR(K61="",Results!K15=""),"",IF(K61=Results!K15,1+IF(OR($O61=10,$P61=10,$Q61=10),1,0),0))</f>
        <v/>
      </c>
      <c r="AC61" s="4" t="str">
        <f>IF(OR(L61="",Results!L15=""),"",IF(L61=Results!L15,1+IF(OR($O61=11,$P61=11,$Q61=11),1,0),0))</f>
        <v/>
      </c>
      <c r="AD61" s="4" t="str">
        <f>IF(OR(M61="",Results!M15=""),"",IF(M61=Results!M15,1+IF(OR($O61=12,$P61=12,$Q61=12),1,0),0))</f>
        <v/>
      </c>
      <c r="AE61" s="4" t="str">
        <f>IF(OR(N61="",Results!N15=""),"",IF(N61=Results!N15,1+IF(OR($O61=13,$P61=13,$Q61=13),1,0),0))</f>
        <v/>
      </c>
      <c r="AF61" s="11">
        <f t="shared" si="2"/>
        <v>0</v>
      </c>
      <c r="AG61" s="4" t="str">
        <f>IF(OR($R61="",Results!O15=""),"",ABS($R61-Results!O15))</f>
        <v/>
      </c>
      <c r="AH61" s="12">
        <v>30</v>
      </c>
      <c r="AI61" s="13" t="str">
        <f>IF(OR(B61="",Results!B15=""),"",IF(AND(B61=Results!B15,Results!B15&lt;&gt;Games!$C$135),1,0))</f>
        <v/>
      </c>
      <c r="AJ61" s="13" t="str">
        <f>IF(OR(C61="",Results!C15=""),"",IF(AND(C61=Results!C15,Results!C15&lt;&gt;Games!$C$136),1,0))</f>
        <v/>
      </c>
      <c r="AK61" s="13" t="str">
        <f>IF(OR(D61="",Results!D15=""),"",IF(AND(D61=Results!D15,Results!D15&lt;&gt;Games!$C$137),1,0))</f>
        <v/>
      </c>
      <c r="AL61" s="13" t="str">
        <f>IF(OR(E61="",Results!E15=""),"",IF(AND(E61=Results!E15,Results!E15&lt;&gt;Games!$C$138),1,0))</f>
        <v/>
      </c>
      <c r="AM61" s="13" t="str">
        <f>IF(OR(F61="",Results!F15=""),"",IF(AND(F61=Results!F15,Results!F15&lt;&gt;Games!$C$139),1,0))</f>
        <v/>
      </c>
      <c r="AN61" s="13" t="str">
        <f>IF(OR(G61="",Results!G15=""),"",IF(AND(G61=Results!G15,Results!G15&lt;&gt;Games!$C$140),1,0))</f>
        <v/>
      </c>
      <c r="AO61" s="13" t="str">
        <f>IF(OR(H61="",Results!H15=""),"",IF(AND(H61=Results!H15,Results!H15&lt;&gt;Games!$C$141),1,0))</f>
        <v/>
      </c>
      <c r="AP61" s="13" t="str">
        <f>IF(OR(I61="",Results!I15=""),"",IF(AND(I61=Results!I15,Results!I15&lt;&gt;Games!$C$142),1,0))</f>
        <v/>
      </c>
      <c r="AQ61" s="13" t="str">
        <f>IF(OR(J61="",Results!J15=""),"",IF(AND(J61=Results!J15,Results!J15&lt;&gt;Games!$C$143),1,0))</f>
        <v/>
      </c>
      <c r="AR61" s="13" t="str">
        <f>IF(OR(K61="",Results!K15=""),"",IF(AND(K61=Results!K15,Results!K15&lt;&gt;Games!$C$144),1,0))</f>
        <v/>
      </c>
      <c r="AS61" s="13" t="str">
        <f>IF(OR(L61="",Results!L15=""),"",IF(AND(L61=Results!L15,Results!L15&lt;&gt;Games!$C$145),1,0))</f>
        <v/>
      </c>
      <c r="AT61" s="13" t="str">
        <f>IF(OR(M61="",Results!M15=""),"",IF(AND(M61=Results!M15,Results!M15&lt;&gt;Games!$C$146),1,0))</f>
        <v/>
      </c>
      <c r="AU61" s="13" t="str">
        <f>IF(OR(N61="",Results!N15=""),"",IF(AND(N61=Results!N15,Results!N15&lt;&gt;Games!$C$147),1,0))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IF(OR(B62="",Results!B15=""),"",IF(B62=Results!B15,1+IF(OR($O62=1,$P62=1,$Q62=1),1,0),0))</f>
        <v/>
      </c>
      <c r="T62" s="4" t="str">
        <f>IF(OR(C62="",Results!C15=""),"",IF(C62=Results!C15,1+IF(OR($O62=2,$P62=2,$Q62=2),1,0),0))</f>
        <v/>
      </c>
      <c r="U62" s="4" t="str">
        <f>IF(OR(D62="",Results!D15=""),"",IF(D62=Results!D15,1+IF(OR($O62=3,$P62=3,$Q62=3),1,0),0))</f>
        <v/>
      </c>
      <c r="V62" s="4" t="str">
        <f>IF(OR(E62="",Results!E15=""),"",IF(E62=Results!E15,1+IF(OR($O62=4,$P62=4,$Q62=4),1,0),0))</f>
        <v/>
      </c>
      <c r="W62" s="4" t="str">
        <f>IF(OR(F62="",Results!F15=""),"",IF(F62=Results!F15,1+IF(OR($O62=5,$P62=5,$Q62=5),1,0),0))</f>
        <v/>
      </c>
      <c r="X62" s="4" t="str">
        <f>IF(OR(G62="",Results!G15=""),"",IF(G62=Results!G15,1+IF(OR($O62=6,$P62=6,$Q62=6),1,0),0))</f>
        <v/>
      </c>
      <c r="Y62" s="4" t="str">
        <f>IF(OR(H62="",Results!H15=""),"",IF(H62=Results!H15,1+IF(OR($O62=7,$P62=7,$Q62=7),1,0),0))</f>
        <v/>
      </c>
      <c r="Z62" s="4" t="str">
        <f>IF(OR(I62="",Results!I15=""),"",IF(I62=Results!I15,1+IF(OR($O62=8,$P62=8,$Q62=8),1,0),0))</f>
        <v/>
      </c>
      <c r="AA62" s="4" t="str">
        <f>IF(OR(J62="",Results!J15=""),"",IF(J62=Results!J15,1+IF(OR($O62=9,$P62=9,$Q62=9),1,0),0))</f>
        <v/>
      </c>
      <c r="AB62" s="4" t="str">
        <f>IF(OR(K62="",Results!K15=""),"",IF(K62=Results!K15,1+IF(OR($O62=10,$P62=10,$Q62=10),1,0),0))</f>
        <v/>
      </c>
      <c r="AC62" s="4" t="str">
        <f>IF(OR(L62="",Results!L15=""),"",IF(L62=Results!L15,1+IF(OR($O62=11,$P62=11,$Q62=11),1,0),0))</f>
        <v/>
      </c>
      <c r="AD62" s="4" t="str">
        <f>IF(OR(M62="",Results!M15=""),"",IF(M62=Results!M15,1+IF(OR($O62=12,$P62=12,$Q62=12),1,0),0))</f>
        <v/>
      </c>
      <c r="AE62" s="4" t="str">
        <f>IF(OR(N62="",Results!N15=""),"",IF(N62=Results!N15,1+IF(OR($O62=13,$P62=13,$Q62=13),1,0),0))</f>
        <v/>
      </c>
      <c r="AF62" s="11">
        <f t="shared" si="2"/>
        <v>0</v>
      </c>
      <c r="AG62" s="4" t="str">
        <f>IF(OR($R62="",Results!O15=""),"",ABS($R62-Results!O15))</f>
        <v/>
      </c>
      <c r="AH62" s="12">
        <v>31</v>
      </c>
      <c r="AI62" s="13" t="str">
        <f>IF(OR(B62="",Results!B15=""),"",IF(AND(B62=Results!B15,Results!B15&lt;&gt;Games!$C$135),1,0))</f>
        <v/>
      </c>
      <c r="AJ62" s="13" t="str">
        <f>IF(OR(C62="",Results!C15=""),"",IF(AND(C62=Results!C15,Results!C15&lt;&gt;Games!$C$136),1,0))</f>
        <v/>
      </c>
      <c r="AK62" s="13" t="str">
        <f>IF(OR(D62="",Results!D15=""),"",IF(AND(D62=Results!D15,Results!D15&lt;&gt;Games!$C$137),1,0))</f>
        <v/>
      </c>
      <c r="AL62" s="13" t="str">
        <f>IF(OR(E62="",Results!E15=""),"",IF(AND(E62=Results!E15,Results!E15&lt;&gt;Games!$C$138),1,0))</f>
        <v/>
      </c>
      <c r="AM62" s="13" t="str">
        <f>IF(OR(F62="",Results!F15=""),"",IF(AND(F62=Results!F15,Results!F15&lt;&gt;Games!$C$139),1,0))</f>
        <v/>
      </c>
      <c r="AN62" s="13" t="str">
        <f>IF(OR(G62="",Results!G15=""),"",IF(AND(G62=Results!G15,Results!G15&lt;&gt;Games!$C$140),1,0))</f>
        <v/>
      </c>
      <c r="AO62" s="13" t="str">
        <f>IF(OR(H62="",Results!H15=""),"",IF(AND(H62=Results!H15,Results!H15&lt;&gt;Games!$C$141),1,0))</f>
        <v/>
      </c>
      <c r="AP62" s="13" t="str">
        <f>IF(OR(I62="",Results!I15=""),"",IF(AND(I62=Results!I15,Results!I15&lt;&gt;Games!$C$142),1,0))</f>
        <v/>
      </c>
      <c r="AQ62" s="13" t="str">
        <f>IF(OR(J62="",Results!J15=""),"",IF(AND(J62=Results!J15,Results!J15&lt;&gt;Games!$C$143),1,0))</f>
        <v/>
      </c>
      <c r="AR62" s="13" t="str">
        <f>IF(OR(K62="",Results!K15=""),"",IF(AND(K62=Results!K15,Results!K15&lt;&gt;Games!$C$144),1,0))</f>
        <v/>
      </c>
      <c r="AS62" s="13" t="str">
        <f>IF(OR(L62="",Results!L15=""),"",IF(AND(L62=Results!L15,Results!L15&lt;&gt;Games!$C$145),1,0))</f>
        <v/>
      </c>
      <c r="AT62" s="13" t="str">
        <f>IF(OR(M62="",Results!M15=""),"",IF(AND(M62=Results!M15,Results!M15&lt;&gt;Games!$C$146),1,0))</f>
        <v/>
      </c>
      <c r="AU62" s="13" t="str">
        <f>IF(OR(N62="",Results!N15=""),"",IF(AND(N62=Results!N15,Results!N15&lt;&gt;Games!$C$147),1,0))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 t="str">
        <f>IF(OR(B63="",Results!B15=""),"",IF(B63=Results!B15,1+IF(OR($O63=1,$P63=1,$Q63=1),1,0),0))</f>
        <v/>
      </c>
      <c r="T63" s="4" t="str">
        <f>IF(OR(C63="",Results!C15=""),"",IF(C63=Results!C15,1+IF(OR($O63=2,$P63=2,$Q63=2),1,0),0))</f>
        <v/>
      </c>
      <c r="U63" s="4" t="str">
        <f>IF(OR(D63="",Results!D15=""),"",IF(D63=Results!D15,1+IF(OR($O63=3,$P63=3,$Q63=3),1,0),0))</f>
        <v/>
      </c>
      <c r="V63" s="4" t="str">
        <f>IF(OR(E63="",Results!E15=""),"",IF(E63=Results!E15,1+IF(OR($O63=4,$P63=4,$Q63=4),1,0),0))</f>
        <v/>
      </c>
      <c r="W63" s="4" t="str">
        <f>IF(OR(F63="",Results!F15=""),"",IF(F63=Results!F15,1+IF(OR($O63=5,$P63=5,$Q63=5),1,0),0))</f>
        <v/>
      </c>
      <c r="X63" s="4" t="str">
        <f>IF(OR(G63="",Results!G15=""),"",IF(G63=Results!G15,1+IF(OR($O63=6,$P63=6,$Q63=6),1,0),0))</f>
        <v/>
      </c>
      <c r="Y63" s="4" t="str">
        <f>IF(OR(H63="",Results!H15=""),"",IF(H63=Results!H15,1+IF(OR($O63=7,$P63=7,$Q63=7),1,0),0))</f>
        <v/>
      </c>
      <c r="Z63" s="4" t="str">
        <f>IF(OR(I63="",Results!I15=""),"",IF(I63=Results!I15,1+IF(OR($O63=8,$P63=8,$Q63=8),1,0),0))</f>
        <v/>
      </c>
      <c r="AA63" s="4" t="str">
        <f>IF(OR(J63="",Results!J15=""),"",IF(J63=Results!J15,1+IF(OR($O63=9,$P63=9,$Q63=9),1,0),0))</f>
        <v/>
      </c>
      <c r="AB63" s="4" t="str">
        <f>IF(OR(K63="",Results!K15=""),"",IF(K63=Results!K15,1+IF(OR($O63=10,$P63=10,$Q63=10),1,0),0))</f>
        <v/>
      </c>
      <c r="AC63" s="4" t="str">
        <f>IF(OR(L63="",Results!L15=""),"",IF(L63=Results!L15,1+IF(OR($O63=11,$P63=11,$Q63=11),1,0),0))</f>
        <v/>
      </c>
      <c r="AD63" s="4" t="str">
        <f>IF(OR(M63="",Results!M15=""),"",IF(M63=Results!M15,1+IF(OR($O63=12,$P63=12,$Q63=12),1,0),0))</f>
        <v/>
      </c>
      <c r="AE63" s="4" t="str">
        <f>IF(OR(N63="",Results!N15=""),"",IF(N63=Results!N15,1+IF(OR($O63=13,$P63=13,$Q63=13),1,0),0))</f>
        <v/>
      </c>
      <c r="AF63" s="11">
        <f t="shared" si="2"/>
        <v>0</v>
      </c>
      <c r="AG63" s="4" t="str">
        <f>IF(OR($R63="",Results!O15=""),"",ABS($R63-Results!O15))</f>
        <v/>
      </c>
      <c r="AH63" s="12">
        <v>32</v>
      </c>
      <c r="AI63" s="13" t="str">
        <f>IF(OR(B63="",Results!B15=""),"",IF(AND(B63=Results!B15,Results!B15&lt;&gt;Games!$C$135),1,0))</f>
        <v/>
      </c>
      <c r="AJ63" s="13" t="str">
        <f>IF(OR(C63="",Results!C15=""),"",IF(AND(C63=Results!C15,Results!C15&lt;&gt;Games!$C$136),1,0))</f>
        <v/>
      </c>
      <c r="AK63" s="13" t="str">
        <f>IF(OR(D63="",Results!D15=""),"",IF(AND(D63=Results!D15,Results!D15&lt;&gt;Games!$C$137),1,0))</f>
        <v/>
      </c>
      <c r="AL63" s="13" t="str">
        <f>IF(OR(E63="",Results!E15=""),"",IF(AND(E63=Results!E15,Results!E15&lt;&gt;Games!$C$138),1,0))</f>
        <v/>
      </c>
      <c r="AM63" s="13" t="str">
        <f>IF(OR(F63="",Results!F15=""),"",IF(AND(F63=Results!F15,Results!F15&lt;&gt;Games!$C$139),1,0))</f>
        <v/>
      </c>
      <c r="AN63" s="13" t="str">
        <f>IF(OR(G63="",Results!G15=""),"",IF(AND(G63=Results!G15,Results!G15&lt;&gt;Games!$C$140),1,0))</f>
        <v/>
      </c>
      <c r="AO63" s="13" t="str">
        <f>IF(OR(H63="",Results!H15=""),"",IF(AND(H63=Results!H15,Results!H15&lt;&gt;Games!$C$141),1,0))</f>
        <v/>
      </c>
      <c r="AP63" s="13" t="str">
        <f>IF(OR(I63="",Results!I15=""),"",IF(AND(I63=Results!I15,Results!I15&lt;&gt;Games!$C$142),1,0))</f>
        <v/>
      </c>
      <c r="AQ63" s="13" t="str">
        <f>IF(OR(J63="",Results!J15=""),"",IF(AND(J63=Results!J15,Results!J15&lt;&gt;Games!$C$143),1,0))</f>
        <v/>
      </c>
      <c r="AR63" s="13" t="str">
        <f>IF(OR(K63="",Results!K15=""),"",IF(AND(K63=Results!K15,Results!K15&lt;&gt;Games!$C$144),1,0))</f>
        <v/>
      </c>
      <c r="AS63" s="13" t="str">
        <f>IF(OR(L63="",Results!L15=""),"",IF(AND(L63=Results!L15,Results!L15&lt;&gt;Games!$C$145),1,0))</f>
        <v/>
      </c>
      <c r="AT63" s="13" t="str">
        <f>IF(OR(M63="",Results!M15=""),"",IF(AND(M63=Results!M15,Results!M15&lt;&gt;Games!$C$146),1,0))</f>
        <v/>
      </c>
      <c r="AU63" s="13" t="str">
        <f>IF(OR(N63="",Results!N15=""),"",IF(AND(N63=Results!N15,Results!N15&lt;&gt;Games!$C$147),1,0))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 t="str">
        <f>IF(OR(B64="",Results!B15=""),"",IF(B64=Results!B15,1+IF(OR($O64=1,$P64=1,$Q64=1),1,0),0))</f>
        <v/>
      </c>
      <c r="T64" s="4" t="str">
        <f>IF(OR(C64="",Results!C15=""),"",IF(C64=Results!C15,1+IF(OR($O64=2,$P64=2,$Q64=2),1,0),0))</f>
        <v/>
      </c>
      <c r="U64" s="4" t="str">
        <f>IF(OR(D64="",Results!D15=""),"",IF(D64=Results!D15,1+IF(OR($O64=3,$P64=3,$Q64=3),1,0),0))</f>
        <v/>
      </c>
      <c r="V64" s="4" t="str">
        <f>IF(OR(E64="",Results!E15=""),"",IF(E64=Results!E15,1+IF(OR($O64=4,$P64=4,$Q64=4),1,0),0))</f>
        <v/>
      </c>
      <c r="W64" s="4" t="str">
        <f>IF(OR(F64="",Results!F15=""),"",IF(F64=Results!F15,1+IF(OR($O64=5,$P64=5,$Q64=5),1,0),0))</f>
        <v/>
      </c>
      <c r="X64" s="4" t="str">
        <f>IF(OR(G64="",Results!G15=""),"",IF(G64=Results!G15,1+IF(OR($O64=6,$P64=6,$Q64=6),1,0),0))</f>
        <v/>
      </c>
      <c r="Y64" s="4" t="str">
        <f>IF(OR(H64="",Results!H15=""),"",IF(H64=Results!H15,1+IF(OR($O64=7,$P64=7,$Q64=7),1,0),0))</f>
        <v/>
      </c>
      <c r="Z64" s="4" t="str">
        <f>IF(OR(I64="",Results!I15=""),"",IF(I64=Results!I15,1+IF(OR($O64=8,$P64=8,$Q64=8),1,0),0))</f>
        <v/>
      </c>
      <c r="AA64" s="4" t="str">
        <f>IF(OR(J64="",Results!J15=""),"",IF(J64=Results!J15,1+IF(OR($O64=9,$P64=9,$Q64=9),1,0),0))</f>
        <v/>
      </c>
      <c r="AB64" s="4" t="str">
        <f>IF(OR(K64="",Results!K15=""),"",IF(K64=Results!K15,1+IF(OR($O64=10,$P64=10,$Q64=10),1,0),0))</f>
        <v/>
      </c>
      <c r="AC64" s="4" t="str">
        <f>IF(OR(L64="",Results!L15=""),"",IF(L64=Results!L15,1+IF(OR($O64=11,$P64=11,$Q64=11),1,0),0))</f>
        <v/>
      </c>
      <c r="AD64" s="4" t="str">
        <f>IF(OR(M64="",Results!M15=""),"",IF(M64=Results!M15,1+IF(OR($O64=12,$P64=12,$Q64=12),1,0),0))</f>
        <v/>
      </c>
      <c r="AE64" s="4" t="str">
        <f>IF(OR(N64="",Results!N15=""),"",IF(N64=Results!N15,1+IF(OR($O64=13,$P64=13,$Q64=13),1,0),0))</f>
        <v/>
      </c>
      <c r="AF64" s="11">
        <f t="shared" si="2"/>
        <v>0</v>
      </c>
      <c r="AG64" s="4" t="str">
        <f>IF(OR($R64="",Results!O15=""),"",ABS($R64-Results!O15))</f>
        <v/>
      </c>
      <c r="AH64" s="12">
        <v>46</v>
      </c>
      <c r="AI64" s="13" t="str">
        <f>IF(OR(B64="",Results!B15=""),"",IF(AND(B64=Results!B15,Results!B15&lt;&gt;Games!$C$135),1,0))</f>
        <v/>
      </c>
      <c r="AJ64" s="13" t="str">
        <f>IF(OR(C64="",Results!C15=""),"",IF(AND(C64=Results!C15,Results!C15&lt;&gt;Games!$C$136),1,0))</f>
        <v/>
      </c>
      <c r="AK64" s="13" t="str">
        <f>IF(OR(D64="",Results!D15=""),"",IF(AND(D64=Results!D15,Results!D15&lt;&gt;Games!$C$137),1,0))</f>
        <v/>
      </c>
      <c r="AL64" s="13" t="str">
        <f>IF(OR(E64="",Results!E15=""),"",IF(AND(E64=Results!E15,Results!E15&lt;&gt;Games!$C$138),1,0))</f>
        <v/>
      </c>
      <c r="AM64" s="13" t="str">
        <f>IF(OR(F64="",Results!F15=""),"",IF(AND(F64=Results!F15,Results!F15&lt;&gt;Games!$C$139),1,0))</f>
        <v/>
      </c>
      <c r="AN64" s="13" t="str">
        <f>IF(OR(G64="",Results!G15=""),"",IF(AND(G64=Results!G15,Results!G15&lt;&gt;Games!$C$140),1,0))</f>
        <v/>
      </c>
      <c r="AO64" s="13" t="str">
        <f>IF(OR(H64="",Results!H15=""),"",IF(AND(H64=Results!H15,Results!H15&lt;&gt;Games!$C$141),1,0))</f>
        <v/>
      </c>
      <c r="AP64" s="13" t="str">
        <f>IF(OR(I64="",Results!I15=""),"",IF(AND(I64=Results!I15,Results!I15&lt;&gt;Games!$C$142),1,0))</f>
        <v/>
      </c>
      <c r="AQ64" s="13" t="str">
        <f>IF(OR(J64="",Results!J15=""),"",IF(AND(J64=Results!J15,Results!J15&lt;&gt;Games!$C$143),1,0))</f>
        <v/>
      </c>
      <c r="AR64" s="13" t="str">
        <f>IF(OR(K64="",Results!K15=""),"",IF(AND(K64=Results!K15,Results!K15&lt;&gt;Games!$C$144),1,0))</f>
        <v/>
      </c>
      <c r="AS64" s="13" t="str">
        <f>IF(OR(L64="",Results!L15=""),"",IF(AND(L64=Results!L15,Results!L15&lt;&gt;Games!$C$145),1,0))</f>
        <v/>
      </c>
      <c r="AT64" s="13" t="str">
        <f>IF(OR(M64="",Results!M15=""),"",IF(AND(M64=Results!M15,Results!M15&lt;&gt;Games!$C$146),1,0))</f>
        <v/>
      </c>
      <c r="AU64" s="13" t="str">
        <f>IF(OR(N64="",Results!N15=""),"",IF(AND(N64=Results!N15,Results!N15&lt;&gt;Games!$C$147),1,0))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IF(OR(B65="",Results!B15=""),"",IF(B65=Results!B15,1+IF(OR($O65=1,$P65=1,$Q65=1),1,0),0))</f>
        <v/>
      </c>
      <c r="T65" s="4" t="str">
        <f>IF(OR(C65="",Results!C15=""),"",IF(C65=Results!C15,1+IF(OR($O65=2,$P65=2,$Q65=2),1,0),0))</f>
        <v/>
      </c>
      <c r="U65" s="4" t="str">
        <f>IF(OR(D65="",Results!D15=""),"",IF(D65=Results!D15,1+IF(OR($O65=3,$P65=3,$Q65=3),1,0),0))</f>
        <v/>
      </c>
      <c r="V65" s="4" t="str">
        <f>IF(OR(E65="",Results!E15=""),"",IF(E65=Results!E15,1+IF(OR($O65=4,$P65=4,$Q65=4),1,0),0))</f>
        <v/>
      </c>
      <c r="W65" s="4" t="str">
        <f>IF(OR(F65="",Results!F15=""),"",IF(F65=Results!F15,1+IF(OR($O65=5,$P65=5,$Q65=5),1,0),0))</f>
        <v/>
      </c>
      <c r="X65" s="4" t="str">
        <f>IF(OR(G65="",Results!G15=""),"",IF(G65=Results!G15,1+IF(OR($O65=6,$P65=6,$Q65=6),1,0),0))</f>
        <v/>
      </c>
      <c r="Y65" s="4" t="str">
        <f>IF(OR(H65="",Results!H15=""),"",IF(H65=Results!H15,1+IF(OR($O65=7,$P65=7,$Q65=7),1,0),0))</f>
        <v/>
      </c>
      <c r="Z65" s="4" t="str">
        <f>IF(OR(I65="",Results!I15=""),"",IF(I65=Results!I15,1+IF(OR($O65=8,$P65=8,$Q65=8),1,0),0))</f>
        <v/>
      </c>
      <c r="AA65" s="4" t="str">
        <f>IF(OR(J65="",Results!J15=""),"",IF(J65=Results!J15,1+IF(OR($O65=9,$P65=9,$Q65=9),1,0),0))</f>
        <v/>
      </c>
      <c r="AB65" s="4" t="str">
        <f>IF(OR(K65="",Results!K15=""),"",IF(K65=Results!K15,1+IF(OR($O65=10,$P65=10,$Q65=10),1,0),0))</f>
        <v/>
      </c>
      <c r="AC65" s="4" t="str">
        <f>IF(OR(L65="",Results!L15=""),"",IF(L65=Results!L15,1+IF(OR($O65=11,$P65=11,$Q65=11),1,0),0))</f>
        <v/>
      </c>
      <c r="AD65" s="4" t="str">
        <f>IF(OR(M65="",Results!M15=""),"",IF(M65=Results!M15,1+IF(OR($O65=12,$P65=12,$Q65=12),1,0),0))</f>
        <v/>
      </c>
      <c r="AE65" s="4" t="str">
        <f>IF(OR(N65="",Results!N15=""),"",IF(N65=Results!N15,1+IF(OR($O65=13,$P65=13,$Q65=13),1,0),0))</f>
        <v/>
      </c>
      <c r="AF65" s="11">
        <f t="shared" si="2"/>
        <v>0</v>
      </c>
      <c r="AG65" s="4" t="str">
        <f>IF(OR($R65="",Results!O15=""),"",ABS($R65-Results!O15))</f>
        <v/>
      </c>
      <c r="AH65" s="12">
        <v>33</v>
      </c>
      <c r="AI65" s="13" t="str">
        <f>IF(OR(B65="",Results!B15=""),"",IF(AND(B65=Results!B15,Results!B15&lt;&gt;Games!$C$135),1,0))</f>
        <v/>
      </c>
      <c r="AJ65" s="13" t="str">
        <f>IF(OR(C65="",Results!C15=""),"",IF(AND(C65=Results!C15,Results!C15&lt;&gt;Games!$C$136),1,0))</f>
        <v/>
      </c>
      <c r="AK65" s="13" t="str">
        <f>IF(OR(D65="",Results!D15=""),"",IF(AND(D65=Results!D15,Results!D15&lt;&gt;Games!$C$137),1,0))</f>
        <v/>
      </c>
      <c r="AL65" s="13" t="str">
        <f>IF(OR(E65="",Results!E15=""),"",IF(AND(E65=Results!E15,Results!E15&lt;&gt;Games!$C$138),1,0))</f>
        <v/>
      </c>
      <c r="AM65" s="13" t="str">
        <f>IF(OR(F65="",Results!F15=""),"",IF(AND(F65=Results!F15,Results!F15&lt;&gt;Games!$C$139),1,0))</f>
        <v/>
      </c>
      <c r="AN65" s="13" t="str">
        <f>IF(OR(G65="",Results!G15=""),"",IF(AND(G65=Results!G15,Results!G15&lt;&gt;Games!$C$140),1,0))</f>
        <v/>
      </c>
      <c r="AO65" s="13" t="str">
        <f>IF(OR(H65="",Results!H15=""),"",IF(AND(H65=Results!H15,Results!H15&lt;&gt;Games!$C$141),1,0))</f>
        <v/>
      </c>
      <c r="AP65" s="13" t="str">
        <f>IF(OR(I65="",Results!I15=""),"",IF(AND(I65=Results!I15,Results!I15&lt;&gt;Games!$C$142),1,0))</f>
        <v/>
      </c>
      <c r="AQ65" s="13" t="str">
        <f>IF(OR(J65="",Results!J15=""),"",IF(AND(J65=Results!J15,Results!J15&lt;&gt;Games!$C$143),1,0))</f>
        <v/>
      </c>
      <c r="AR65" s="13" t="str">
        <f>IF(OR(K65="",Results!K15=""),"",IF(AND(K65=Results!K15,Results!K15&lt;&gt;Games!$C$144),1,0))</f>
        <v/>
      </c>
      <c r="AS65" s="13" t="str">
        <f>IF(OR(L65="",Results!L15=""),"",IF(AND(L65=Results!L15,Results!L15&lt;&gt;Games!$C$145),1,0))</f>
        <v/>
      </c>
      <c r="AT65" s="13" t="str">
        <f>IF(OR(M65="",Results!M15=""),"",IF(AND(M65=Results!M15,Results!M15&lt;&gt;Games!$C$146),1,0))</f>
        <v/>
      </c>
      <c r="AU65" s="13" t="str">
        <f>IF(OR(N65="",Results!N15=""),"",IF(AND(N65=Results!N15,Results!N15&lt;&gt;Games!$C$147),1,0))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C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C00-000001000000}">
          <x14:formula1>
            <xm:f>Games!$C$135:$D$135</xm:f>
          </x14:formula1>
          <x14:formula2>
            <xm:f>0</xm:f>
          </x14:formula2>
          <xm:sqref>B6:B65</xm:sqref>
        </x14:dataValidation>
        <x14:dataValidation type="list" allowBlank="1" xr:uid="{00000000-0002-0000-0C00-000002000000}">
          <x14:formula1>
            <xm:f>Games!$C$136:$D$136</xm:f>
          </x14:formula1>
          <x14:formula2>
            <xm:f>0</xm:f>
          </x14:formula2>
          <xm:sqref>C6:C65</xm:sqref>
        </x14:dataValidation>
        <x14:dataValidation type="list" allowBlank="1" xr:uid="{00000000-0002-0000-0C00-000003000000}">
          <x14:formula1>
            <xm:f>Games!$C$137:$D$137</xm:f>
          </x14:formula1>
          <x14:formula2>
            <xm:f>0</xm:f>
          </x14:formula2>
          <xm:sqref>D6:D65</xm:sqref>
        </x14:dataValidation>
        <x14:dataValidation type="list" allowBlank="1" xr:uid="{00000000-0002-0000-0C00-000004000000}">
          <x14:formula1>
            <xm:f>Games!$C$138:$D$138</xm:f>
          </x14:formula1>
          <x14:formula2>
            <xm:f>0</xm:f>
          </x14:formula2>
          <xm:sqref>E6:E65</xm:sqref>
        </x14:dataValidation>
        <x14:dataValidation type="list" allowBlank="1" xr:uid="{00000000-0002-0000-0C00-000005000000}">
          <x14:formula1>
            <xm:f>Games!$C$139:$D$139</xm:f>
          </x14:formula1>
          <x14:formula2>
            <xm:f>0</xm:f>
          </x14:formula2>
          <xm:sqref>F6:F65</xm:sqref>
        </x14:dataValidation>
        <x14:dataValidation type="list" allowBlank="1" xr:uid="{00000000-0002-0000-0C00-000006000000}">
          <x14:formula1>
            <xm:f>Games!$C$140:$D$140</xm:f>
          </x14:formula1>
          <x14:formula2>
            <xm:f>0</xm:f>
          </x14:formula2>
          <xm:sqref>G6:G65</xm:sqref>
        </x14:dataValidation>
        <x14:dataValidation type="list" allowBlank="1" xr:uid="{00000000-0002-0000-0C00-000007000000}">
          <x14:formula1>
            <xm:f>Games!$C$141:$D$141</xm:f>
          </x14:formula1>
          <x14:formula2>
            <xm:f>0</xm:f>
          </x14:formula2>
          <xm:sqref>H6:H65</xm:sqref>
        </x14:dataValidation>
        <x14:dataValidation type="list" allowBlank="1" xr:uid="{00000000-0002-0000-0C00-000008000000}">
          <x14:formula1>
            <xm:f>Games!$C$142:$D$142</xm:f>
          </x14:formula1>
          <x14:formula2>
            <xm:f>0</xm:f>
          </x14:formula2>
          <xm:sqref>I6:I65</xm:sqref>
        </x14:dataValidation>
        <x14:dataValidation type="list" allowBlank="1" xr:uid="{00000000-0002-0000-0C00-000009000000}">
          <x14:formula1>
            <xm:f>Games!$C$143:$D$143</xm:f>
          </x14:formula1>
          <x14:formula2>
            <xm:f>0</xm:f>
          </x14:formula2>
          <xm:sqref>J6:J65</xm:sqref>
        </x14:dataValidation>
        <x14:dataValidation type="list" allowBlank="1" xr:uid="{00000000-0002-0000-0C00-00000A000000}">
          <x14:formula1>
            <xm:f>Games!$C$144:$D$144</xm:f>
          </x14:formula1>
          <x14:formula2>
            <xm:f>0</xm:f>
          </x14:formula2>
          <xm:sqref>K6:K65</xm:sqref>
        </x14:dataValidation>
        <x14:dataValidation type="list" allowBlank="1" xr:uid="{00000000-0002-0000-0C00-00000B000000}">
          <x14:formula1>
            <xm:f>Games!$C$145:$D$145</xm:f>
          </x14:formula1>
          <x14:formula2>
            <xm:f>0</xm:f>
          </x14:formula2>
          <xm:sqref>L6:L65</xm:sqref>
        </x14:dataValidation>
        <x14:dataValidation type="list" allowBlank="1" xr:uid="{00000000-0002-0000-0C00-00000C000000}">
          <x14:formula1>
            <xm:f>Games!$C$146:$D$146</xm:f>
          </x14:formula1>
          <x14:formula2>
            <xm:f>0</xm:f>
          </x14:formula2>
          <xm:sqref>M6:M65</xm:sqref>
        </x14:dataValidation>
        <x14:dataValidation type="list" allowBlank="1" xr:uid="{00000000-0002-0000-0C00-00000D000000}">
          <x14:formula1>
            <xm:f>Games!$C$147:$D$147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325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1&amp;CHAR(10)&amp;Games!C148&amp;" vs "&amp;Games!D148</f>
        <v xml:space="preserve">1
 vs </v>
      </c>
      <c r="C4" s="10" t="str">
        <f>2&amp;CHAR(10)&amp;Games!C149&amp;" vs "&amp;Games!D149</f>
        <v xml:space="preserve">2
 vs </v>
      </c>
      <c r="D4" s="10" t="str">
        <f>3&amp;CHAR(10)&amp;Games!C150&amp;" vs "&amp;Games!D150</f>
        <v xml:space="preserve">3
 vs </v>
      </c>
      <c r="E4" s="10" t="str">
        <f>4&amp;CHAR(10)&amp;Games!C151&amp;" vs "&amp;Games!D151</f>
        <v xml:space="preserve">4
 vs </v>
      </c>
      <c r="F4" s="10" t="str">
        <f>5&amp;CHAR(10)&amp;Games!C152&amp;" vs "&amp;Games!D152</f>
        <v xml:space="preserve">5
 vs </v>
      </c>
      <c r="G4" s="10" t="str">
        <f>6&amp;CHAR(10)&amp;Games!C153&amp;" vs "&amp;Games!D153</f>
        <v xml:space="preserve">6
 vs </v>
      </c>
      <c r="H4" s="10" t="str">
        <f>7&amp;CHAR(10)&amp;Games!C154&amp;" vs "&amp;Games!D154</f>
        <v xml:space="preserve">7
 vs </v>
      </c>
      <c r="I4" s="10" t="str">
        <f>8&amp;CHAR(10)&amp;Games!C155&amp;" vs "&amp;Games!D155</f>
        <v xml:space="preserve">8
 vs </v>
      </c>
      <c r="J4" s="10" t="str">
        <f>9&amp;CHAR(10)&amp;Games!C156&amp;" vs "&amp;Games!D156</f>
        <v xml:space="preserve">9
 vs </v>
      </c>
      <c r="K4" s="10" t="str">
        <f>10&amp;CHAR(10)&amp;Games!C157&amp;" vs "&amp;Games!D157</f>
        <v xml:space="preserve">10
 vs </v>
      </c>
      <c r="L4" s="10" t="str">
        <f>11&amp;CHAR(10)&amp;Games!C158&amp;" vs "&amp;Games!D158</f>
        <v xml:space="preserve">11
 vs </v>
      </c>
      <c r="M4" s="10" t="str">
        <f>12&amp;CHAR(10)&amp;Games!C159&amp;" vs "&amp;Games!D159</f>
        <v xml:space="preserve">12
 vs </v>
      </c>
      <c r="N4" s="10" t="str">
        <f>13&amp;CHAR(10)&amp;Games!C160&amp;" vs "&amp;Games!D160</f>
        <v xml:space="preserve">13
 vs 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 t="str">
        <f>IF(OR(B6="",Results!B16=""),"",IF(B6=Results!B16,1+IF(OR($O6=1,$P6=1,$Q6=1),1,0),0))</f>
        <v/>
      </c>
      <c r="T6" s="4" t="str">
        <f>IF(OR(C6="",Results!C16=""),"",IF(C6=Results!C16,1+IF(OR($O6=2,$P6=2,$Q6=2),1,0),0))</f>
        <v/>
      </c>
      <c r="U6" s="4" t="str">
        <f>IF(OR(D6="",Results!D16=""),"",IF(D6=Results!D16,1+IF(OR($O6=3,$P6=3,$Q6=3),1,0),0))</f>
        <v/>
      </c>
      <c r="V6" s="4" t="str">
        <f>IF(OR(E6="",Results!E16=""),"",IF(E6=Results!E16,1+IF(OR($O6=4,$P6=4,$Q6=4),1,0),0))</f>
        <v/>
      </c>
      <c r="W6" s="4" t="str">
        <f>IF(OR(F6="",Results!F16=""),"",IF(F6=Results!F16,1+IF(OR($O6=5,$P6=5,$Q6=5),1,0),0))</f>
        <v/>
      </c>
      <c r="X6" s="4" t="str">
        <f>IF(OR(G6="",Results!G16=""),"",IF(G6=Results!G16,1+IF(OR($O6=6,$P6=6,$Q6=6),1,0),0))</f>
        <v/>
      </c>
      <c r="Y6" s="4" t="str">
        <f>IF(OR(H6="",Results!H16=""),"",IF(H6=Results!H16,1+IF(OR($O6=7,$P6=7,$Q6=7),1,0),0))</f>
        <v/>
      </c>
      <c r="Z6" s="4" t="str">
        <f>IF(OR(I6="",Results!I16=""),"",IF(I6=Results!I16,1+IF(OR($O6=8,$P6=8,$Q6=8),1,0),0))</f>
        <v/>
      </c>
      <c r="AA6" s="4" t="str">
        <f>IF(OR(J6="",Results!J16=""),"",IF(J6=Results!J16,1+IF(OR($O6=9,$P6=9,$Q6=9),1,0),0))</f>
        <v/>
      </c>
      <c r="AB6" s="4" t="str">
        <f>IF(OR(K6="",Results!K16=""),"",IF(K6=Results!K16,1+IF(OR($O6=10,$P6=10,$Q6=10),1,0),0))</f>
        <v/>
      </c>
      <c r="AC6" s="4" t="str">
        <f>IF(OR(L6="",Results!L16=""),"",IF(L6=Results!L16,1+IF(OR($O6=11,$P6=11,$Q6=11),1,0),0))</f>
        <v/>
      </c>
      <c r="AD6" s="4" t="str">
        <f>IF(OR(M6="",Results!M16=""),"",IF(M6=Results!M16,1+IF(OR($O6=12,$P6=12,$Q6=12),1,0),0))</f>
        <v/>
      </c>
      <c r="AE6" s="4" t="str">
        <f>IF(OR(N6="",Results!N16=""),"",IF(N6=Results!N16,1+IF(OR($O6=13,$P6=13,$Q6=13),1,0),0))</f>
        <v/>
      </c>
      <c r="AF6" s="11">
        <f t="shared" ref="AF6:AF37" si="0">SUM(S6:AE6)</f>
        <v>0</v>
      </c>
      <c r="AG6" s="4" t="str">
        <f>IF(OR($R6="",Results!O16=""),"",ABS($R6-Results!O16))</f>
        <v/>
      </c>
      <c r="AH6" s="12">
        <v>2</v>
      </c>
      <c r="AI6" s="13" t="str">
        <f>IF(OR(B6="",Results!B16=""),"",IF(AND(B6=Results!B16,Results!B16&lt;&gt;Games!$C$148),1,0))</f>
        <v/>
      </c>
      <c r="AJ6" s="13" t="str">
        <f>IF(OR(C6="",Results!C16=""),"",IF(AND(C6=Results!C16,Results!C16&lt;&gt;Games!$C$149),1,0))</f>
        <v/>
      </c>
      <c r="AK6" s="13" t="str">
        <f>IF(OR(D6="",Results!D16=""),"",IF(AND(D6=Results!D16,Results!D16&lt;&gt;Games!$C$150),1,0))</f>
        <v/>
      </c>
      <c r="AL6" s="13" t="str">
        <f>IF(OR(E6="",Results!E16=""),"",IF(AND(E6=Results!E16,Results!E16&lt;&gt;Games!$C$151),1,0))</f>
        <v/>
      </c>
      <c r="AM6" s="13" t="str">
        <f>IF(OR(F6="",Results!F16=""),"",IF(AND(F6=Results!F16,Results!F16&lt;&gt;Games!$C$152),1,0))</f>
        <v/>
      </c>
      <c r="AN6" s="13" t="str">
        <f>IF(OR(G6="",Results!G16=""),"",IF(AND(G6=Results!G16,Results!G16&lt;&gt;Games!$C$153),1,0))</f>
        <v/>
      </c>
      <c r="AO6" s="13" t="str">
        <f>IF(OR(H6="",Results!H16=""),"",IF(AND(H6=Results!H16,Results!H16&lt;&gt;Games!$C$154),1,0))</f>
        <v/>
      </c>
      <c r="AP6" s="13" t="str">
        <f>IF(OR(I6="",Results!I16=""),"",IF(AND(I6=Results!I16,Results!I16&lt;&gt;Games!$C$155),1,0))</f>
        <v/>
      </c>
      <c r="AQ6" s="13" t="str">
        <f>IF(OR(J6="",Results!J16=""),"",IF(AND(J6=Results!J16,Results!J16&lt;&gt;Games!$C$156),1,0))</f>
        <v/>
      </c>
      <c r="AR6" s="13" t="str">
        <f>IF(OR(K6="",Results!K16=""),"",IF(AND(K6=Results!K16,Results!K16&lt;&gt;Games!$C$157),1,0))</f>
        <v/>
      </c>
      <c r="AS6" s="13" t="str">
        <f>IF(OR(L6="",Results!L16=""),"",IF(AND(L6=Results!L16,Results!L16&lt;&gt;Games!$C$158),1,0))</f>
        <v/>
      </c>
      <c r="AT6" s="13" t="str">
        <f>IF(OR(M6="",Results!M16=""),"",IF(AND(M6=Results!M16,Results!M16&lt;&gt;Games!$C$159),1,0))</f>
        <v/>
      </c>
      <c r="AU6" s="13" t="str">
        <f>IF(OR(N6="",Results!N16=""),"",IF(AND(N6=Results!N16,Results!N16&lt;&gt;Games!$C$160),1,0))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IF(OR(B7="",Results!B16=""),"",IF(B7=Results!B16,1+IF(OR($O7=1,$P7=1,$Q7=1),1,0),0))</f>
        <v/>
      </c>
      <c r="T7" s="4" t="str">
        <f>IF(OR(C7="",Results!C16=""),"",IF(C7=Results!C16,1+IF(OR($O7=2,$P7=2,$Q7=2),1,0),0))</f>
        <v/>
      </c>
      <c r="U7" s="4" t="str">
        <f>IF(OR(D7="",Results!D16=""),"",IF(D7=Results!D16,1+IF(OR($O7=3,$P7=3,$Q7=3),1,0),0))</f>
        <v/>
      </c>
      <c r="V7" s="4" t="str">
        <f>IF(OR(E7="",Results!E16=""),"",IF(E7=Results!E16,1+IF(OR($O7=4,$P7=4,$Q7=4),1,0),0))</f>
        <v/>
      </c>
      <c r="W7" s="4" t="str">
        <f>IF(OR(F7="",Results!F16=""),"",IF(F7=Results!F16,1+IF(OR($O7=5,$P7=5,$Q7=5),1,0),0))</f>
        <v/>
      </c>
      <c r="X7" s="4" t="str">
        <f>IF(OR(G7="",Results!G16=""),"",IF(G7=Results!G16,1+IF(OR($O7=6,$P7=6,$Q7=6),1,0),0))</f>
        <v/>
      </c>
      <c r="Y7" s="4" t="str">
        <f>IF(OR(H7="",Results!H16=""),"",IF(H7=Results!H16,1+IF(OR($O7=7,$P7=7,$Q7=7),1,0),0))</f>
        <v/>
      </c>
      <c r="Z7" s="4" t="str">
        <f>IF(OR(I7="",Results!I16=""),"",IF(I7=Results!I16,1+IF(OR($O7=8,$P7=8,$Q7=8),1,0),0))</f>
        <v/>
      </c>
      <c r="AA7" s="4" t="str">
        <f>IF(OR(J7="",Results!J16=""),"",IF(J7=Results!J16,1+IF(OR($O7=9,$P7=9,$Q7=9),1,0),0))</f>
        <v/>
      </c>
      <c r="AB7" s="4" t="str">
        <f>IF(OR(K7="",Results!K16=""),"",IF(K7=Results!K16,1+IF(OR($O7=10,$P7=10,$Q7=10),1,0),0))</f>
        <v/>
      </c>
      <c r="AC7" s="4" t="str">
        <f>IF(OR(L7="",Results!L16=""),"",IF(L7=Results!L16,1+IF(OR($O7=11,$P7=11,$Q7=11),1,0),0))</f>
        <v/>
      </c>
      <c r="AD7" s="4" t="str">
        <f>IF(OR(M7="",Results!M16=""),"",IF(M7=Results!M16,1+IF(OR($O7=12,$P7=12,$Q7=12),1,0),0))</f>
        <v/>
      </c>
      <c r="AE7" s="4" t="str">
        <f>IF(OR(N7="",Results!N16=""),"",IF(N7=Results!N16,1+IF(OR($O7=13,$P7=13,$Q7=13),1,0),0))</f>
        <v/>
      </c>
      <c r="AF7" s="11">
        <f t="shared" si="0"/>
        <v>0</v>
      </c>
      <c r="AG7" s="4" t="str">
        <f>IF(OR($R7="",Results!O16=""),"",ABS($R7-Results!O16))</f>
        <v/>
      </c>
      <c r="AH7" s="12">
        <v>53</v>
      </c>
      <c r="AI7" s="13" t="str">
        <f>IF(OR(B7="",Results!B16=""),"",IF(AND(B7=Results!B16,Results!B16&lt;&gt;Games!$C$148),1,0))</f>
        <v/>
      </c>
      <c r="AJ7" s="13" t="str">
        <f>IF(OR(C7="",Results!C16=""),"",IF(AND(C7=Results!C16,Results!C16&lt;&gt;Games!$C$149),1,0))</f>
        <v/>
      </c>
      <c r="AK7" s="13" t="str">
        <f>IF(OR(D7="",Results!D16=""),"",IF(AND(D7=Results!D16,Results!D16&lt;&gt;Games!$C$150),1,0))</f>
        <v/>
      </c>
      <c r="AL7" s="13" t="str">
        <f>IF(OR(E7="",Results!E16=""),"",IF(AND(E7=Results!E16,Results!E16&lt;&gt;Games!$C$151),1,0))</f>
        <v/>
      </c>
      <c r="AM7" s="13" t="str">
        <f>IF(OR(F7="",Results!F16=""),"",IF(AND(F7=Results!F16,Results!F16&lt;&gt;Games!$C$152),1,0))</f>
        <v/>
      </c>
      <c r="AN7" s="13" t="str">
        <f>IF(OR(G7="",Results!G16=""),"",IF(AND(G7=Results!G16,Results!G16&lt;&gt;Games!$C$153),1,0))</f>
        <v/>
      </c>
      <c r="AO7" s="13" t="str">
        <f>IF(OR(H7="",Results!H16=""),"",IF(AND(H7=Results!H16,Results!H16&lt;&gt;Games!$C$154),1,0))</f>
        <v/>
      </c>
      <c r="AP7" s="13" t="str">
        <f>IF(OR(I7="",Results!I16=""),"",IF(AND(I7=Results!I16,Results!I16&lt;&gt;Games!$C$155),1,0))</f>
        <v/>
      </c>
      <c r="AQ7" s="13" t="str">
        <f>IF(OR(J7="",Results!J16=""),"",IF(AND(J7=Results!J16,Results!J16&lt;&gt;Games!$C$156),1,0))</f>
        <v/>
      </c>
      <c r="AR7" s="13" t="str">
        <f>IF(OR(K7="",Results!K16=""),"",IF(AND(K7=Results!K16,Results!K16&lt;&gt;Games!$C$157),1,0))</f>
        <v/>
      </c>
      <c r="AS7" s="13" t="str">
        <f>IF(OR(L7="",Results!L16=""),"",IF(AND(L7=Results!L16,Results!L16&lt;&gt;Games!$C$158),1,0))</f>
        <v/>
      </c>
      <c r="AT7" s="13" t="str">
        <f>IF(OR(M7="",Results!M16=""),"",IF(AND(M7=Results!M16,Results!M16&lt;&gt;Games!$C$159),1,0))</f>
        <v/>
      </c>
      <c r="AU7" s="13" t="str">
        <f>IF(OR(N7="",Results!N16=""),"",IF(AND(N7=Results!N16,Results!N16&lt;&gt;Games!$C$160),1,0))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" t="str">
        <f>IF(OR(B8="",Results!B16=""),"",IF(B8=Results!B16,1+IF(OR($O8=1,$P8=1,$Q8=1),1,0),0))</f>
        <v/>
      </c>
      <c r="T8" s="4" t="str">
        <f>IF(OR(C8="",Results!C16=""),"",IF(C8=Results!C16,1+IF(OR($O8=2,$P8=2,$Q8=2),1,0),0))</f>
        <v/>
      </c>
      <c r="U8" s="4" t="str">
        <f>IF(OR(D8="",Results!D16=""),"",IF(D8=Results!D16,1+IF(OR($O8=3,$P8=3,$Q8=3),1,0),0))</f>
        <v/>
      </c>
      <c r="V8" s="4" t="str">
        <f>IF(OR(E8="",Results!E16=""),"",IF(E8=Results!E16,1+IF(OR($O8=4,$P8=4,$Q8=4),1,0),0))</f>
        <v/>
      </c>
      <c r="W8" s="4" t="str">
        <f>IF(OR(F8="",Results!F16=""),"",IF(F8=Results!F16,1+IF(OR($O8=5,$P8=5,$Q8=5),1,0),0))</f>
        <v/>
      </c>
      <c r="X8" s="4" t="str">
        <f>IF(OR(G8="",Results!G16=""),"",IF(G8=Results!G16,1+IF(OR($O8=6,$P8=6,$Q8=6),1,0),0))</f>
        <v/>
      </c>
      <c r="Y8" s="4" t="str">
        <f>IF(OR(H8="",Results!H16=""),"",IF(H8=Results!H16,1+IF(OR($O8=7,$P8=7,$Q8=7),1,0),0))</f>
        <v/>
      </c>
      <c r="Z8" s="4" t="str">
        <f>IF(OR(I8="",Results!I16=""),"",IF(I8=Results!I16,1+IF(OR($O8=8,$P8=8,$Q8=8),1,0),0))</f>
        <v/>
      </c>
      <c r="AA8" s="4" t="str">
        <f>IF(OR(J8="",Results!J16=""),"",IF(J8=Results!J16,1+IF(OR($O8=9,$P8=9,$Q8=9),1,0),0))</f>
        <v/>
      </c>
      <c r="AB8" s="4" t="str">
        <f>IF(OR(K8="",Results!K16=""),"",IF(K8=Results!K16,1+IF(OR($O8=10,$P8=10,$Q8=10),1,0),0))</f>
        <v/>
      </c>
      <c r="AC8" s="4" t="str">
        <f>IF(OR(L8="",Results!L16=""),"",IF(L8=Results!L16,1+IF(OR($O8=11,$P8=11,$Q8=11),1,0),0))</f>
        <v/>
      </c>
      <c r="AD8" s="4" t="str">
        <f>IF(OR(M8="",Results!M16=""),"",IF(M8=Results!M16,1+IF(OR($O8=12,$P8=12,$Q8=12),1,0),0))</f>
        <v/>
      </c>
      <c r="AE8" s="4" t="str">
        <f>IF(OR(N8="",Results!N16=""),"",IF(N8=Results!N16,1+IF(OR($O8=13,$P8=13,$Q8=13),1,0),0))</f>
        <v/>
      </c>
      <c r="AF8" s="11">
        <f t="shared" si="0"/>
        <v>0</v>
      </c>
      <c r="AG8" s="4" t="str">
        <f>IF(OR($R8="",Results!O16=""),"",ABS($R8-Results!O16))</f>
        <v/>
      </c>
      <c r="AH8" s="12">
        <v>61</v>
      </c>
      <c r="AI8" s="13" t="str">
        <f>IF(OR(B8="",Results!B16=""),"",IF(AND(B8=Results!B16,Results!B16&lt;&gt;Games!$C$148),1,0))</f>
        <v/>
      </c>
      <c r="AJ8" s="13" t="str">
        <f>IF(OR(C8="",Results!C16=""),"",IF(AND(C8=Results!C16,Results!C16&lt;&gt;Games!$C$149),1,0))</f>
        <v/>
      </c>
      <c r="AK8" s="13" t="str">
        <f>IF(OR(D8="",Results!D16=""),"",IF(AND(D8=Results!D16,Results!D16&lt;&gt;Games!$C$150),1,0))</f>
        <v/>
      </c>
      <c r="AL8" s="13" t="str">
        <f>IF(OR(E8="",Results!E16=""),"",IF(AND(E8=Results!E16,Results!E16&lt;&gt;Games!$C$151),1,0))</f>
        <v/>
      </c>
      <c r="AM8" s="13" t="str">
        <f>IF(OR(F8="",Results!F16=""),"",IF(AND(F8=Results!F16,Results!F16&lt;&gt;Games!$C$152),1,0))</f>
        <v/>
      </c>
      <c r="AN8" s="13" t="str">
        <f>IF(OR(G8="",Results!G16=""),"",IF(AND(G8=Results!G16,Results!G16&lt;&gt;Games!$C$153),1,0))</f>
        <v/>
      </c>
      <c r="AO8" s="13" t="str">
        <f>IF(OR(H8="",Results!H16=""),"",IF(AND(H8=Results!H16,Results!H16&lt;&gt;Games!$C$154),1,0))</f>
        <v/>
      </c>
      <c r="AP8" s="13" t="str">
        <f>IF(OR(I8="",Results!I16=""),"",IF(AND(I8=Results!I16,Results!I16&lt;&gt;Games!$C$155),1,0))</f>
        <v/>
      </c>
      <c r="AQ8" s="13" t="str">
        <f>IF(OR(J8="",Results!J16=""),"",IF(AND(J8=Results!J16,Results!J16&lt;&gt;Games!$C$156),1,0))</f>
        <v/>
      </c>
      <c r="AR8" s="13" t="str">
        <f>IF(OR(K8="",Results!K16=""),"",IF(AND(K8=Results!K16,Results!K16&lt;&gt;Games!$C$157),1,0))</f>
        <v/>
      </c>
      <c r="AS8" s="13" t="str">
        <f>IF(OR(L8="",Results!L16=""),"",IF(AND(L8=Results!L16,Results!L16&lt;&gt;Games!$C$158),1,0))</f>
        <v/>
      </c>
      <c r="AT8" s="13" t="str">
        <f>IF(OR(M8="",Results!M16=""),"",IF(AND(M8=Results!M16,Results!M16&lt;&gt;Games!$C$159),1,0))</f>
        <v/>
      </c>
      <c r="AU8" s="13" t="str">
        <f>IF(OR(N8="",Results!N16=""),"",IF(AND(N8=Results!N16,Results!N16&lt;&gt;Games!$C$160),1,0))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IF(OR(B9="",Results!B16=""),"",IF(B9=Results!B16,1+IF(OR($O9=1,$P9=1,$Q9=1),1,0),0))</f>
        <v/>
      </c>
      <c r="T9" s="4" t="str">
        <f>IF(OR(C9="",Results!C16=""),"",IF(C9=Results!C16,1+IF(OR($O9=2,$P9=2,$Q9=2),1,0),0))</f>
        <v/>
      </c>
      <c r="U9" s="4" t="str">
        <f>IF(OR(D9="",Results!D16=""),"",IF(D9=Results!D16,1+IF(OR($O9=3,$P9=3,$Q9=3),1,0),0))</f>
        <v/>
      </c>
      <c r="V9" s="4" t="str">
        <f>IF(OR(E9="",Results!E16=""),"",IF(E9=Results!E16,1+IF(OR($O9=4,$P9=4,$Q9=4),1,0),0))</f>
        <v/>
      </c>
      <c r="W9" s="4" t="str">
        <f>IF(OR(F9="",Results!F16=""),"",IF(F9=Results!F16,1+IF(OR($O9=5,$P9=5,$Q9=5),1,0),0))</f>
        <v/>
      </c>
      <c r="X9" s="4" t="str">
        <f>IF(OR(G9="",Results!G16=""),"",IF(G9=Results!G16,1+IF(OR($O9=6,$P9=6,$Q9=6),1,0),0))</f>
        <v/>
      </c>
      <c r="Y9" s="4" t="str">
        <f>IF(OR(H9="",Results!H16=""),"",IF(H9=Results!H16,1+IF(OR($O9=7,$P9=7,$Q9=7),1,0),0))</f>
        <v/>
      </c>
      <c r="Z9" s="4" t="str">
        <f>IF(OR(I9="",Results!I16=""),"",IF(I9=Results!I16,1+IF(OR($O9=8,$P9=8,$Q9=8),1,0),0))</f>
        <v/>
      </c>
      <c r="AA9" s="4" t="str">
        <f>IF(OR(J9="",Results!J16=""),"",IF(J9=Results!J16,1+IF(OR($O9=9,$P9=9,$Q9=9),1,0),0))</f>
        <v/>
      </c>
      <c r="AB9" s="4" t="str">
        <f>IF(OR(K9="",Results!K16=""),"",IF(K9=Results!K16,1+IF(OR($O9=10,$P9=10,$Q9=10),1,0),0))</f>
        <v/>
      </c>
      <c r="AC9" s="4" t="str">
        <f>IF(OR(L9="",Results!L16=""),"",IF(L9=Results!L16,1+IF(OR($O9=11,$P9=11,$Q9=11),1,0),0))</f>
        <v/>
      </c>
      <c r="AD9" s="4" t="str">
        <f>IF(OR(M9="",Results!M16=""),"",IF(M9=Results!M16,1+IF(OR($O9=12,$P9=12,$Q9=12),1,0),0))</f>
        <v/>
      </c>
      <c r="AE9" s="4" t="str">
        <f>IF(OR(N9="",Results!N16=""),"",IF(N9=Results!N16,1+IF(OR($O9=13,$P9=13,$Q9=13),1,0),0))</f>
        <v/>
      </c>
      <c r="AF9" s="11">
        <f t="shared" si="0"/>
        <v>0</v>
      </c>
      <c r="AG9" s="4" t="str">
        <f>IF(OR($R9="",Results!O16=""),"",ABS($R9-Results!O16))</f>
        <v/>
      </c>
      <c r="AH9" s="12">
        <v>41</v>
      </c>
      <c r="AI9" s="13" t="str">
        <f>IF(OR(B9="",Results!B16=""),"",IF(AND(B9=Results!B16,Results!B16&lt;&gt;Games!$C$148),1,0))</f>
        <v/>
      </c>
      <c r="AJ9" s="13" t="str">
        <f>IF(OR(C9="",Results!C16=""),"",IF(AND(C9=Results!C16,Results!C16&lt;&gt;Games!$C$149),1,0))</f>
        <v/>
      </c>
      <c r="AK9" s="13" t="str">
        <f>IF(OR(D9="",Results!D16=""),"",IF(AND(D9=Results!D16,Results!D16&lt;&gt;Games!$C$150),1,0))</f>
        <v/>
      </c>
      <c r="AL9" s="13" t="str">
        <f>IF(OR(E9="",Results!E16=""),"",IF(AND(E9=Results!E16,Results!E16&lt;&gt;Games!$C$151),1,0))</f>
        <v/>
      </c>
      <c r="AM9" s="13" t="str">
        <f>IF(OR(F9="",Results!F16=""),"",IF(AND(F9=Results!F16,Results!F16&lt;&gt;Games!$C$152),1,0))</f>
        <v/>
      </c>
      <c r="AN9" s="13" t="str">
        <f>IF(OR(G9="",Results!G16=""),"",IF(AND(G9=Results!G16,Results!G16&lt;&gt;Games!$C$153),1,0))</f>
        <v/>
      </c>
      <c r="AO9" s="13" t="str">
        <f>IF(OR(H9="",Results!H16=""),"",IF(AND(H9=Results!H16,Results!H16&lt;&gt;Games!$C$154),1,0))</f>
        <v/>
      </c>
      <c r="AP9" s="13" t="str">
        <f>IF(OR(I9="",Results!I16=""),"",IF(AND(I9=Results!I16,Results!I16&lt;&gt;Games!$C$155),1,0))</f>
        <v/>
      </c>
      <c r="AQ9" s="13" t="str">
        <f>IF(OR(J9="",Results!J16=""),"",IF(AND(J9=Results!J16,Results!J16&lt;&gt;Games!$C$156),1,0))</f>
        <v/>
      </c>
      <c r="AR9" s="13" t="str">
        <f>IF(OR(K9="",Results!K16=""),"",IF(AND(K9=Results!K16,Results!K16&lt;&gt;Games!$C$157),1,0))</f>
        <v/>
      </c>
      <c r="AS9" s="13" t="str">
        <f>IF(OR(L9="",Results!L16=""),"",IF(AND(L9=Results!L16,Results!L16&lt;&gt;Games!$C$158),1,0))</f>
        <v/>
      </c>
      <c r="AT9" s="13" t="str">
        <f>IF(OR(M9="",Results!M16=""),"",IF(AND(M9=Results!M16,Results!M16&lt;&gt;Games!$C$159),1,0))</f>
        <v/>
      </c>
      <c r="AU9" s="13" t="str">
        <f>IF(OR(N9="",Results!N16=""),"",IF(AND(N9=Results!N16,Results!N16&lt;&gt;Games!$C$160),1,0))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tr">
        <f>IF(OR(B10="",Results!B16=""),"",IF(B10=Results!B16,1+IF(OR($O10=1,$P10=1,$Q10=1),1,0),0))</f>
        <v/>
      </c>
      <c r="T10" s="4" t="str">
        <f>IF(OR(C10="",Results!C16=""),"",IF(C10=Results!C16,1+IF(OR($O10=2,$P10=2,$Q10=2),1,0),0))</f>
        <v/>
      </c>
      <c r="U10" s="4" t="str">
        <f>IF(OR(D10="",Results!D16=""),"",IF(D10=Results!D16,1+IF(OR($O10=3,$P10=3,$Q10=3),1,0),0))</f>
        <v/>
      </c>
      <c r="V10" s="4" t="str">
        <f>IF(OR(E10="",Results!E16=""),"",IF(E10=Results!E16,1+IF(OR($O10=4,$P10=4,$Q10=4),1,0),0))</f>
        <v/>
      </c>
      <c r="W10" s="4" t="str">
        <f>IF(OR(F10="",Results!F16=""),"",IF(F10=Results!F16,1+IF(OR($O10=5,$P10=5,$Q10=5),1,0),0))</f>
        <v/>
      </c>
      <c r="X10" s="4" t="str">
        <f>IF(OR(G10="",Results!G16=""),"",IF(G10=Results!G16,1+IF(OR($O10=6,$P10=6,$Q10=6),1,0),0))</f>
        <v/>
      </c>
      <c r="Y10" s="4" t="str">
        <f>IF(OR(H10="",Results!H16=""),"",IF(H10=Results!H16,1+IF(OR($O10=7,$P10=7,$Q10=7),1,0),0))</f>
        <v/>
      </c>
      <c r="Z10" s="4" t="str">
        <f>IF(OR(I10="",Results!I16=""),"",IF(I10=Results!I16,1+IF(OR($O10=8,$P10=8,$Q10=8),1,0),0))</f>
        <v/>
      </c>
      <c r="AA10" s="4" t="str">
        <f>IF(OR(J10="",Results!J16=""),"",IF(J10=Results!J16,1+IF(OR($O10=9,$P10=9,$Q10=9),1,0),0))</f>
        <v/>
      </c>
      <c r="AB10" s="4" t="str">
        <f>IF(OR(K10="",Results!K16=""),"",IF(K10=Results!K16,1+IF(OR($O10=10,$P10=10,$Q10=10),1,0),0))</f>
        <v/>
      </c>
      <c r="AC10" s="4" t="str">
        <f>IF(OR(L10="",Results!L16=""),"",IF(L10=Results!L16,1+IF(OR($O10=11,$P10=11,$Q10=11),1,0),0))</f>
        <v/>
      </c>
      <c r="AD10" s="4" t="str">
        <f>IF(OR(M10="",Results!M16=""),"",IF(M10=Results!M16,1+IF(OR($O10=12,$P10=12,$Q10=12),1,0),0))</f>
        <v/>
      </c>
      <c r="AE10" s="4" t="str">
        <f>IF(OR(N10="",Results!N16=""),"",IF(N10=Results!N16,1+IF(OR($O10=13,$P10=13,$Q10=13),1,0),0))</f>
        <v/>
      </c>
      <c r="AF10" s="11">
        <f t="shared" si="0"/>
        <v>0</v>
      </c>
      <c r="AG10" s="4" t="str">
        <f>IF(OR($R10="",Results!O16=""),"",ABS($R10-Results!O16))</f>
        <v/>
      </c>
      <c r="AH10" s="12">
        <v>3</v>
      </c>
      <c r="AI10" s="13" t="str">
        <f>IF(OR(B10="",Results!B16=""),"",IF(AND(B10=Results!B16,Results!B16&lt;&gt;Games!$C$148),1,0))</f>
        <v/>
      </c>
      <c r="AJ10" s="13" t="str">
        <f>IF(OR(C10="",Results!C16=""),"",IF(AND(C10=Results!C16,Results!C16&lt;&gt;Games!$C$149),1,0))</f>
        <v/>
      </c>
      <c r="AK10" s="13" t="str">
        <f>IF(OR(D10="",Results!D16=""),"",IF(AND(D10=Results!D16,Results!D16&lt;&gt;Games!$C$150),1,0))</f>
        <v/>
      </c>
      <c r="AL10" s="13" t="str">
        <f>IF(OR(E10="",Results!E16=""),"",IF(AND(E10=Results!E16,Results!E16&lt;&gt;Games!$C$151),1,0))</f>
        <v/>
      </c>
      <c r="AM10" s="13" t="str">
        <f>IF(OR(F10="",Results!F16=""),"",IF(AND(F10=Results!F16,Results!F16&lt;&gt;Games!$C$152),1,0))</f>
        <v/>
      </c>
      <c r="AN10" s="13" t="str">
        <f>IF(OR(G10="",Results!G16=""),"",IF(AND(G10=Results!G16,Results!G16&lt;&gt;Games!$C$153),1,0))</f>
        <v/>
      </c>
      <c r="AO10" s="13" t="str">
        <f>IF(OR(H10="",Results!H16=""),"",IF(AND(H10=Results!H16,Results!H16&lt;&gt;Games!$C$154),1,0))</f>
        <v/>
      </c>
      <c r="AP10" s="13" t="str">
        <f>IF(OR(I10="",Results!I16=""),"",IF(AND(I10=Results!I16,Results!I16&lt;&gt;Games!$C$155),1,0))</f>
        <v/>
      </c>
      <c r="AQ10" s="13" t="str">
        <f>IF(OR(J10="",Results!J16=""),"",IF(AND(J10=Results!J16,Results!J16&lt;&gt;Games!$C$156),1,0))</f>
        <v/>
      </c>
      <c r="AR10" s="13" t="str">
        <f>IF(OR(K10="",Results!K16=""),"",IF(AND(K10=Results!K16,Results!K16&lt;&gt;Games!$C$157),1,0))</f>
        <v/>
      </c>
      <c r="AS10" s="13" t="str">
        <f>IF(OR(L10="",Results!L16=""),"",IF(AND(L10=Results!L16,Results!L16&lt;&gt;Games!$C$158),1,0))</f>
        <v/>
      </c>
      <c r="AT10" s="13" t="str">
        <f>IF(OR(M10="",Results!M16=""),"",IF(AND(M10=Results!M16,Results!M16&lt;&gt;Games!$C$159),1,0))</f>
        <v/>
      </c>
      <c r="AU10" s="13" t="str">
        <f>IF(OR(N10="",Results!N16=""),"",IF(AND(N10=Results!N16,Results!N16&lt;&gt;Games!$C$160),1,0))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IF(OR(B11="",Results!B16=""),"",IF(B11=Results!B16,1+IF(OR($O11=1,$P11=1,$Q11=1),1,0),0))</f>
        <v/>
      </c>
      <c r="T11" s="4" t="str">
        <f>IF(OR(C11="",Results!C16=""),"",IF(C11=Results!C16,1+IF(OR($O11=2,$P11=2,$Q11=2),1,0),0))</f>
        <v/>
      </c>
      <c r="U11" s="4" t="str">
        <f>IF(OR(D11="",Results!D16=""),"",IF(D11=Results!D16,1+IF(OR($O11=3,$P11=3,$Q11=3),1,0),0))</f>
        <v/>
      </c>
      <c r="V11" s="4" t="str">
        <f>IF(OR(E11="",Results!E16=""),"",IF(E11=Results!E16,1+IF(OR($O11=4,$P11=4,$Q11=4),1,0),0))</f>
        <v/>
      </c>
      <c r="W11" s="4" t="str">
        <f>IF(OR(F11="",Results!F16=""),"",IF(F11=Results!F16,1+IF(OR($O11=5,$P11=5,$Q11=5),1,0),0))</f>
        <v/>
      </c>
      <c r="X11" s="4" t="str">
        <f>IF(OR(G11="",Results!G16=""),"",IF(G11=Results!G16,1+IF(OR($O11=6,$P11=6,$Q11=6),1,0),0))</f>
        <v/>
      </c>
      <c r="Y11" s="4" t="str">
        <f>IF(OR(H11="",Results!H16=""),"",IF(H11=Results!H16,1+IF(OR($O11=7,$P11=7,$Q11=7),1,0),0))</f>
        <v/>
      </c>
      <c r="Z11" s="4" t="str">
        <f>IF(OR(I11="",Results!I16=""),"",IF(I11=Results!I16,1+IF(OR($O11=8,$P11=8,$Q11=8),1,0),0))</f>
        <v/>
      </c>
      <c r="AA11" s="4" t="str">
        <f>IF(OR(J11="",Results!J16=""),"",IF(J11=Results!J16,1+IF(OR($O11=9,$P11=9,$Q11=9),1,0),0))</f>
        <v/>
      </c>
      <c r="AB11" s="4" t="str">
        <f>IF(OR(K11="",Results!K16=""),"",IF(K11=Results!K16,1+IF(OR($O11=10,$P11=10,$Q11=10),1,0),0))</f>
        <v/>
      </c>
      <c r="AC11" s="4" t="str">
        <f>IF(OR(L11="",Results!L16=""),"",IF(L11=Results!L16,1+IF(OR($O11=11,$P11=11,$Q11=11),1,0),0))</f>
        <v/>
      </c>
      <c r="AD11" s="4" t="str">
        <f>IF(OR(M11="",Results!M16=""),"",IF(M11=Results!M16,1+IF(OR($O11=12,$P11=12,$Q11=12),1,0),0))</f>
        <v/>
      </c>
      <c r="AE11" s="4" t="str">
        <f>IF(OR(N11="",Results!N16=""),"",IF(N11=Results!N16,1+IF(OR($O11=13,$P11=13,$Q11=13),1,0),0))</f>
        <v/>
      </c>
      <c r="AF11" s="11">
        <f t="shared" si="0"/>
        <v>0</v>
      </c>
      <c r="AG11" s="4" t="str">
        <f>IF(OR($R11="",Results!O16=""),"",ABS($R11-Results!O16))</f>
        <v/>
      </c>
      <c r="AH11" s="12">
        <v>58</v>
      </c>
      <c r="AI11" s="13" t="str">
        <f>IF(OR(B11="",Results!B16=""),"",IF(AND(B11=Results!B16,Results!B16&lt;&gt;Games!$C$148),1,0))</f>
        <v/>
      </c>
      <c r="AJ11" s="13" t="str">
        <f>IF(OR(C11="",Results!C16=""),"",IF(AND(C11=Results!C16,Results!C16&lt;&gt;Games!$C$149),1,0))</f>
        <v/>
      </c>
      <c r="AK11" s="13" t="str">
        <f>IF(OR(D11="",Results!D16=""),"",IF(AND(D11=Results!D16,Results!D16&lt;&gt;Games!$C$150),1,0))</f>
        <v/>
      </c>
      <c r="AL11" s="13" t="str">
        <f>IF(OR(E11="",Results!E16=""),"",IF(AND(E11=Results!E16,Results!E16&lt;&gt;Games!$C$151),1,0))</f>
        <v/>
      </c>
      <c r="AM11" s="13" t="str">
        <f>IF(OR(F11="",Results!F16=""),"",IF(AND(F11=Results!F16,Results!F16&lt;&gt;Games!$C$152),1,0))</f>
        <v/>
      </c>
      <c r="AN11" s="13" t="str">
        <f>IF(OR(G11="",Results!G16=""),"",IF(AND(G11=Results!G16,Results!G16&lt;&gt;Games!$C$153),1,0))</f>
        <v/>
      </c>
      <c r="AO11" s="13" t="str">
        <f>IF(OR(H11="",Results!H16=""),"",IF(AND(H11=Results!H16,Results!H16&lt;&gt;Games!$C$154),1,0))</f>
        <v/>
      </c>
      <c r="AP11" s="13" t="str">
        <f>IF(OR(I11="",Results!I16=""),"",IF(AND(I11=Results!I16,Results!I16&lt;&gt;Games!$C$155),1,0))</f>
        <v/>
      </c>
      <c r="AQ11" s="13" t="str">
        <f>IF(OR(J11="",Results!J16=""),"",IF(AND(J11=Results!J16,Results!J16&lt;&gt;Games!$C$156),1,0))</f>
        <v/>
      </c>
      <c r="AR11" s="13" t="str">
        <f>IF(OR(K11="",Results!K16=""),"",IF(AND(K11=Results!K16,Results!K16&lt;&gt;Games!$C$157),1,0))</f>
        <v/>
      </c>
      <c r="AS11" s="13" t="str">
        <f>IF(OR(L11="",Results!L16=""),"",IF(AND(L11=Results!L16,Results!L16&lt;&gt;Games!$C$158),1,0))</f>
        <v/>
      </c>
      <c r="AT11" s="13" t="str">
        <f>IF(OR(M11="",Results!M16=""),"",IF(AND(M11=Results!M16,Results!M16&lt;&gt;Games!$C$159),1,0))</f>
        <v/>
      </c>
      <c r="AU11" s="13" t="str">
        <f>IF(OR(N11="",Results!N16=""),"",IF(AND(N11=Results!N16,Results!N16&lt;&gt;Games!$C$160),1,0))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 t="str">
        <f>IF(OR(B12="",Results!B16=""),"",IF(B12=Results!B16,1+IF(OR($O12=1,$P12=1,$Q12=1),1,0),0))</f>
        <v/>
      </c>
      <c r="T12" s="4" t="str">
        <f>IF(OR(C12="",Results!C16=""),"",IF(C12=Results!C16,1+IF(OR($O12=2,$P12=2,$Q12=2),1,0),0))</f>
        <v/>
      </c>
      <c r="U12" s="4" t="str">
        <f>IF(OR(D12="",Results!D16=""),"",IF(D12=Results!D16,1+IF(OR($O12=3,$P12=3,$Q12=3),1,0),0))</f>
        <v/>
      </c>
      <c r="V12" s="4" t="str">
        <f>IF(OR(E12="",Results!E16=""),"",IF(E12=Results!E16,1+IF(OR($O12=4,$P12=4,$Q12=4),1,0),0))</f>
        <v/>
      </c>
      <c r="W12" s="4" t="str">
        <f>IF(OR(F12="",Results!F16=""),"",IF(F12=Results!F16,1+IF(OR($O12=5,$P12=5,$Q12=5),1,0),0))</f>
        <v/>
      </c>
      <c r="X12" s="4" t="str">
        <f>IF(OR(G12="",Results!G16=""),"",IF(G12=Results!G16,1+IF(OR($O12=6,$P12=6,$Q12=6),1,0),0))</f>
        <v/>
      </c>
      <c r="Y12" s="4" t="str">
        <f>IF(OR(H12="",Results!H16=""),"",IF(H12=Results!H16,1+IF(OR($O12=7,$P12=7,$Q12=7),1,0),0))</f>
        <v/>
      </c>
      <c r="Z12" s="4" t="str">
        <f>IF(OR(I12="",Results!I16=""),"",IF(I12=Results!I16,1+IF(OR($O12=8,$P12=8,$Q12=8),1,0),0))</f>
        <v/>
      </c>
      <c r="AA12" s="4" t="str">
        <f>IF(OR(J12="",Results!J16=""),"",IF(J12=Results!J16,1+IF(OR($O12=9,$P12=9,$Q12=9),1,0),0))</f>
        <v/>
      </c>
      <c r="AB12" s="4" t="str">
        <f>IF(OR(K12="",Results!K16=""),"",IF(K12=Results!K16,1+IF(OR($O12=10,$P12=10,$Q12=10),1,0),0))</f>
        <v/>
      </c>
      <c r="AC12" s="4" t="str">
        <f>IF(OR(L12="",Results!L16=""),"",IF(L12=Results!L16,1+IF(OR($O12=11,$P12=11,$Q12=11),1,0),0))</f>
        <v/>
      </c>
      <c r="AD12" s="4" t="str">
        <f>IF(OR(M12="",Results!M16=""),"",IF(M12=Results!M16,1+IF(OR($O12=12,$P12=12,$Q12=12),1,0),0))</f>
        <v/>
      </c>
      <c r="AE12" s="4" t="str">
        <f>IF(OR(N12="",Results!N16=""),"",IF(N12=Results!N16,1+IF(OR($O12=13,$P12=13,$Q12=13),1,0),0))</f>
        <v/>
      </c>
      <c r="AF12" s="11">
        <f t="shared" si="0"/>
        <v>0</v>
      </c>
      <c r="AG12" s="4" t="str">
        <f>IF(OR($R12="",Results!O16=""),"",ABS($R12-Results!O16))</f>
        <v/>
      </c>
      <c r="AH12" s="12">
        <v>4</v>
      </c>
      <c r="AI12" s="13" t="str">
        <f>IF(OR(B12="",Results!B16=""),"",IF(AND(B12=Results!B16,Results!B16&lt;&gt;Games!$C$148),1,0))</f>
        <v/>
      </c>
      <c r="AJ12" s="13" t="str">
        <f>IF(OR(C12="",Results!C16=""),"",IF(AND(C12=Results!C16,Results!C16&lt;&gt;Games!$C$149),1,0))</f>
        <v/>
      </c>
      <c r="AK12" s="13" t="str">
        <f>IF(OR(D12="",Results!D16=""),"",IF(AND(D12=Results!D16,Results!D16&lt;&gt;Games!$C$150),1,0))</f>
        <v/>
      </c>
      <c r="AL12" s="13" t="str">
        <f>IF(OR(E12="",Results!E16=""),"",IF(AND(E12=Results!E16,Results!E16&lt;&gt;Games!$C$151),1,0))</f>
        <v/>
      </c>
      <c r="AM12" s="13" t="str">
        <f>IF(OR(F12="",Results!F16=""),"",IF(AND(F12=Results!F16,Results!F16&lt;&gt;Games!$C$152),1,0))</f>
        <v/>
      </c>
      <c r="AN12" s="13" t="str">
        <f>IF(OR(G12="",Results!G16=""),"",IF(AND(G12=Results!G16,Results!G16&lt;&gt;Games!$C$153),1,0))</f>
        <v/>
      </c>
      <c r="AO12" s="13" t="str">
        <f>IF(OR(H12="",Results!H16=""),"",IF(AND(H12=Results!H16,Results!H16&lt;&gt;Games!$C$154),1,0))</f>
        <v/>
      </c>
      <c r="AP12" s="13" t="str">
        <f>IF(OR(I12="",Results!I16=""),"",IF(AND(I12=Results!I16,Results!I16&lt;&gt;Games!$C$155),1,0))</f>
        <v/>
      </c>
      <c r="AQ12" s="13" t="str">
        <f>IF(OR(J12="",Results!J16=""),"",IF(AND(J12=Results!J16,Results!J16&lt;&gt;Games!$C$156),1,0))</f>
        <v/>
      </c>
      <c r="AR12" s="13" t="str">
        <f>IF(OR(K12="",Results!K16=""),"",IF(AND(K12=Results!K16,Results!K16&lt;&gt;Games!$C$157),1,0))</f>
        <v/>
      </c>
      <c r="AS12" s="13" t="str">
        <f>IF(OR(L12="",Results!L16=""),"",IF(AND(L12=Results!L16,Results!L16&lt;&gt;Games!$C$158),1,0))</f>
        <v/>
      </c>
      <c r="AT12" s="13" t="str">
        <f>IF(OR(M12="",Results!M16=""),"",IF(AND(M12=Results!M16,Results!M16&lt;&gt;Games!$C$159),1,0))</f>
        <v/>
      </c>
      <c r="AU12" s="13" t="str">
        <f>IF(OR(N12="",Results!N16=""),"",IF(AND(N12=Results!N16,Results!N16&lt;&gt;Games!$C$160),1,0))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IF(OR(B13="",Results!B16=""),"",IF(B13=Results!B16,1+IF(OR($O13=1,$P13=1,$Q13=1),1,0),0))</f>
        <v/>
      </c>
      <c r="T13" s="4" t="str">
        <f>IF(OR(C13="",Results!C16=""),"",IF(C13=Results!C16,1+IF(OR($O13=2,$P13=2,$Q13=2),1,0),0))</f>
        <v/>
      </c>
      <c r="U13" s="4" t="str">
        <f>IF(OR(D13="",Results!D16=""),"",IF(D13=Results!D16,1+IF(OR($O13=3,$P13=3,$Q13=3),1,0),0))</f>
        <v/>
      </c>
      <c r="V13" s="4" t="str">
        <f>IF(OR(E13="",Results!E16=""),"",IF(E13=Results!E16,1+IF(OR($O13=4,$P13=4,$Q13=4),1,0),0))</f>
        <v/>
      </c>
      <c r="W13" s="4" t="str">
        <f>IF(OR(F13="",Results!F16=""),"",IF(F13=Results!F16,1+IF(OR($O13=5,$P13=5,$Q13=5),1,0),0))</f>
        <v/>
      </c>
      <c r="X13" s="4" t="str">
        <f>IF(OR(G13="",Results!G16=""),"",IF(G13=Results!G16,1+IF(OR($O13=6,$P13=6,$Q13=6),1,0),0))</f>
        <v/>
      </c>
      <c r="Y13" s="4" t="str">
        <f>IF(OR(H13="",Results!H16=""),"",IF(H13=Results!H16,1+IF(OR($O13=7,$P13=7,$Q13=7),1,0),0))</f>
        <v/>
      </c>
      <c r="Z13" s="4" t="str">
        <f>IF(OR(I13="",Results!I16=""),"",IF(I13=Results!I16,1+IF(OR($O13=8,$P13=8,$Q13=8),1,0),0))</f>
        <v/>
      </c>
      <c r="AA13" s="4" t="str">
        <f>IF(OR(J13="",Results!J16=""),"",IF(J13=Results!J16,1+IF(OR($O13=9,$P13=9,$Q13=9),1,0),0))</f>
        <v/>
      </c>
      <c r="AB13" s="4" t="str">
        <f>IF(OR(K13="",Results!K16=""),"",IF(K13=Results!K16,1+IF(OR($O13=10,$P13=10,$Q13=10),1,0),0))</f>
        <v/>
      </c>
      <c r="AC13" s="4" t="str">
        <f>IF(OR(L13="",Results!L16=""),"",IF(L13=Results!L16,1+IF(OR($O13=11,$P13=11,$Q13=11),1,0),0))</f>
        <v/>
      </c>
      <c r="AD13" s="4" t="str">
        <f>IF(OR(M13="",Results!M16=""),"",IF(M13=Results!M16,1+IF(OR($O13=12,$P13=12,$Q13=12),1,0),0))</f>
        <v/>
      </c>
      <c r="AE13" s="4" t="str">
        <f>IF(OR(N13="",Results!N16=""),"",IF(N13=Results!N16,1+IF(OR($O13=13,$P13=13,$Q13=13),1,0),0))</f>
        <v/>
      </c>
      <c r="AF13" s="11">
        <f t="shared" si="0"/>
        <v>0</v>
      </c>
      <c r="AG13" s="4" t="str">
        <f>IF(OR($R13="",Results!O16=""),"",ABS($R13-Results!O16))</f>
        <v/>
      </c>
      <c r="AH13" s="12">
        <v>57</v>
      </c>
      <c r="AI13" s="13" t="str">
        <f>IF(OR(B13="",Results!B16=""),"",IF(AND(B13=Results!B16,Results!B16&lt;&gt;Games!$C$148),1,0))</f>
        <v/>
      </c>
      <c r="AJ13" s="13" t="str">
        <f>IF(OR(C13="",Results!C16=""),"",IF(AND(C13=Results!C16,Results!C16&lt;&gt;Games!$C$149),1,0))</f>
        <v/>
      </c>
      <c r="AK13" s="13" t="str">
        <f>IF(OR(D13="",Results!D16=""),"",IF(AND(D13=Results!D16,Results!D16&lt;&gt;Games!$C$150),1,0))</f>
        <v/>
      </c>
      <c r="AL13" s="13" t="str">
        <f>IF(OR(E13="",Results!E16=""),"",IF(AND(E13=Results!E16,Results!E16&lt;&gt;Games!$C$151),1,0))</f>
        <v/>
      </c>
      <c r="AM13" s="13" t="str">
        <f>IF(OR(F13="",Results!F16=""),"",IF(AND(F13=Results!F16,Results!F16&lt;&gt;Games!$C$152),1,0))</f>
        <v/>
      </c>
      <c r="AN13" s="13" t="str">
        <f>IF(OR(G13="",Results!G16=""),"",IF(AND(G13=Results!G16,Results!G16&lt;&gt;Games!$C$153),1,0))</f>
        <v/>
      </c>
      <c r="AO13" s="13" t="str">
        <f>IF(OR(H13="",Results!H16=""),"",IF(AND(H13=Results!H16,Results!H16&lt;&gt;Games!$C$154),1,0))</f>
        <v/>
      </c>
      <c r="AP13" s="13" t="str">
        <f>IF(OR(I13="",Results!I16=""),"",IF(AND(I13=Results!I16,Results!I16&lt;&gt;Games!$C$155),1,0))</f>
        <v/>
      </c>
      <c r="AQ13" s="13" t="str">
        <f>IF(OR(J13="",Results!J16=""),"",IF(AND(J13=Results!J16,Results!J16&lt;&gt;Games!$C$156),1,0))</f>
        <v/>
      </c>
      <c r="AR13" s="13" t="str">
        <f>IF(OR(K13="",Results!K16=""),"",IF(AND(K13=Results!K16,Results!K16&lt;&gt;Games!$C$157),1,0))</f>
        <v/>
      </c>
      <c r="AS13" s="13" t="str">
        <f>IF(OR(L13="",Results!L16=""),"",IF(AND(L13=Results!L16,Results!L16&lt;&gt;Games!$C$158),1,0))</f>
        <v/>
      </c>
      <c r="AT13" s="13" t="str">
        <f>IF(OR(M13="",Results!M16=""),"",IF(AND(M13=Results!M16,Results!M16&lt;&gt;Games!$C$159),1,0))</f>
        <v/>
      </c>
      <c r="AU13" s="13" t="str">
        <f>IF(OR(N13="",Results!N16=""),"",IF(AND(N13=Results!N16,Results!N16&lt;&gt;Games!$C$160),1,0))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 t="str">
        <f>IF(OR(B14="",Results!B16=""),"",IF(B14=Results!B16,1+IF(OR($O14=1,$P14=1,$Q14=1),1,0),0))</f>
        <v/>
      </c>
      <c r="T14" s="4" t="str">
        <f>IF(OR(C14="",Results!C16=""),"",IF(C14=Results!C16,1+IF(OR($O14=2,$P14=2,$Q14=2),1,0),0))</f>
        <v/>
      </c>
      <c r="U14" s="4" t="str">
        <f>IF(OR(D14="",Results!D16=""),"",IF(D14=Results!D16,1+IF(OR($O14=3,$P14=3,$Q14=3),1,0),0))</f>
        <v/>
      </c>
      <c r="V14" s="4" t="str">
        <f>IF(OR(E14="",Results!E16=""),"",IF(E14=Results!E16,1+IF(OR($O14=4,$P14=4,$Q14=4),1,0),0))</f>
        <v/>
      </c>
      <c r="W14" s="4" t="str">
        <f>IF(OR(F14="",Results!F16=""),"",IF(F14=Results!F16,1+IF(OR($O14=5,$P14=5,$Q14=5),1,0),0))</f>
        <v/>
      </c>
      <c r="X14" s="4" t="str">
        <f>IF(OR(G14="",Results!G16=""),"",IF(G14=Results!G16,1+IF(OR($O14=6,$P14=6,$Q14=6),1,0),0))</f>
        <v/>
      </c>
      <c r="Y14" s="4" t="str">
        <f>IF(OR(H14="",Results!H16=""),"",IF(H14=Results!H16,1+IF(OR($O14=7,$P14=7,$Q14=7),1,0),0))</f>
        <v/>
      </c>
      <c r="Z14" s="4" t="str">
        <f>IF(OR(I14="",Results!I16=""),"",IF(I14=Results!I16,1+IF(OR($O14=8,$P14=8,$Q14=8),1,0),0))</f>
        <v/>
      </c>
      <c r="AA14" s="4" t="str">
        <f>IF(OR(J14="",Results!J16=""),"",IF(J14=Results!J16,1+IF(OR($O14=9,$P14=9,$Q14=9),1,0),0))</f>
        <v/>
      </c>
      <c r="AB14" s="4" t="str">
        <f>IF(OR(K14="",Results!K16=""),"",IF(K14=Results!K16,1+IF(OR($O14=10,$P14=10,$Q14=10),1,0),0))</f>
        <v/>
      </c>
      <c r="AC14" s="4" t="str">
        <f>IF(OR(L14="",Results!L16=""),"",IF(L14=Results!L16,1+IF(OR($O14=11,$P14=11,$Q14=11),1,0),0))</f>
        <v/>
      </c>
      <c r="AD14" s="4" t="str">
        <f>IF(OR(M14="",Results!M16=""),"",IF(M14=Results!M16,1+IF(OR($O14=12,$P14=12,$Q14=12),1,0),0))</f>
        <v/>
      </c>
      <c r="AE14" s="4" t="str">
        <f>IF(OR(N14="",Results!N16=""),"",IF(N14=Results!N16,1+IF(OR($O14=13,$P14=13,$Q14=13),1,0),0))</f>
        <v/>
      </c>
      <c r="AF14" s="11">
        <f t="shared" si="0"/>
        <v>0</v>
      </c>
      <c r="AG14" s="4" t="str">
        <f>IF(OR($R14="",Results!O16=""),"",ABS($R14-Results!O16))</f>
        <v/>
      </c>
      <c r="AH14" s="12">
        <v>6</v>
      </c>
      <c r="AI14" s="13" t="str">
        <f>IF(OR(B14="",Results!B16=""),"",IF(AND(B14=Results!B16,Results!B16&lt;&gt;Games!$C$148),1,0))</f>
        <v/>
      </c>
      <c r="AJ14" s="13" t="str">
        <f>IF(OR(C14="",Results!C16=""),"",IF(AND(C14=Results!C16,Results!C16&lt;&gt;Games!$C$149),1,0))</f>
        <v/>
      </c>
      <c r="AK14" s="13" t="str">
        <f>IF(OR(D14="",Results!D16=""),"",IF(AND(D14=Results!D16,Results!D16&lt;&gt;Games!$C$150),1,0))</f>
        <v/>
      </c>
      <c r="AL14" s="13" t="str">
        <f>IF(OR(E14="",Results!E16=""),"",IF(AND(E14=Results!E16,Results!E16&lt;&gt;Games!$C$151),1,0))</f>
        <v/>
      </c>
      <c r="AM14" s="13" t="str">
        <f>IF(OR(F14="",Results!F16=""),"",IF(AND(F14=Results!F16,Results!F16&lt;&gt;Games!$C$152),1,0))</f>
        <v/>
      </c>
      <c r="AN14" s="13" t="str">
        <f>IF(OR(G14="",Results!G16=""),"",IF(AND(G14=Results!G16,Results!G16&lt;&gt;Games!$C$153),1,0))</f>
        <v/>
      </c>
      <c r="AO14" s="13" t="str">
        <f>IF(OR(H14="",Results!H16=""),"",IF(AND(H14=Results!H16,Results!H16&lt;&gt;Games!$C$154),1,0))</f>
        <v/>
      </c>
      <c r="AP14" s="13" t="str">
        <f>IF(OR(I14="",Results!I16=""),"",IF(AND(I14=Results!I16,Results!I16&lt;&gt;Games!$C$155),1,0))</f>
        <v/>
      </c>
      <c r="AQ14" s="13" t="str">
        <f>IF(OR(J14="",Results!J16=""),"",IF(AND(J14=Results!J16,Results!J16&lt;&gt;Games!$C$156),1,0))</f>
        <v/>
      </c>
      <c r="AR14" s="13" t="str">
        <f>IF(OR(K14="",Results!K16=""),"",IF(AND(K14=Results!K16,Results!K16&lt;&gt;Games!$C$157),1,0))</f>
        <v/>
      </c>
      <c r="AS14" s="13" t="str">
        <f>IF(OR(L14="",Results!L16=""),"",IF(AND(L14=Results!L16,Results!L16&lt;&gt;Games!$C$158),1,0))</f>
        <v/>
      </c>
      <c r="AT14" s="13" t="str">
        <f>IF(OR(M14="",Results!M16=""),"",IF(AND(M14=Results!M16,Results!M16&lt;&gt;Games!$C$159),1,0))</f>
        <v/>
      </c>
      <c r="AU14" s="13" t="str">
        <f>IF(OR(N14="",Results!N16=""),"",IF(AND(N14=Results!N16,Results!N16&lt;&gt;Games!$C$160),1,0))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IF(OR(B15="",Results!B16=""),"",IF(B15=Results!B16,1+IF(OR($O15=1,$P15=1,$Q15=1),1,0),0))</f>
        <v/>
      </c>
      <c r="T15" s="4" t="str">
        <f>IF(OR(C15="",Results!C16=""),"",IF(C15=Results!C16,1+IF(OR($O15=2,$P15=2,$Q15=2),1,0),0))</f>
        <v/>
      </c>
      <c r="U15" s="4" t="str">
        <f>IF(OR(D15="",Results!D16=""),"",IF(D15=Results!D16,1+IF(OR($O15=3,$P15=3,$Q15=3),1,0),0))</f>
        <v/>
      </c>
      <c r="V15" s="4" t="str">
        <f>IF(OR(E15="",Results!E16=""),"",IF(E15=Results!E16,1+IF(OR($O15=4,$P15=4,$Q15=4),1,0),0))</f>
        <v/>
      </c>
      <c r="W15" s="4" t="str">
        <f>IF(OR(F15="",Results!F16=""),"",IF(F15=Results!F16,1+IF(OR($O15=5,$P15=5,$Q15=5),1,0),0))</f>
        <v/>
      </c>
      <c r="X15" s="4" t="str">
        <f>IF(OR(G15="",Results!G16=""),"",IF(G15=Results!G16,1+IF(OR($O15=6,$P15=6,$Q15=6),1,0),0))</f>
        <v/>
      </c>
      <c r="Y15" s="4" t="str">
        <f>IF(OR(H15="",Results!H16=""),"",IF(H15=Results!H16,1+IF(OR($O15=7,$P15=7,$Q15=7),1,0),0))</f>
        <v/>
      </c>
      <c r="Z15" s="4" t="str">
        <f>IF(OR(I15="",Results!I16=""),"",IF(I15=Results!I16,1+IF(OR($O15=8,$P15=8,$Q15=8),1,0),0))</f>
        <v/>
      </c>
      <c r="AA15" s="4" t="str">
        <f>IF(OR(J15="",Results!J16=""),"",IF(J15=Results!J16,1+IF(OR($O15=9,$P15=9,$Q15=9),1,0),0))</f>
        <v/>
      </c>
      <c r="AB15" s="4" t="str">
        <f>IF(OR(K15="",Results!K16=""),"",IF(K15=Results!K16,1+IF(OR($O15=10,$P15=10,$Q15=10),1,0),0))</f>
        <v/>
      </c>
      <c r="AC15" s="4" t="str">
        <f>IF(OR(L15="",Results!L16=""),"",IF(L15=Results!L16,1+IF(OR($O15=11,$P15=11,$Q15=11),1,0),0))</f>
        <v/>
      </c>
      <c r="AD15" s="4" t="str">
        <f>IF(OR(M15="",Results!M16=""),"",IF(M15=Results!M16,1+IF(OR($O15=12,$P15=12,$Q15=12),1,0),0))</f>
        <v/>
      </c>
      <c r="AE15" s="4" t="str">
        <f>IF(OR(N15="",Results!N16=""),"",IF(N15=Results!N16,1+IF(OR($O15=13,$P15=13,$Q15=13),1,0),0))</f>
        <v/>
      </c>
      <c r="AF15" s="11">
        <f t="shared" si="0"/>
        <v>0</v>
      </c>
      <c r="AG15" s="4" t="str">
        <f>IF(OR($R15="",Results!O16=""),"",ABS($R15-Results!O16))</f>
        <v/>
      </c>
      <c r="AH15" s="12">
        <v>5</v>
      </c>
      <c r="AI15" s="13" t="str">
        <f>IF(OR(B15="",Results!B16=""),"",IF(AND(B15=Results!B16,Results!B16&lt;&gt;Games!$C$148),1,0))</f>
        <v/>
      </c>
      <c r="AJ15" s="13" t="str">
        <f>IF(OR(C15="",Results!C16=""),"",IF(AND(C15=Results!C16,Results!C16&lt;&gt;Games!$C$149),1,0))</f>
        <v/>
      </c>
      <c r="AK15" s="13" t="str">
        <f>IF(OR(D15="",Results!D16=""),"",IF(AND(D15=Results!D16,Results!D16&lt;&gt;Games!$C$150),1,0))</f>
        <v/>
      </c>
      <c r="AL15" s="13" t="str">
        <f>IF(OR(E15="",Results!E16=""),"",IF(AND(E15=Results!E16,Results!E16&lt;&gt;Games!$C$151),1,0))</f>
        <v/>
      </c>
      <c r="AM15" s="13" t="str">
        <f>IF(OR(F15="",Results!F16=""),"",IF(AND(F15=Results!F16,Results!F16&lt;&gt;Games!$C$152),1,0))</f>
        <v/>
      </c>
      <c r="AN15" s="13" t="str">
        <f>IF(OR(G15="",Results!G16=""),"",IF(AND(G15=Results!G16,Results!G16&lt;&gt;Games!$C$153),1,0))</f>
        <v/>
      </c>
      <c r="AO15" s="13" t="str">
        <f>IF(OR(H15="",Results!H16=""),"",IF(AND(H15=Results!H16,Results!H16&lt;&gt;Games!$C$154),1,0))</f>
        <v/>
      </c>
      <c r="AP15" s="13" t="str">
        <f>IF(OR(I15="",Results!I16=""),"",IF(AND(I15=Results!I16,Results!I16&lt;&gt;Games!$C$155),1,0))</f>
        <v/>
      </c>
      <c r="AQ15" s="13" t="str">
        <f>IF(OR(J15="",Results!J16=""),"",IF(AND(J15=Results!J16,Results!J16&lt;&gt;Games!$C$156),1,0))</f>
        <v/>
      </c>
      <c r="AR15" s="13" t="str">
        <f>IF(OR(K15="",Results!K16=""),"",IF(AND(K15=Results!K16,Results!K16&lt;&gt;Games!$C$157),1,0))</f>
        <v/>
      </c>
      <c r="AS15" s="13" t="str">
        <f>IF(OR(L15="",Results!L16=""),"",IF(AND(L15=Results!L16,Results!L16&lt;&gt;Games!$C$158),1,0))</f>
        <v/>
      </c>
      <c r="AT15" s="13" t="str">
        <f>IF(OR(M15="",Results!M16=""),"",IF(AND(M15=Results!M16,Results!M16&lt;&gt;Games!$C$159),1,0))</f>
        <v/>
      </c>
      <c r="AU15" s="13" t="str">
        <f>IF(OR(N15="",Results!N16=""),"",IF(AND(N15=Results!N16,Results!N16&lt;&gt;Games!$C$160),1,0))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tr">
        <f>IF(OR(B16="",Results!B16=""),"",IF(B16=Results!B16,1+IF(OR($O16=1,$P16=1,$Q16=1),1,0),0))</f>
        <v/>
      </c>
      <c r="T16" s="4" t="str">
        <f>IF(OR(C16="",Results!C16=""),"",IF(C16=Results!C16,1+IF(OR($O16=2,$P16=2,$Q16=2),1,0),0))</f>
        <v/>
      </c>
      <c r="U16" s="4" t="str">
        <f>IF(OR(D16="",Results!D16=""),"",IF(D16=Results!D16,1+IF(OR($O16=3,$P16=3,$Q16=3),1,0),0))</f>
        <v/>
      </c>
      <c r="V16" s="4" t="str">
        <f>IF(OR(E16="",Results!E16=""),"",IF(E16=Results!E16,1+IF(OR($O16=4,$P16=4,$Q16=4),1,0),0))</f>
        <v/>
      </c>
      <c r="W16" s="4" t="str">
        <f>IF(OR(F16="",Results!F16=""),"",IF(F16=Results!F16,1+IF(OR($O16=5,$P16=5,$Q16=5),1,0),0))</f>
        <v/>
      </c>
      <c r="X16" s="4" t="str">
        <f>IF(OR(G16="",Results!G16=""),"",IF(G16=Results!G16,1+IF(OR($O16=6,$P16=6,$Q16=6),1,0),0))</f>
        <v/>
      </c>
      <c r="Y16" s="4" t="str">
        <f>IF(OR(H16="",Results!H16=""),"",IF(H16=Results!H16,1+IF(OR($O16=7,$P16=7,$Q16=7),1,0),0))</f>
        <v/>
      </c>
      <c r="Z16" s="4" t="str">
        <f>IF(OR(I16="",Results!I16=""),"",IF(I16=Results!I16,1+IF(OR($O16=8,$P16=8,$Q16=8),1,0),0))</f>
        <v/>
      </c>
      <c r="AA16" s="4" t="str">
        <f>IF(OR(J16="",Results!J16=""),"",IF(J16=Results!J16,1+IF(OR($O16=9,$P16=9,$Q16=9),1,0),0))</f>
        <v/>
      </c>
      <c r="AB16" s="4" t="str">
        <f>IF(OR(K16="",Results!K16=""),"",IF(K16=Results!K16,1+IF(OR($O16=10,$P16=10,$Q16=10),1,0),0))</f>
        <v/>
      </c>
      <c r="AC16" s="4" t="str">
        <f>IF(OR(L16="",Results!L16=""),"",IF(L16=Results!L16,1+IF(OR($O16=11,$P16=11,$Q16=11),1,0),0))</f>
        <v/>
      </c>
      <c r="AD16" s="4" t="str">
        <f>IF(OR(M16="",Results!M16=""),"",IF(M16=Results!M16,1+IF(OR($O16=12,$P16=12,$Q16=12),1,0),0))</f>
        <v/>
      </c>
      <c r="AE16" s="4" t="str">
        <f>IF(OR(N16="",Results!N16=""),"",IF(N16=Results!N16,1+IF(OR($O16=13,$P16=13,$Q16=13),1,0),0))</f>
        <v/>
      </c>
      <c r="AF16" s="11">
        <f t="shared" si="0"/>
        <v>0</v>
      </c>
      <c r="AG16" s="4" t="str">
        <f>IF(OR($R16="",Results!O16=""),"",ABS($R16-Results!O16))</f>
        <v/>
      </c>
      <c r="AH16" s="12">
        <v>8</v>
      </c>
      <c r="AI16" s="13" t="str">
        <f>IF(OR(B16="",Results!B16=""),"",IF(AND(B16=Results!B16,Results!B16&lt;&gt;Games!$C$148),1,0))</f>
        <v/>
      </c>
      <c r="AJ16" s="13" t="str">
        <f>IF(OR(C16="",Results!C16=""),"",IF(AND(C16=Results!C16,Results!C16&lt;&gt;Games!$C$149),1,0))</f>
        <v/>
      </c>
      <c r="AK16" s="13" t="str">
        <f>IF(OR(D16="",Results!D16=""),"",IF(AND(D16=Results!D16,Results!D16&lt;&gt;Games!$C$150),1,0))</f>
        <v/>
      </c>
      <c r="AL16" s="13" t="str">
        <f>IF(OR(E16="",Results!E16=""),"",IF(AND(E16=Results!E16,Results!E16&lt;&gt;Games!$C$151),1,0))</f>
        <v/>
      </c>
      <c r="AM16" s="13" t="str">
        <f>IF(OR(F16="",Results!F16=""),"",IF(AND(F16=Results!F16,Results!F16&lt;&gt;Games!$C$152),1,0))</f>
        <v/>
      </c>
      <c r="AN16" s="13" t="str">
        <f>IF(OR(G16="",Results!G16=""),"",IF(AND(G16=Results!G16,Results!G16&lt;&gt;Games!$C$153),1,0))</f>
        <v/>
      </c>
      <c r="AO16" s="13" t="str">
        <f>IF(OR(H16="",Results!H16=""),"",IF(AND(H16=Results!H16,Results!H16&lt;&gt;Games!$C$154),1,0))</f>
        <v/>
      </c>
      <c r="AP16" s="13" t="str">
        <f>IF(OR(I16="",Results!I16=""),"",IF(AND(I16=Results!I16,Results!I16&lt;&gt;Games!$C$155),1,0))</f>
        <v/>
      </c>
      <c r="AQ16" s="13" t="str">
        <f>IF(OR(J16="",Results!J16=""),"",IF(AND(J16=Results!J16,Results!J16&lt;&gt;Games!$C$156),1,0))</f>
        <v/>
      </c>
      <c r="AR16" s="13" t="str">
        <f>IF(OR(K16="",Results!K16=""),"",IF(AND(K16=Results!K16,Results!K16&lt;&gt;Games!$C$157),1,0))</f>
        <v/>
      </c>
      <c r="AS16" s="13" t="str">
        <f>IF(OR(L16="",Results!L16=""),"",IF(AND(L16=Results!L16,Results!L16&lt;&gt;Games!$C$158),1,0))</f>
        <v/>
      </c>
      <c r="AT16" s="13" t="str">
        <f>IF(OR(M16="",Results!M16=""),"",IF(AND(M16=Results!M16,Results!M16&lt;&gt;Games!$C$159),1,0))</f>
        <v/>
      </c>
      <c r="AU16" s="13" t="str">
        <f>IF(OR(N16="",Results!N16=""),"",IF(AND(N16=Results!N16,Results!N16&lt;&gt;Games!$C$160),1,0))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IF(OR(B17="",Results!B16=""),"",IF(B17=Results!B16,1+IF(OR($O17=1,$P17=1,$Q17=1),1,0),0))</f>
        <v/>
      </c>
      <c r="T17" s="4" t="str">
        <f>IF(OR(C17="",Results!C16=""),"",IF(C17=Results!C16,1+IF(OR($O17=2,$P17=2,$Q17=2),1,0),0))</f>
        <v/>
      </c>
      <c r="U17" s="4" t="str">
        <f>IF(OR(D17="",Results!D16=""),"",IF(D17=Results!D16,1+IF(OR($O17=3,$P17=3,$Q17=3),1,0),0))</f>
        <v/>
      </c>
      <c r="V17" s="4" t="str">
        <f>IF(OR(E17="",Results!E16=""),"",IF(E17=Results!E16,1+IF(OR($O17=4,$P17=4,$Q17=4),1,0),0))</f>
        <v/>
      </c>
      <c r="W17" s="4" t="str">
        <f>IF(OR(F17="",Results!F16=""),"",IF(F17=Results!F16,1+IF(OR($O17=5,$P17=5,$Q17=5),1,0),0))</f>
        <v/>
      </c>
      <c r="X17" s="4" t="str">
        <f>IF(OR(G17="",Results!G16=""),"",IF(G17=Results!G16,1+IF(OR($O17=6,$P17=6,$Q17=6),1,0),0))</f>
        <v/>
      </c>
      <c r="Y17" s="4" t="str">
        <f>IF(OR(H17="",Results!H16=""),"",IF(H17=Results!H16,1+IF(OR($O17=7,$P17=7,$Q17=7),1,0),0))</f>
        <v/>
      </c>
      <c r="Z17" s="4" t="str">
        <f>IF(OR(I17="",Results!I16=""),"",IF(I17=Results!I16,1+IF(OR($O17=8,$P17=8,$Q17=8),1,0),0))</f>
        <v/>
      </c>
      <c r="AA17" s="4" t="str">
        <f>IF(OR(J17="",Results!J16=""),"",IF(J17=Results!J16,1+IF(OR($O17=9,$P17=9,$Q17=9),1,0),0))</f>
        <v/>
      </c>
      <c r="AB17" s="4" t="str">
        <f>IF(OR(K17="",Results!K16=""),"",IF(K17=Results!K16,1+IF(OR($O17=10,$P17=10,$Q17=10),1,0),0))</f>
        <v/>
      </c>
      <c r="AC17" s="4" t="str">
        <f>IF(OR(L17="",Results!L16=""),"",IF(L17=Results!L16,1+IF(OR($O17=11,$P17=11,$Q17=11),1,0),0))</f>
        <v/>
      </c>
      <c r="AD17" s="4" t="str">
        <f>IF(OR(M17="",Results!M16=""),"",IF(M17=Results!M16,1+IF(OR($O17=12,$P17=12,$Q17=12),1,0),0))</f>
        <v/>
      </c>
      <c r="AE17" s="4" t="str">
        <f>IF(OR(N17="",Results!N16=""),"",IF(N17=Results!N16,1+IF(OR($O17=13,$P17=13,$Q17=13),1,0),0))</f>
        <v/>
      </c>
      <c r="AF17" s="11">
        <f t="shared" si="0"/>
        <v>0</v>
      </c>
      <c r="AG17" s="4" t="str">
        <f>IF(OR($R17="",Results!O16=""),"",ABS($R17-Results!O16))</f>
        <v/>
      </c>
      <c r="AH17" s="12">
        <v>7</v>
      </c>
      <c r="AI17" s="13" t="str">
        <f>IF(OR(B17="",Results!B16=""),"",IF(AND(B17=Results!B16,Results!B16&lt;&gt;Games!$C$148),1,0))</f>
        <v/>
      </c>
      <c r="AJ17" s="13" t="str">
        <f>IF(OR(C17="",Results!C16=""),"",IF(AND(C17=Results!C16,Results!C16&lt;&gt;Games!$C$149),1,0))</f>
        <v/>
      </c>
      <c r="AK17" s="13" t="str">
        <f>IF(OR(D17="",Results!D16=""),"",IF(AND(D17=Results!D16,Results!D16&lt;&gt;Games!$C$150),1,0))</f>
        <v/>
      </c>
      <c r="AL17" s="13" t="str">
        <f>IF(OR(E17="",Results!E16=""),"",IF(AND(E17=Results!E16,Results!E16&lt;&gt;Games!$C$151),1,0))</f>
        <v/>
      </c>
      <c r="AM17" s="13" t="str">
        <f>IF(OR(F17="",Results!F16=""),"",IF(AND(F17=Results!F16,Results!F16&lt;&gt;Games!$C$152),1,0))</f>
        <v/>
      </c>
      <c r="AN17" s="13" t="str">
        <f>IF(OR(G17="",Results!G16=""),"",IF(AND(G17=Results!G16,Results!G16&lt;&gt;Games!$C$153),1,0))</f>
        <v/>
      </c>
      <c r="AO17" s="13" t="str">
        <f>IF(OR(H17="",Results!H16=""),"",IF(AND(H17=Results!H16,Results!H16&lt;&gt;Games!$C$154),1,0))</f>
        <v/>
      </c>
      <c r="AP17" s="13" t="str">
        <f>IF(OR(I17="",Results!I16=""),"",IF(AND(I17=Results!I16,Results!I16&lt;&gt;Games!$C$155),1,0))</f>
        <v/>
      </c>
      <c r="AQ17" s="13" t="str">
        <f>IF(OR(J17="",Results!J16=""),"",IF(AND(J17=Results!J16,Results!J16&lt;&gt;Games!$C$156),1,0))</f>
        <v/>
      </c>
      <c r="AR17" s="13" t="str">
        <f>IF(OR(K17="",Results!K16=""),"",IF(AND(K17=Results!K16,Results!K16&lt;&gt;Games!$C$157),1,0))</f>
        <v/>
      </c>
      <c r="AS17" s="13" t="str">
        <f>IF(OR(L17="",Results!L16=""),"",IF(AND(L17=Results!L16,Results!L16&lt;&gt;Games!$C$158),1,0))</f>
        <v/>
      </c>
      <c r="AT17" s="13" t="str">
        <f>IF(OR(M17="",Results!M16=""),"",IF(AND(M17=Results!M16,Results!M16&lt;&gt;Games!$C$159),1,0))</f>
        <v/>
      </c>
      <c r="AU17" s="13" t="str">
        <f>IF(OR(N17="",Results!N16=""),"",IF(AND(N17=Results!N16,Results!N16&lt;&gt;Games!$C$160),1,0))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IF(OR(B18="",Results!B16=""),"",IF(B18=Results!B16,1+IF(OR($O18=1,$P18=1,$Q18=1),1,0),0))</f>
        <v/>
      </c>
      <c r="T18" s="4" t="str">
        <f>IF(OR(C18="",Results!C16=""),"",IF(C18=Results!C16,1+IF(OR($O18=2,$P18=2,$Q18=2),1,0),0))</f>
        <v/>
      </c>
      <c r="U18" s="4" t="str">
        <f>IF(OR(D18="",Results!D16=""),"",IF(D18=Results!D16,1+IF(OR($O18=3,$P18=3,$Q18=3),1,0),0))</f>
        <v/>
      </c>
      <c r="V18" s="4" t="str">
        <f>IF(OR(E18="",Results!E16=""),"",IF(E18=Results!E16,1+IF(OR($O18=4,$P18=4,$Q18=4),1,0),0))</f>
        <v/>
      </c>
      <c r="W18" s="4" t="str">
        <f>IF(OR(F18="",Results!F16=""),"",IF(F18=Results!F16,1+IF(OR($O18=5,$P18=5,$Q18=5),1,0),0))</f>
        <v/>
      </c>
      <c r="X18" s="4" t="str">
        <f>IF(OR(G18="",Results!G16=""),"",IF(G18=Results!G16,1+IF(OR($O18=6,$P18=6,$Q18=6),1,0),0))</f>
        <v/>
      </c>
      <c r="Y18" s="4" t="str">
        <f>IF(OR(H18="",Results!H16=""),"",IF(H18=Results!H16,1+IF(OR($O18=7,$P18=7,$Q18=7),1,0),0))</f>
        <v/>
      </c>
      <c r="Z18" s="4" t="str">
        <f>IF(OR(I18="",Results!I16=""),"",IF(I18=Results!I16,1+IF(OR($O18=8,$P18=8,$Q18=8),1,0),0))</f>
        <v/>
      </c>
      <c r="AA18" s="4" t="str">
        <f>IF(OR(J18="",Results!J16=""),"",IF(J18=Results!J16,1+IF(OR($O18=9,$P18=9,$Q18=9),1,0),0))</f>
        <v/>
      </c>
      <c r="AB18" s="4" t="str">
        <f>IF(OR(K18="",Results!K16=""),"",IF(K18=Results!K16,1+IF(OR($O18=10,$P18=10,$Q18=10),1,0),0))</f>
        <v/>
      </c>
      <c r="AC18" s="4" t="str">
        <f>IF(OR(L18="",Results!L16=""),"",IF(L18=Results!L16,1+IF(OR($O18=11,$P18=11,$Q18=11),1,0),0))</f>
        <v/>
      </c>
      <c r="AD18" s="4" t="str">
        <f>IF(OR(M18="",Results!M16=""),"",IF(M18=Results!M16,1+IF(OR($O18=12,$P18=12,$Q18=12),1,0),0))</f>
        <v/>
      </c>
      <c r="AE18" s="4" t="str">
        <f>IF(OR(N18="",Results!N16=""),"",IF(N18=Results!N16,1+IF(OR($O18=13,$P18=13,$Q18=13),1,0),0))</f>
        <v/>
      </c>
      <c r="AF18" s="11">
        <f t="shared" si="0"/>
        <v>0</v>
      </c>
      <c r="AG18" s="4" t="str">
        <f>IF(OR($R18="",Results!O16=""),"",ABS($R18-Results!O16))</f>
        <v/>
      </c>
      <c r="AH18" s="12">
        <v>37</v>
      </c>
      <c r="AI18" s="13" t="str">
        <f>IF(OR(B18="",Results!B16=""),"",IF(AND(B18=Results!B16,Results!B16&lt;&gt;Games!$C$148),1,0))</f>
        <v/>
      </c>
      <c r="AJ18" s="13" t="str">
        <f>IF(OR(C18="",Results!C16=""),"",IF(AND(C18=Results!C16,Results!C16&lt;&gt;Games!$C$149),1,0))</f>
        <v/>
      </c>
      <c r="AK18" s="13" t="str">
        <f>IF(OR(D18="",Results!D16=""),"",IF(AND(D18=Results!D16,Results!D16&lt;&gt;Games!$C$150),1,0))</f>
        <v/>
      </c>
      <c r="AL18" s="13" t="str">
        <f>IF(OR(E18="",Results!E16=""),"",IF(AND(E18=Results!E16,Results!E16&lt;&gt;Games!$C$151),1,0))</f>
        <v/>
      </c>
      <c r="AM18" s="13" t="str">
        <f>IF(OR(F18="",Results!F16=""),"",IF(AND(F18=Results!F16,Results!F16&lt;&gt;Games!$C$152),1,0))</f>
        <v/>
      </c>
      <c r="AN18" s="13" t="str">
        <f>IF(OR(G18="",Results!G16=""),"",IF(AND(G18=Results!G16,Results!G16&lt;&gt;Games!$C$153),1,0))</f>
        <v/>
      </c>
      <c r="AO18" s="13" t="str">
        <f>IF(OR(H18="",Results!H16=""),"",IF(AND(H18=Results!H16,Results!H16&lt;&gt;Games!$C$154),1,0))</f>
        <v/>
      </c>
      <c r="AP18" s="13" t="str">
        <f>IF(OR(I18="",Results!I16=""),"",IF(AND(I18=Results!I16,Results!I16&lt;&gt;Games!$C$155),1,0))</f>
        <v/>
      </c>
      <c r="AQ18" s="13" t="str">
        <f>IF(OR(J18="",Results!J16=""),"",IF(AND(J18=Results!J16,Results!J16&lt;&gt;Games!$C$156),1,0))</f>
        <v/>
      </c>
      <c r="AR18" s="13" t="str">
        <f>IF(OR(K18="",Results!K16=""),"",IF(AND(K18=Results!K16,Results!K16&lt;&gt;Games!$C$157),1,0))</f>
        <v/>
      </c>
      <c r="AS18" s="13" t="str">
        <f>IF(OR(L18="",Results!L16=""),"",IF(AND(L18=Results!L16,Results!L16&lt;&gt;Games!$C$158),1,0))</f>
        <v/>
      </c>
      <c r="AT18" s="13" t="str">
        <f>IF(OR(M18="",Results!M16=""),"",IF(AND(M18=Results!M16,Results!M16&lt;&gt;Games!$C$159),1,0))</f>
        <v/>
      </c>
      <c r="AU18" s="13" t="str">
        <f>IF(OR(N18="",Results!N16=""),"",IF(AND(N18=Results!N16,Results!N16&lt;&gt;Games!$C$160),1,0))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IF(OR(B19="",Results!B16=""),"",IF(B19=Results!B16,1+IF(OR($O19=1,$P19=1,$Q19=1),1,0),0))</f>
        <v/>
      </c>
      <c r="T19" s="4" t="str">
        <f>IF(OR(C19="",Results!C16=""),"",IF(C19=Results!C16,1+IF(OR($O19=2,$P19=2,$Q19=2),1,0),0))</f>
        <v/>
      </c>
      <c r="U19" s="4" t="str">
        <f>IF(OR(D19="",Results!D16=""),"",IF(D19=Results!D16,1+IF(OR($O19=3,$P19=3,$Q19=3),1,0),0))</f>
        <v/>
      </c>
      <c r="V19" s="4" t="str">
        <f>IF(OR(E19="",Results!E16=""),"",IF(E19=Results!E16,1+IF(OR($O19=4,$P19=4,$Q19=4),1,0),0))</f>
        <v/>
      </c>
      <c r="W19" s="4" t="str">
        <f>IF(OR(F19="",Results!F16=""),"",IF(F19=Results!F16,1+IF(OR($O19=5,$P19=5,$Q19=5),1,0),0))</f>
        <v/>
      </c>
      <c r="X19" s="4" t="str">
        <f>IF(OR(G19="",Results!G16=""),"",IF(G19=Results!G16,1+IF(OR($O19=6,$P19=6,$Q19=6),1,0),0))</f>
        <v/>
      </c>
      <c r="Y19" s="4" t="str">
        <f>IF(OR(H19="",Results!H16=""),"",IF(H19=Results!H16,1+IF(OR($O19=7,$P19=7,$Q19=7),1,0),0))</f>
        <v/>
      </c>
      <c r="Z19" s="4" t="str">
        <f>IF(OR(I19="",Results!I16=""),"",IF(I19=Results!I16,1+IF(OR($O19=8,$P19=8,$Q19=8),1,0),0))</f>
        <v/>
      </c>
      <c r="AA19" s="4" t="str">
        <f>IF(OR(J19="",Results!J16=""),"",IF(J19=Results!J16,1+IF(OR($O19=9,$P19=9,$Q19=9),1,0),0))</f>
        <v/>
      </c>
      <c r="AB19" s="4" t="str">
        <f>IF(OR(K19="",Results!K16=""),"",IF(K19=Results!K16,1+IF(OR($O19=10,$P19=10,$Q19=10),1,0),0))</f>
        <v/>
      </c>
      <c r="AC19" s="4" t="str">
        <f>IF(OR(L19="",Results!L16=""),"",IF(L19=Results!L16,1+IF(OR($O19=11,$P19=11,$Q19=11),1,0),0))</f>
        <v/>
      </c>
      <c r="AD19" s="4" t="str">
        <f>IF(OR(M19="",Results!M16=""),"",IF(M19=Results!M16,1+IF(OR($O19=12,$P19=12,$Q19=12),1,0),0))</f>
        <v/>
      </c>
      <c r="AE19" s="4" t="str">
        <f>IF(OR(N19="",Results!N16=""),"",IF(N19=Results!N16,1+IF(OR($O19=13,$P19=13,$Q19=13),1,0),0))</f>
        <v/>
      </c>
      <c r="AF19" s="11">
        <f t="shared" si="0"/>
        <v>0</v>
      </c>
      <c r="AG19" s="4" t="str">
        <f>IF(OR($R19="",Results!O16=""),"",ABS($R19-Results!O16))</f>
        <v/>
      </c>
      <c r="AH19" s="12">
        <v>26</v>
      </c>
      <c r="AI19" s="13" t="str">
        <f>IF(OR(B19="",Results!B16=""),"",IF(AND(B19=Results!B16,Results!B16&lt;&gt;Games!$C$148),1,0))</f>
        <v/>
      </c>
      <c r="AJ19" s="13" t="str">
        <f>IF(OR(C19="",Results!C16=""),"",IF(AND(C19=Results!C16,Results!C16&lt;&gt;Games!$C$149),1,0))</f>
        <v/>
      </c>
      <c r="AK19" s="13" t="str">
        <f>IF(OR(D19="",Results!D16=""),"",IF(AND(D19=Results!D16,Results!D16&lt;&gt;Games!$C$150),1,0))</f>
        <v/>
      </c>
      <c r="AL19" s="13" t="str">
        <f>IF(OR(E19="",Results!E16=""),"",IF(AND(E19=Results!E16,Results!E16&lt;&gt;Games!$C$151),1,0))</f>
        <v/>
      </c>
      <c r="AM19" s="13" t="str">
        <f>IF(OR(F19="",Results!F16=""),"",IF(AND(F19=Results!F16,Results!F16&lt;&gt;Games!$C$152),1,0))</f>
        <v/>
      </c>
      <c r="AN19" s="13" t="str">
        <f>IF(OR(G19="",Results!G16=""),"",IF(AND(G19=Results!G16,Results!G16&lt;&gt;Games!$C$153),1,0))</f>
        <v/>
      </c>
      <c r="AO19" s="13" t="str">
        <f>IF(OR(H19="",Results!H16=""),"",IF(AND(H19=Results!H16,Results!H16&lt;&gt;Games!$C$154),1,0))</f>
        <v/>
      </c>
      <c r="AP19" s="13" t="str">
        <f>IF(OR(I19="",Results!I16=""),"",IF(AND(I19=Results!I16,Results!I16&lt;&gt;Games!$C$155),1,0))</f>
        <v/>
      </c>
      <c r="AQ19" s="13" t="str">
        <f>IF(OR(J19="",Results!J16=""),"",IF(AND(J19=Results!J16,Results!J16&lt;&gt;Games!$C$156),1,0))</f>
        <v/>
      </c>
      <c r="AR19" s="13" t="str">
        <f>IF(OR(K19="",Results!K16=""),"",IF(AND(K19=Results!K16,Results!K16&lt;&gt;Games!$C$157),1,0))</f>
        <v/>
      </c>
      <c r="AS19" s="13" t="str">
        <f>IF(OR(L19="",Results!L16=""),"",IF(AND(L19=Results!L16,Results!L16&lt;&gt;Games!$C$158),1,0))</f>
        <v/>
      </c>
      <c r="AT19" s="13" t="str">
        <f>IF(OR(M19="",Results!M16=""),"",IF(AND(M19=Results!M16,Results!M16&lt;&gt;Games!$C$159),1,0))</f>
        <v/>
      </c>
      <c r="AU19" s="13" t="str">
        <f>IF(OR(N19="",Results!N16=""),"",IF(AND(N19=Results!N16,Results!N16&lt;&gt;Games!$C$160),1,0))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 t="str">
        <f>IF(OR(B20="",Results!B16=""),"",IF(B20=Results!B16,1+IF(OR($O20=1,$P20=1,$Q20=1),1,0),0))</f>
        <v/>
      </c>
      <c r="T20" s="4" t="str">
        <f>IF(OR(C20="",Results!C16=""),"",IF(C20=Results!C16,1+IF(OR($O20=2,$P20=2,$Q20=2),1,0),0))</f>
        <v/>
      </c>
      <c r="U20" s="4" t="str">
        <f>IF(OR(D20="",Results!D16=""),"",IF(D20=Results!D16,1+IF(OR($O20=3,$P20=3,$Q20=3),1,0),0))</f>
        <v/>
      </c>
      <c r="V20" s="4" t="str">
        <f>IF(OR(E20="",Results!E16=""),"",IF(E20=Results!E16,1+IF(OR($O20=4,$P20=4,$Q20=4),1,0),0))</f>
        <v/>
      </c>
      <c r="W20" s="4" t="str">
        <f>IF(OR(F20="",Results!F16=""),"",IF(F20=Results!F16,1+IF(OR($O20=5,$P20=5,$Q20=5),1,0),0))</f>
        <v/>
      </c>
      <c r="X20" s="4" t="str">
        <f>IF(OR(G20="",Results!G16=""),"",IF(G20=Results!G16,1+IF(OR($O20=6,$P20=6,$Q20=6),1,0),0))</f>
        <v/>
      </c>
      <c r="Y20" s="4" t="str">
        <f>IF(OR(H20="",Results!H16=""),"",IF(H20=Results!H16,1+IF(OR($O20=7,$P20=7,$Q20=7),1,0),0))</f>
        <v/>
      </c>
      <c r="Z20" s="4" t="str">
        <f>IF(OR(I20="",Results!I16=""),"",IF(I20=Results!I16,1+IF(OR($O20=8,$P20=8,$Q20=8),1,0),0))</f>
        <v/>
      </c>
      <c r="AA20" s="4" t="str">
        <f>IF(OR(J20="",Results!J16=""),"",IF(J20=Results!J16,1+IF(OR($O20=9,$P20=9,$Q20=9),1,0),0))</f>
        <v/>
      </c>
      <c r="AB20" s="4" t="str">
        <f>IF(OR(K20="",Results!K16=""),"",IF(K20=Results!K16,1+IF(OR($O20=10,$P20=10,$Q20=10),1,0),0))</f>
        <v/>
      </c>
      <c r="AC20" s="4" t="str">
        <f>IF(OR(L20="",Results!L16=""),"",IF(L20=Results!L16,1+IF(OR($O20=11,$P20=11,$Q20=11),1,0),0))</f>
        <v/>
      </c>
      <c r="AD20" s="4" t="str">
        <f>IF(OR(M20="",Results!M16=""),"",IF(M20=Results!M16,1+IF(OR($O20=12,$P20=12,$Q20=12),1,0),0))</f>
        <v/>
      </c>
      <c r="AE20" s="4" t="str">
        <f>IF(OR(N20="",Results!N16=""),"",IF(N20=Results!N16,1+IF(OR($O20=13,$P20=13,$Q20=13),1,0),0))</f>
        <v/>
      </c>
      <c r="AF20" s="11">
        <f t="shared" si="0"/>
        <v>0</v>
      </c>
      <c r="AG20" s="4" t="str">
        <f>IF(OR($R20="",Results!O16=""),"",ABS($R20-Results!O16))</f>
        <v/>
      </c>
      <c r="AH20" s="12">
        <v>52</v>
      </c>
      <c r="AI20" s="13" t="str">
        <f>IF(OR(B20="",Results!B16=""),"",IF(AND(B20=Results!B16,Results!B16&lt;&gt;Games!$C$148),1,0))</f>
        <v/>
      </c>
      <c r="AJ20" s="13" t="str">
        <f>IF(OR(C20="",Results!C16=""),"",IF(AND(C20=Results!C16,Results!C16&lt;&gt;Games!$C$149),1,0))</f>
        <v/>
      </c>
      <c r="AK20" s="13" t="str">
        <f>IF(OR(D20="",Results!D16=""),"",IF(AND(D20=Results!D16,Results!D16&lt;&gt;Games!$C$150),1,0))</f>
        <v/>
      </c>
      <c r="AL20" s="13" t="str">
        <f>IF(OR(E20="",Results!E16=""),"",IF(AND(E20=Results!E16,Results!E16&lt;&gt;Games!$C$151),1,0))</f>
        <v/>
      </c>
      <c r="AM20" s="13" t="str">
        <f>IF(OR(F20="",Results!F16=""),"",IF(AND(F20=Results!F16,Results!F16&lt;&gt;Games!$C$152),1,0))</f>
        <v/>
      </c>
      <c r="AN20" s="13" t="str">
        <f>IF(OR(G20="",Results!G16=""),"",IF(AND(G20=Results!G16,Results!G16&lt;&gt;Games!$C$153),1,0))</f>
        <v/>
      </c>
      <c r="AO20" s="13" t="str">
        <f>IF(OR(H20="",Results!H16=""),"",IF(AND(H20=Results!H16,Results!H16&lt;&gt;Games!$C$154),1,0))</f>
        <v/>
      </c>
      <c r="AP20" s="13" t="str">
        <f>IF(OR(I20="",Results!I16=""),"",IF(AND(I20=Results!I16,Results!I16&lt;&gt;Games!$C$155),1,0))</f>
        <v/>
      </c>
      <c r="AQ20" s="13" t="str">
        <f>IF(OR(J20="",Results!J16=""),"",IF(AND(J20=Results!J16,Results!J16&lt;&gt;Games!$C$156),1,0))</f>
        <v/>
      </c>
      <c r="AR20" s="13" t="str">
        <f>IF(OR(K20="",Results!K16=""),"",IF(AND(K20=Results!K16,Results!K16&lt;&gt;Games!$C$157),1,0))</f>
        <v/>
      </c>
      <c r="AS20" s="13" t="str">
        <f>IF(OR(L20="",Results!L16=""),"",IF(AND(L20=Results!L16,Results!L16&lt;&gt;Games!$C$158),1,0))</f>
        <v/>
      </c>
      <c r="AT20" s="13" t="str">
        <f>IF(OR(M20="",Results!M16=""),"",IF(AND(M20=Results!M16,Results!M16&lt;&gt;Games!$C$159),1,0))</f>
        <v/>
      </c>
      <c r="AU20" s="13" t="str">
        <f>IF(OR(N20="",Results!N16=""),"",IF(AND(N20=Results!N16,Results!N16&lt;&gt;Games!$C$160),1,0))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 t="str">
        <f>IF(OR(B21="",Results!B16=""),"",IF(B21=Results!B16,1+IF(OR($O21=1,$P21=1,$Q21=1),1,0),0))</f>
        <v/>
      </c>
      <c r="T21" s="4" t="str">
        <f>IF(OR(C21="",Results!C16=""),"",IF(C21=Results!C16,1+IF(OR($O21=2,$P21=2,$Q21=2),1,0),0))</f>
        <v/>
      </c>
      <c r="U21" s="4" t="str">
        <f>IF(OR(D21="",Results!D16=""),"",IF(D21=Results!D16,1+IF(OR($O21=3,$P21=3,$Q21=3),1,0),0))</f>
        <v/>
      </c>
      <c r="V21" s="4" t="str">
        <f>IF(OR(E21="",Results!E16=""),"",IF(E21=Results!E16,1+IF(OR($O21=4,$P21=4,$Q21=4),1,0),0))</f>
        <v/>
      </c>
      <c r="W21" s="4" t="str">
        <f>IF(OR(F21="",Results!F16=""),"",IF(F21=Results!F16,1+IF(OR($O21=5,$P21=5,$Q21=5),1,0),0))</f>
        <v/>
      </c>
      <c r="X21" s="4" t="str">
        <f>IF(OR(G21="",Results!G16=""),"",IF(G21=Results!G16,1+IF(OR($O21=6,$P21=6,$Q21=6),1,0),0))</f>
        <v/>
      </c>
      <c r="Y21" s="4" t="str">
        <f>IF(OR(H21="",Results!H16=""),"",IF(H21=Results!H16,1+IF(OR($O21=7,$P21=7,$Q21=7),1,0),0))</f>
        <v/>
      </c>
      <c r="Z21" s="4" t="str">
        <f>IF(OR(I21="",Results!I16=""),"",IF(I21=Results!I16,1+IF(OR($O21=8,$P21=8,$Q21=8),1,0),0))</f>
        <v/>
      </c>
      <c r="AA21" s="4" t="str">
        <f>IF(OR(J21="",Results!J16=""),"",IF(J21=Results!J16,1+IF(OR($O21=9,$P21=9,$Q21=9),1,0),0))</f>
        <v/>
      </c>
      <c r="AB21" s="4" t="str">
        <f>IF(OR(K21="",Results!K16=""),"",IF(K21=Results!K16,1+IF(OR($O21=10,$P21=10,$Q21=10),1,0),0))</f>
        <v/>
      </c>
      <c r="AC21" s="4" t="str">
        <f>IF(OR(L21="",Results!L16=""),"",IF(L21=Results!L16,1+IF(OR($O21=11,$P21=11,$Q21=11),1,0),0))</f>
        <v/>
      </c>
      <c r="AD21" s="4" t="str">
        <f>IF(OR(M21="",Results!M16=""),"",IF(M21=Results!M16,1+IF(OR($O21=12,$P21=12,$Q21=12),1,0),0))</f>
        <v/>
      </c>
      <c r="AE21" s="4" t="str">
        <f>IF(OR(N21="",Results!N16=""),"",IF(N21=Results!N16,1+IF(OR($O21=13,$P21=13,$Q21=13),1,0),0))</f>
        <v/>
      </c>
      <c r="AF21" s="11">
        <f t="shared" si="0"/>
        <v>0</v>
      </c>
      <c r="AG21" s="4" t="str">
        <f>IF(OR($R21="",Results!O16=""),"",ABS($R21-Results!O16))</f>
        <v/>
      </c>
      <c r="AH21" s="12">
        <v>9</v>
      </c>
      <c r="AI21" s="13" t="str">
        <f>IF(OR(B21="",Results!B16=""),"",IF(AND(B21=Results!B16,Results!B16&lt;&gt;Games!$C$148),1,0))</f>
        <v/>
      </c>
      <c r="AJ21" s="13" t="str">
        <f>IF(OR(C21="",Results!C16=""),"",IF(AND(C21=Results!C16,Results!C16&lt;&gt;Games!$C$149),1,0))</f>
        <v/>
      </c>
      <c r="AK21" s="13" t="str">
        <f>IF(OR(D21="",Results!D16=""),"",IF(AND(D21=Results!D16,Results!D16&lt;&gt;Games!$C$150),1,0))</f>
        <v/>
      </c>
      <c r="AL21" s="13" t="str">
        <f>IF(OR(E21="",Results!E16=""),"",IF(AND(E21=Results!E16,Results!E16&lt;&gt;Games!$C$151),1,0))</f>
        <v/>
      </c>
      <c r="AM21" s="13" t="str">
        <f>IF(OR(F21="",Results!F16=""),"",IF(AND(F21=Results!F16,Results!F16&lt;&gt;Games!$C$152),1,0))</f>
        <v/>
      </c>
      <c r="AN21" s="13" t="str">
        <f>IF(OR(G21="",Results!G16=""),"",IF(AND(G21=Results!G16,Results!G16&lt;&gt;Games!$C$153),1,0))</f>
        <v/>
      </c>
      <c r="AO21" s="13" t="str">
        <f>IF(OR(H21="",Results!H16=""),"",IF(AND(H21=Results!H16,Results!H16&lt;&gt;Games!$C$154),1,0))</f>
        <v/>
      </c>
      <c r="AP21" s="13" t="str">
        <f>IF(OR(I21="",Results!I16=""),"",IF(AND(I21=Results!I16,Results!I16&lt;&gt;Games!$C$155),1,0))</f>
        <v/>
      </c>
      <c r="AQ21" s="13" t="str">
        <f>IF(OR(J21="",Results!J16=""),"",IF(AND(J21=Results!J16,Results!J16&lt;&gt;Games!$C$156),1,0))</f>
        <v/>
      </c>
      <c r="AR21" s="13" t="str">
        <f>IF(OR(K21="",Results!K16=""),"",IF(AND(K21=Results!K16,Results!K16&lt;&gt;Games!$C$157),1,0))</f>
        <v/>
      </c>
      <c r="AS21" s="13" t="str">
        <f>IF(OR(L21="",Results!L16=""),"",IF(AND(L21=Results!L16,Results!L16&lt;&gt;Games!$C$158),1,0))</f>
        <v/>
      </c>
      <c r="AT21" s="13" t="str">
        <f>IF(OR(M21="",Results!M16=""),"",IF(AND(M21=Results!M16,Results!M16&lt;&gt;Games!$C$159),1,0))</f>
        <v/>
      </c>
      <c r="AU21" s="13" t="str">
        <f>IF(OR(N21="",Results!N16=""),"",IF(AND(N21=Results!N16,Results!N16&lt;&gt;Games!$C$160),1,0))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 t="str">
        <f>IF(OR(B22="",Results!B16=""),"",IF(B22=Results!B16,1+IF(OR($O22=1,$P22=1,$Q22=1),1,0),0))</f>
        <v/>
      </c>
      <c r="T22" s="4" t="str">
        <f>IF(OR(C22="",Results!C16=""),"",IF(C22=Results!C16,1+IF(OR($O22=2,$P22=2,$Q22=2),1,0),0))</f>
        <v/>
      </c>
      <c r="U22" s="4" t="str">
        <f>IF(OR(D22="",Results!D16=""),"",IF(D22=Results!D16,1+IF(OR($O22=3,$P22=3,$Q22=3),1,0),0))</f>
        <v/>
      </c>
      <c r="V22" s="4" t="str">
        <f>IF(OR(E22="",Results!E16=""),"",IF(E22=Results!E16,1+IF(OR($O22=4,$P22=4,$Q22=4),1,0),0))</f>
        <v/>
      </c>
      <c r="W22" s="4" t="str">
        <f>IF(OR(F22="",Results!F16=""),"",IF(F22=Results!F16,1+IF(OR($O22=5,$P22=5,$Q22=5),1,0),0))</f>
        <v/>
      </c>
      <c r="X22" s="4" t="str">
        <f>IF(OR(G22="",Results!G16=""),"",IF(G22=Results!G16,1+IF(OR($O22=6,$P22=6,$Q22=6),1,0),0))</f>
        <v/>
      </c>
      <c r="Y22" s="4" t="str">
        <f>IF(OR(H22="",Results!H16=""),"",IF(H22=Results!H16,1+IF(OR($O22=7,$P22=7,$Q22=7),1,0),0))</f>
        <v/>
      </c>
      <c r="Z22" s="4" t="str">
        <f>IF(OR(I22="",Results!I16=""),"",IF(I22=Results!I16,1+IF(OR($O22=8,$P22=8,$Q22=8),1,0),0))</f>
        <v/>
      </c>
      <c r="AA22" s="4" t="str">
        <f>IF(OR(J22="",Results!J16=""),"",IF(J22=Results!J16,1+IF(OR($O22=9,$P22=9,$Q22=9),1,0),0))</f>
        <v/>
      </c>
      <c r="AB22" s="4" t="str">
        <f>IF(OR(K22="",Results!K16=""),"",IF(K22=Results!K16,1+IF(OR($O22=10,$P22=10,$Q22=10),1,0),0))</f>
        <v/>
      </c>
      <c r="AC22" s="4" t="str">
        <f>IF(OR(L22="",Results!L16=""),"",IF(L22=Results!L16,1+IF(OR($O22=11,$P22=11,$Q22=11),1,0),0))</f>
        <v/>
      </c>
      <c r="AD22" s="4" t="str">
        <f>IF(OR(M22="",Results!M16=""),"",IF(M22=Results!M16,1+IF(OR($O22=12,$P22=12,$Q22=12),1,0),0))</f>
        <v/>
      </c>
      <c r="AE22" s="4" t="str">
        <f>IF(OR(N22="",Results!N16=""),"",IF(N22=Results!N16,1+IF(OR($O22=13,$P22=13,$Q22=13),1,0),0))</f>
        <v/>
      </c>
      <c r="AF22" s="11">
        <f t="shared" si="0"/>
        <v>0</v>
      </c>
      <c r="AG22" s="4" t="str">
        <f>IF(OR($R22="",Results!O16=""),"",ABS($R22-Results!O16))</f>
        <v/>
      </c>
      <c r="AH22" s="12">
        <v>10</v>
      </c>
      <c r="AI22" s="13" t="str">
        <f>IF(OR(B22="",Results!B16=""),"",IF(AND(B22=Results!B16,Results!B16&lt;&gt;Games!$C$148),1,0))</f>
        <v/>
      </c>
      <c r="AJ22" s="13" t="str">
        <f>IF(OR(C22="",Results!C16=""),"",IF(AND(C22=Results!C16,Results!C16&lt;&gt;Games!$C$149),1,0))</f>
        <v/>
      </c>
      <c r="AK22" s="13" t="str">
        <f>IF(OR(D22="",Results!D16=""),"",IF(AND(D22=Results!D16,Results!D16&lt;&gt;Games!$C$150),1,0))</f>
        <v/>
      </c>
      <c r="AL22" s="13" t="str">
        <f>IF(OR(E22="",Results!E16=""),"",IF(AND(E22=Results!E16,Results!E16&lt;&gt;Games!$C$151),1,0))</f>
        <v/>
      </c>
      <c r="AM22" s="13" t="str">
        <f>IF(OR(F22="",Results!F16=""),"",IF(AND(F22=Results!F16,Results!F16&lt;&gt;Games!$C$152),1,0))</f>
        <v/>
      </c>
      <c r="AN22" s="13" t="str">
        <f>IF(OR(G22="",Results!G16=""),"",IF(AND(G22=Results!G16,Results!G16&lt;&gt;Games!$C$153),1,0))</f>
        <v/>
      </c>
      <c r="AO22" s="13" t="str">
        <f>IF(OR(H22="",Results!H16=""),"",IF(AND(H22=Results!H16,Results!H16&lt;&gt;Games!$C$154),1,0))</f>
        <v/>
      </c>
      <c r="AP22" s="13" t="str">
        <f>IF(OR(I22="",Results!I16=""),"",IF(AND(I22=Results!I16,Results!I16&lt;&gt;Games!$C$155),1,0))</f>
        <v/>
      </c>
      <c r="AQ22" s="13" t="str">
        <f>IF(OR(J22="",Results!J16=""),"",IF(AND(J22=Results!J16,Results!J16&lt;&gt;Games!$C$156),1,0))</f>
        <v/>
      </c>
      <c r="AR22" s="13" t="str">
        <f>IF(OR(K22="",Results!K16=""),"",IF(AND(K22=Results!K16,Results!K16&lt;&gt;Games!$C$157),1,0))</f>
        <v/>
      </c>
      <c r="AS22" s="13" t="str">
        <f>IF(OR(L22="",Results!L16=""),"",IF(AND(L22=Results!L16,Results!L16&lt;&gt;Games!$C$158),1,0))</f>
        <v/>
      </c>
      <c r="AT22" s="13" t="str">
        <f>IF(OR(M22="",Results!M16=""),"",IF(AND(M22=Results!M16,Results!M16&lt;&gt;Games!$C$159),1,0))</f>
        <v/>
      </c>
      <c r="AU22" s="13" t="str">
        <f>IF(OR(N22="",Results!N16=""),"",IF(AND(N22=Results!N16,Results!N16&lt;&gt;Games!$C$160),1,0))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 t="str">
        <f>IF(OR(B23="",Results!B16=""),"",IF(B23=Results!B16,1+IF(OR($O23=1,$P23=1,$Q23=1),1,0),0))</f>
        <v/>
      </c>
      <c r="T23" s="4" t="str">
        <f>IF(OR(C23="",Results!C16=""),"",IF(C23=Results!C16,1+IF(OR($O23=2,$P23=2,$Q23=2),1,0),0))</f>
        <v/>
      </c>
      <c r="U23" s="4" t="str">
        <f>IF(OR(D23="",Results!D16=""),"",IF(D23=Results!D16,1+IF(OR($O23=3,$P23=3,$Q23=3),1,0),0))</f>
        <v/>
      </c>
      <c r="V23" s="4" t="str">
        <f>IF(OR(E23="",Results!E16=""),"",IF(E23=Results!E16,1+IF(OR($O23=4,$P23=4,$Q23=4),1,0),0))</f>
        <v/>
      </c>
      <c r="W23" s="4" t="str">
        <f>IF(OR(F23="",Results!F16=""),"",IF(F23=Results!F16,1+IF(OR($O23=5,$P23=5,$Q23=5),1,0),0))</f>
        <v/>
      </c>
      <c r="X23" s="4" t="str">
        <f>IF(OR(G23="",Results!G16=""),"",IF(G23=Results!G16,1+IF(OR($O23=6,$P23=6,$Q23=6),1,0),0))</f>
        <v/>
      </c>
      <c r="Y23" s="4" t="str">
        <f>IF(OR(H23="",Results!H16=""),"",IF(H23=Results!H16,1+IF(OR($O23=7,$P23=7,$Q23=7),1,0),0))</f>
        <v/>
      </c>
      <c r="Z23" s="4" t="str">
        <f>IF(OR(I23="",Results!I16=""),"",IF(I23=Results!I16,1+IF(OR($O23=8,$P23=8,$Q23=8),1,0),0))</f>
        <v/>
      </c>
      <c r="AA23" s="4" t="str">
        <f>IF(OR(J23="",Results!J16=""),"",IF(J23=Results!J16,1+IF(OR($O23=9,$P23=9,$Q23=9),1,0),0))</f>
        <v/>
      </c>
      <c r="AB23" s="4" t="str">
        <f>IF(OR(K23="",Results!K16=""),"",IF(K23=Results!K16,1+IF(OR($O23=10,$P23=10,$Q23=10),1,0),0))</f>
        <v/>
      </c>
      <c r="AC23" s="4" t="str">
        <f>IF(OR(L23="",Results!L16=""),"",IF(L23=Results!L16,1+IF(OR($O23=11,$P23=11,$Q23=11),1,0),0))</f>
        <v/>
      </c>
      <c r="AD23" s="4" t="str">
        <f>IF(OR(M23="",Results!M16=""),"",IF(M23=Results!M16,1+IF(OR($O23=12,$P23=12,$Q23=12),1,0),0))</f>
        <v/>
      </c>
      <c r="AE23" s="4" t="str">
        <f>IF(OR(N23="",Results!N16=""),"",IF(N23=Results!N16,1+IF(OR($O23=13,$P23=13,$Q23=13),1,0),0))</f>
        <v/>
      </c>
      <c r="AF23" s="11">
        <f t="shared" si="0"/>
        <v>0</v>
      </c>
      <c r="AG23" s="4" t="str">
        <f>IF(OR($R23="",Results!O16=""),"",ABS($R23-Results!O16))</f>
        <v/>
      </c>
      <c r="AH23" s="12">
        <v>55</v>
      </c>
      <c r="AI23" s="13" t="str">
        <f>IF(OR(B23="",Results!B16=""),"",IF(AND(B23=Results!B16,Results!B16&lt;&gt;Games!$C$148),1,0))</f>
        <v/>
      </c>
      <c r="AJ23" s="13" t="str">
        <f>IF(OR(C23="",Results!C16=""),"",IF(AND(C23=Results!C16,Results!C16&lt;&gt;Games!$C$149),1,0))</f>
        <v/>
      </c>
      <c r="AK23" s="13" t="str">
        <f>IF(OR(D23="",Results!D16=""),"",IF(AND(D23=Results!D16,Results!D16&lt;&gt;Games!$C$150),1,0))</f>
        <v/>
      </c>
      <c r="AL23" s="13" t="str">
        <f>IF(OR(E23="",Results!E16=""),"",IF(AND(E23=Results!E16,Results!E16&lt;&gt;Games!$C$151),1,0))</f>
        <v/>
      </c>
      <c r="AM23" s="13" t="str">
        <f>IF(OR(F23="",Results!F16=""),"",IF(AND(F23=Results!F16,Results!F16&lt;&gt;Games!$C$152),1,0))</f>
        <v/>
      </c>
      <c r="AN23" s="13" t="str">
        <f>IF(OR(G23="",Results!G16=""),"",IF(AND(G23=Results!G16,Results!G16&lt;&gt;Games!$C$153),1,0))</f>
        <v/>
      </c>
      <c r="AO23" s="13" t="str">
        <f>IF(OR(H23="",Results!H16=""),"",IF(AND(H23=Results!H16,Results!H16&lt;&gt;Games!$C$154),1,0))</f>
        <v/>
      </c>
      <c r="AP23" s="13" t="str">
        <f>IF(OR(I23="",Results!I16=""),"",IF(AND(I23=Results!I16,Results!I16&lt;&gt;Games!$C$155),1,0))</f>
        <v/>
      </c>
      <c r="AQ23" s="13" t="str">
        <f>IF(OR(J23="",Results!J16=""),"",IF(AND(J23=Results!J16,Results!J16&lt;&gt;Games!$C$156),1,0))</f>
        <v/>
      </c>
      <c r="AR23" s="13" t="str">
        <f>IF(OR(K23="",Results!K16=""),"",IF(AND(K23=Results!K16,Results!K16&lt;&gt;Games!$C$157),1,0))</f>
        <v/>
      </c>
      <c r="AS23" s="13" t="str">
        <f>IF(OR(L23="",Results!L16=""),"",IF(AND(L23=Results!L16,Results!L16&lt;&gt;Games!$C$158),1,0))</f>
        <v/>
      </c>
      <c r="AT23" s="13" t="str">
        <f>IF(OR(M23="",Results!M16=""),"",IF(AND(M23=Results!M16,Results!M16&lt;&gt;Games!$C$159),1,0))</f>
        <v/>
      </c>
      <c r="AU23" s="13" t="str">
        <f>IF(OR(N23="",Results!N16=""),"",IF(AND(N23=Results!N16,Results!N16&lt;&gt;Games!$C$160),1,0))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IF(OR(B24="",Results!B16=""),"",IF(B24=Results!B16,1+IF(OR($O24=1,$P24=1,$Q24=1),1,0),0))</f>
        <v/>
      </c>
      <c r="T24" s="4" t="str">
        <f>IF(OR(C24="",Results!C16=""),"",IF(C24=Results!C16,1+IF(OR($O24=2,$P24=2,$Q24=2),1,0),0))</f>
        <v/>
      </c>
      <c r="U24" s="4" t="str">
        <f>IF(OR(D24="",Results!D16=""),"",IF(D24=Results!D16,1+IF(OR($O24=3,$P24=3,$Q24=3),1,0),0))</f>
        <v/>
      </c>
      <c r="V24" s="4" t="str">
        <f>IF(OR(E24="",Results!E16=""),"",IF(E24=Results!E16,1+IF(OR($O24=4,$P24=4,$Q24=4),1,0),0))</f>
        <v/>
      </c>
      <c r="W24" s="4" t="str">
        <f>IF(OR(F24="",Results!F16=""),"",IF(F24=Results!F16,1+IF(OR($O24=5,$P24=5,$Q24=5),1,0),0))</f>
        <v/>
      </c>
      <c r="X24" s="4" t="str">
        <f>IF(OR(G24="",Results!G16=""),"",IF(G24=Results!G16,1+IF(OR($O24=6,$P24=6,$Q24=6),1,0),0))</f>
        <v/>
      </c>
      <c r="Y24" s="4" t="str">
        <f>IF(OR(H24="",Results!H16=""),"",IF(H24=Results!H16,1+IF(OR($O24=7,$P24=7,$Q24=7),1,0),0))</f>
        <v/>
      </c>
      <c r="Z24" s="4" t="str">
        <f>IF(OR(I24="",Results!I16=""),"",IF(I24=Results!I16,1+IF(OR($O24=8,$P24=8,$Q24=8),1,0),0))</f>
        <v/>
      </c>
      <c r="AA24" s="4" t="str">
        <f>IF(OR(J24="",Results!J16=""),"",IF(J24=Results!J16,1+IF(OR($O24=9,$P24=9,$Q24=9),1,0),0))</f>
        <v/>
      </c>
      <c r="AB24" s="4" t="str">
        <f>IF(OR(K24="",Results!K16=""),"",IF(K24=Results!K16,1+IF(OR($O24=10,$P24=10,$Q24=10),1,0),0))</f>
        <v/>
      </c>
      <c r="AC24" s="4" t="str">
        <f>IF(OR(L24="",Results!L16=""),"",IF(L24=Results!L16,1+IF(OR($O24=11,$P24=11,$Q24=11),1,0),0))</f>
        <v/>
      </c>
      <c r="AD24" s="4" t="str">
        <f>IF(OR(M24="",Results!M16=""),"",IF(M24=Results!M16,1+IF(OR($O24=12,$P24=12,$Q24=12),1,0),0))</f>
        <v/>
      </c>
      <c r="AE24" s="4" t="str">
        <f>IF(OR(N24="",Results!N16=""),"",IF(N24=Results!N16,1+IF(OR($O24=13,$P24=13,$Q24=13),1,0),0))</f>
        <v/>
      </c>
      <c r="AF24" s="11">
        <f t="shared" si="0"/>
        <v>0</v>
      </c>
      <c r="AG24" s="4" t="str">
        <f>IF(OR($R24="",Results!O16=""),"",ABS($R24-Results!O16))</f>
        <v/>
      </c>
      <c r="AH24" s="12">
        <v>47</v>
      </c>
      <c r="AI24" s="13" t="str">
        <f>IF(OR(B24="",Results!B16=""),"",IF(AND(B24=Results!B16,Results!B16&lt;&gt;Games!$C$148),1,0))</f>
        <v/>
      </c>
      <c r="AJ24" s="13" t="str">
        <f>IF(OR(C24="",Results!C16=""),"",IF(AND(C24=Results!C16,Results!C16&lt;&gt;Games!$C$149),1,0))</f>
        <v/>
      </c>
      <c r="AK24" s="13" t="str">
        <f>IF(OR(D24="",Results!D16=""),"",IF(AND(D24=Results!D16,Results!D16&lt;&gt;Games!$C$150),1,0))</f>
        <v/>
      </c>
      <c r="AL24" s="13" t="str">
        <f>IF(OR(E24="",Results!E16=""),"",IF(AND(E24=Results!E16,Results!E16&lt;&gt;Games!$C$151),1,0))</f>
        <v/>
      </c>
      <c r="AM24" s="13" t="str">
        <f>IF(OR(F24="",Results!F16=""),"",IF(AND(F24=Results!F16,Results!F16&lt;&gt;Games!$C$152),1,0))</f>
        <v/>
      </c>
      <c r="AN24" s="13" t="str">
        <f>IF(OR(G24="",Results!G16=""),"",IF(AND(G24=Results!G16,Results!G16&lt;&gt;Games!$C$153),1,0))</f>
        <v/>
      </c>
      <c r="AO24" s="13" t="str">
        <f>IF(OR(H24="",Results!H16=""),"",IF(AND(H24=Results!H16,Results!H16&lt;&gt;Games!$C$154),1,0))</f>
        <v/>
      </c>
      <c r="AP24" s="13" t="str">
        <f>IF(OR(I24="",Results!I16=""),"",IF(AND(I24=Results!I16,Results!I16&lt;&gt;Games!$C$155),1,0))</f>
        <v/>
      </c>
      <c r="AQ24" s="13" t="str">
        <f>IF(OR(J24="",Results!J16=""),"",IF(AND(J24=Results!J16,Results!J16&lt;&gt;Games!$C$156),1,0))</f>
        <v/>
      </c>
      <c r="AR24" s="13" t="str">
        <f>IF(OR(K24="",Results!K16=""),"",IF(AND(K24=Results!K16,Results!K16&lt;&gt;Games!$C$157),1,0))</f>
        <v/>
      </c>
      <c r="AS24" s="13" t="str">
        <f>IF(OR(L24="",Results!L16=""),"",IF(AND(L24=Results!L16,Results!L16&lt;&gt;Games!$C$158),1,0))</f>
        <v/>
      </c>
      <c r="AT24" s="13" t="str">
        <f>IF(OR(M24="",Results!M16=""),"",IF(AND(M24=Results!M16,Results!M16&lt;&gt;Games!$C$159),1,0))</f>
        <v/>
      </c>
      <c r="AU24" s="13" t="str">
        <f>IF(OR(N24="",Results!N16=""),"",IF(AND(N24=Results!N16,Results!N16&lt;&gt;Games!$C$160),1,0))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 t="str">
        <f>IF(OR(B25="",Results!B16=""),"",IF(B25=Results!B16,1+IF(OR($O25=1,$P25=1,$Q25=1),1,0),0))</f>
        <v/>
      </c>
      <c r="T25" s="4" t="str">
        <f>IF(OR(C25="",Results!C16=""),"",IF(C25=Results!C16,1+IF(OR($O25=2,$P25=2,$Q25=2),1,0),0))</f>
        <v/>
      </c>
      <c r="U25" s="4" t="str">
        <f>IF(OR(D25="",Results!D16=""),"",IF(D25=Results!D16,1+IF(OR($O25=3,$P25=3,$Q25=3),1,0),0))</f>
        <v/>
      </c>
      <c r="V25" s="4" t="str">
        <f>IF(OR(E25="",Results!E16=""),"",IF(E25=Results!E16,1+IF(OR($O25=4,$P25=4,$Q25=4),1,0),0))</f>
        <v/>
      </c>
      <c r="W25" s="4" t="str">
        <f>IF(OR(F25="",Results!F16=""),"",IF(F25=Results!F16,1+IF(OR($O25=5,$P25=5,$Q25=5),1,0),0))</f>
        <v/>
      </c>
      <c r="X25" s="4" t="str">
        <f>IF(OR(G25="",Results!G16=""),"",IF(G25=Results!G16,1+IF(OR($O25=6,$P25=6,$Q25=6),1,0),0))</f>
        <v/>
      </c>
      <c r="Y25" s="4" t="str">
        <f>IF(OR(H25="",Results!H16=""),"",IF(H25=Results!H16,1+IF(OR($O25=7,$P25=7,$Q25=7),1,0),0))</f>
        <v/>
      </c>
      <c r="Z25" s="4" t="str">
        <f>IF(OR(I25="",Results!I16=""),"",IF(I25=Results!I16,1+IF(OR($O25=8,$P25=8,$Q25=8),1,0),0))</f>
        <v/>
      </c>
      <c r="AA25" s="4" t="str">
        <f>IF(OR(J25="",Results!J16=""),"",IF(J25=Results!J16,1+IF(OR($O25=9,$P25=9,$Q25=9),1,0),0))</f>
        <v/>
      </c>
      <c r="AB25" s="4" t="str">
        <f>IF(OR(K25="",Results!K16=""),"",IF(K25=Results!K16,1+IF(OR($O25=10,$P25=10,$Q25=10),1,0),0))</f>
        <v/>
      </c>
      <c r="AC25" s="4" t="str">
        <f>IF(OR(L25="",Results!L16=""),"",IF(L25=Results!L16,1+IF(OR($O25=11,$P25=11,$Q25=11),1,0),0))</f>
        <v/>
      </c>
      <c r="AD25" s="4" t="str">
        <f>IF(OR(M25="",Results!M16=""),"",IF(M25=Results!M16,1+IF(OR($O25=12,$P25=12,$Q25=12),1,0),0))</f>
        <v/>
      </c>
      <c r="AE25" s="4" t="str">
        <f>IF(OR(N25="",Results!N16=""),"",IF(N25=Results!N16,1+IF(OR($O25=13,$P25=13,$Q25=13),1,0),0))</f>
        <v/>
      </c>
      <c r="AF25" s="11">
        <f t="shared" si="0"/>
        <v>0</v>
      </c>
      <c r="AG25" s="4" t="str">
        <f>IF(OR($R25="",Results!O16=""),"",ABS($R25-Results!O16))</f>
        <v/>
      </c>
      <c r="AH25" s="12">
        <v>54</v>
      </c>
      <c r="AI25" s="13" t="str">
        <f>IF(OR(B25="",Results!B16=""),"",IF(AND(B25=Results!B16,Results!B16&lt;&gt;Games!$C$148),1,0))</f>
        <v/>
      </c>
      <c r="AJ25" s="13" t="str">
        <f>IF(OR(C25="",Results!C16=""),"",IF(AND(C25=Results!C16,Results!C16&lt;&gt;Games!$C$149),1,0))</f>
        <v/>
      </c>
      <c r="AK25" s="13" t="str">
        <f>IF(OR(D25="",Results!D16=""),"",IF(AND(D25=Results!D16,Results!D16&lt;&gt;Games!$C$150),1,0))</f>
        <v/>
      </c>
      <c r="AL25" s="13" t="str">
        <f>IF(OR(E25="",Results!E16=""),"",IF(AND(E25=Results!E16,Results!E16&lt;&gt;Games!$C$151),1,0))</f>
        <v/>
      </c>
      <c r="AM25" s="13" t="str">
        <f>IF(OR(F25="",Results!F16=""),"",IF(AND(F25=Results!F16,Results!F16&lt;&gt;Games!$C$152),1,0))</f>
        <v/>
      </c>
      <c r="AN25" s="13" t="str">
        <f>IF(OR(G25="",Results!G16=""),"",IF(AND(G25=Results!G16,Results!G16&lt;&gt;Games!$C$153),1,0))</f>
        <v/>
      </c>
      <c r="AO25" s="13" t="str">
        <f>IF(OR(H25="",Results!H16=""),"",IF(AND(H25=Results!H16,Results!H16&lt;&gt;Games!$C$154),1,0))</f>
        <v/>
      </c>
      <c r="AP25" s="13" t="str">
        <f>IF(OR(I25="",Results!I16=""),"",IF(AND(I25=Results!I16,Results!I16&lt;&gt;Games!$C$155),1,0))</f>
        <v/>
      </c>
      <c r="AQ25" s="13" t="str">
        <f>IF(OR(J25="",Results!J16=""),"",IF(AND(J25=Results!J16,Results!J16&lt;&gt;Games!$C$156),1,0))</f>
        <v/>
      </c>
      <c r="AR25" s="13" t="str">
        <f>IF(OR(K25="",Results!K16=""),"",IF(AND(K25=Results!K16,Results!K16&lt;&gt;Games!$C$157),1,0))</f>
        <v/>
      </c>
      <c r="AS25" s="13" t="str">
        <f>IF(OR(L25="",Results!L16=""),"",IF(AND(L25=Results!L16,Results!L16&lt;&gt;Games!$C$158),1,0))</f>
        <v/>
      </c>
      <c r="AT25" s="13" t="str">
        <f>IF(OR(M25="",Results!M16=""),"",IF(AND(M25=Results!M16,Results!M16&lt;&gt;Games!$C$159),1,0))</f>
        <v/>
      </c>
      <c r="AU25" s="13" t="str">
        <f>IF(OR(N25="",Results!N16=""),"",IF(AND(N25=Results!N16,Results!N16&lt;&gt;Games!$C$160),1,0))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tr">
        <f>IF(OR(B26="",Results!B16=""),"",IF(B26=Results!B16,1+IF(OR($O26=1,$P26=1,$Q26=1),1,0),0))</f>
        <v/>
      </c>
      <c r="T26" s="4" t="str">
        <f>IF(OR(C26="",Results!C16=""),"",IF(C26=Results!C16,1+IF(OR($O26=2,$P26=2,$Q26=2),1,0),0))</f>
        <v/>
      </c>
      <c r="U26" s="4" t="str">
        <f>IF(OR(D26="",Results!D16=""),"",IF(D26=Results!D16,1+IF(OR($O26=3,$P26=3,$Q26=3),1,0),0))</f>
        <v/>
      </c>
      <c r="V26" s="4" t="str">
        <f>IF(OR(E26="",Results!E16=""),"",IF(E26=Results!E16,1+IF(OR($O26=4,$P26=4,$Q26=4),1,0),0))</f>
        <v/>
      </c>
      <c r="W26" s="4" t="str">
        <f>IF(OR(F26="",Results!F16=""),"",IF(F26=Results!F16,1+IF(OR($O26=5,$P26=5,$Q26=5),1,0),0))</f>
        <v/>
      </c>
      <c r="X26" s="4" t="str">
        <f>IF(OR(G26="",Results!G16=""),"",IF(G26=Results!G16,1+IF(OR($O26=6,$P26=6,$Q26=6),1,0),0))</f>
        <v/>
      </c>
      <c r="Y26" s="4" t="str">
        <f>IF(OR(H26="",Results!H16=""),"",IF(H26=Results!H16,1+IF(OR($O26=7,$P26=7,$Q26=7),1,0),0))</f>
        <v/>
      </c>
      <c r="Z26" s="4" t="str">
        <f>IF(OR(I26="",Results!I16=""),"",IF(I26=Results!I16,1+IF(OR($O26=8,$P26=8,$Q26=8),1,0),0))</f>
        <v/>
      </c>
      <c r="AA26" s="4" t="str">
        <f>IF(OR(J26="",Results!J16=""),"",IF(J26=Results!J16,1+IF(OR($O26=9,$P26=9,$Q26=9),1,0),0))</f>
        <v/>
      </c>
      <c r="AB26" s="4" t="str">
        <f>IF(OR(K26="",Results!K16=""),"",IF(K26=Results!K16,1+IF(OR($O26=10,$P26=10,$Q26=10),1,0),0))</f>
        <v/>
      </c>
      <c r="AC26" s="4" t="str">
        <f>IF(OR(L26="",Results!L16=""),"",IF(L26=Results!L16,1+IF(OR($O26=11,$P26=11,$Q26=11),1,0),0))</f>
        <v/>
      </c>
      <c r="AD26" s="4" t="str">
        <f>IF(OR(M26="",Results!M16=""),"",IF(M26=Results!M16,1+IF(OR($O26=12,$P26=12,$Q26=12),1,0),0))</f>
        <v/>
      </c>
      <c r="AE26" s="4" t="str">
        <f>IF(OR(N26="",Results!N16=""),"",IF(N26=Results!N16,1+IF(OR($O26=13,$P26=13,$Q26=13),1,0),0))</f>
        <v/>
      </c>
      <c r="AF26" s="11">
        <f t="shared" si="0"/>
        <v>0</v>
      </c>
      <c r="AG26" s="4" t="str">
        <f>IF(OR($R26="",Results!O16=""),"",ABS($R26-Results!O16))</f>
        <v/>
      </c>
      <c r="AH26" s="12">
        <v>48</v>
      </c>
      <c r="AI26" s="13" t="str">
        <f>IF(OR(B26="",Results!B16=""),"",IF(AND(B26=Results!B16,Results!B16&lt;&gt;Games!$C$148),1,0))</f>
        <v/>
      </c>
      <c r="AJ26" s="13" t="str">
        <f>IF(OR(C26="",Results!C16=""),"",IF(AND(C26=Results!C16,Results!C16&lt;&gt;Games!$C$149),1,0))</f>
        <v/>
      </c>
      <c r="AK26" s="13" t="str">
        <f>IF(OR(D26="",Results!D16=""),"",IF(AND(D26=Results!D16,Results!D16&lt;&gt;Games!$C$150),1,0))</f>
        <v/>
      </c>
      <c r="AL26" s="13" t="str">
        <f>IF(OR(E26="",Results!E16=""),"",IF(AND(E26=Results!E16,Results!E16&lt;&gt;Games!$C$151),1,0))</f>
        <v/>
      </c>
      <c r="AM26" s="13" t="str">
        <f>IF(OR(F26="",Results!F16=""),"",IF(AND(F26=Results!F16,Results!F16&lt;&gt;Games!$C$152),1,0))</f>
        <v/>
      </c>
      <c r="AN26" s="13" t="str">
        <f>IF(OR(G26="",Results!G16=""),"",IF(AND(G26=Results!G16,Results!G16&lt;&gt;Games!$C$153),1,0))</f>
        <v/>
      </c>
      <c r="AO26" s="13" t="str">
        <f>IF(OR(H26="",Results!H16=""),"",IF(AND(H26=Results!H16,Results!H16&lt;&gt;Games!$C$154),1,0))</f>
        <v/>
      </c>
      <c r="AP26" s="13" t="str">
        <f>IF(OR(I26="",Results!I16=""),"",IF(AND(I26=Results!I16,Results!I16&lt;&gt;Games!$C$155),1,0))</f>
        <v/>
      </c>
      <c r="AQ26" s="13" t="str">
        <f>IF(OR(J26="",Results!J16=""),"",IF(AND(J26=Results!J16,Results!J16&lt;&gt;Games!$C$156),1,0))</f>
        <v/>
      </c>
      <c r="AR26" s="13" t="str">
        <f>IF(OR(K26="",Results!K16=""),"",IF(AND(K26=Results!K16,Results!K16&lt;&gt;Games!$C$157),1,0))</f>
        <v/>
      </c>
      <c r="AS26" s="13" t="str">
        <f>IF(OR(L26="",Results!L16=""),"",IF(AND(L26=Results!L16,Results!L16&lt;&gt;Games!$C$158),1,0))</f>
        <v/>
      </c>
      <c r="AT26" s="13" t="str">
        <f>IF(OR(M26="",Results!M16=""),"",IF(AND(M26=Results!M16,Results!M16&lt;&gt;Games!$C$159),1,0))</f>
        <v/>
      </c>
      <c r="AU26" s="13" t="str">
        <f>IF(OR(N26="",Results!N16=""),"",IF(AND(N26=Results!N16,Results!N16&lt;&gt;Games!$C$160),1,0))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 t="str">
        <f>IF(OR(B27="",Results!B16=""),"",IF(B27=Results!B16,1+IF(OR($O27=1,$P27=1,$Q27=1),1,0),0))</f>
        <v/>
      </c>
      <c r="T27" s="4" t="str">
        <f>IF(OR(C27="",Results!C16=""),"",IF(C27=Results!C16,1+IF(OR($O27=2,$P27=2,$Q27=2),1,0),0))</f>
        <v/>
      </c>
      <c r="U27" s="4" t="str">
        <f>IF(OR(D27="",Results!D16=""),"",IF(D27=Results!D16,1+IF(OR($O27=3,$P27=3,$Q27=3),1,0),0))</f>
        <v/>
      </c>
      <c r="V27" s="4" t="str">
        <f>IF(OR(E27="",Results!E16=""),"",IF(E27=Results!E16,1+IF(OR($O27=4,$P27=4,$Q27=4),1,0),0))</f>
        <v/>
      </c>
      <c r="W27" s="4" t="str">
        <f>IF(OR(F27="",Results!F16=""),"",IF(F27=Results!F16,1+IF(OR($O27=5,$P27=5,$Q27=5),1,0),0))</f>
        <v/>
      </c>
      <c r="X27" s="4" t="str">
        <f>IF(OR(G27="",Results!G16=""),"",IF(G27=Results!G16,1+IF(OR($O27=6,$P27=6,$Q27=6),1,0),0))</f>
        <v/>
      </c>
      <c r="Y27" s="4" t="str">
        <f>IF(OR(H27="",Results!H16=""),"",IF(H27=Results!H16,1+IF(OR($O27=7,$P27=7,$Q27=7),1,0),0))</f>
        <v/>
      </c>
      <c r="Z27" s="4" t="str">
        <f>IF(OR(I27="",Results!I16=""),"",IF(I27=Results!I16,1+IF(OR($O27=8,$P27=8,$Q27=8),1,0),0))</f>
        <v/>
      </c>
      <c r="AA27" s="4" t="str">
        <f>IF(OR(J27="",Results!J16=""),"",IF(J27=Results!J16,1+IF(OR($O27=9,$P27=9,$Q27=9),1,0),0))</f>
        <v/>
      </c>
      <c r="AB27" s="4" t="str">
        <f>IF(OR(K27="",Results!K16=""),"",IF(K27=Results!K16,1+IF(OR($O27=10,$P27=10,$Q27=10),1,0),0))</f>
        <v/>
      </c>
      <c r="AC27" s="4" t="str">
        <f>IF(OR(L27="",Results!L16=""),"",IF(L27=Results!L16,1+IF(OR($O27=11,$P27=11,$Q27=11),1,0),0))</f>
        <v/>
      </c>
      <c r="AD27" s="4" t="str">
        <f>IF(OR(M27="",Results!M16=""),"",IF(M27=Results!M16,1+IF(OR($O27=12,$P27=12,$Q27=12),1,0),0))</f>
        <v/>
      </c>
      <c r="AE27" s="4" t="str">
        <f>IF(OR(N27="",Results!N16=""),"",IF(N27=Results!N16,1+IF(OR($O27=13,$P27=13,$Q27=13),1,0),0))</f>
        <v/>
      </c>
      <c r="AF27" s="11">
        <f t="shared" si="0"/>
        <v>0</v>
      </c>
      <c r="AG27" s="4" t="str">
        <f>IF(OR($R27="",Results!O16=""),"",ABS($R27-Results!O16))</f>
        <v/>
      </c>
      <c r="AH27" s="12">
        <v>38</v>
      </c>
      <c r="AI27" s="13" t="str">
        <f>IF(OR(B27="",Results!B16=""),"",IF(AND(B27=Results!B16,Results!B16&lt;&gt;Games!$C$148),1,0))</f>
        <v/>
      </c>
      <c r="AJ27" s="13" t="str">
        <f>IF(OR(C27="",Results!C16=""),"",IF(AND(C27=Results!C16,Results!C16&lt;&gt;Games!$C$149),1,0))</f>
        <v/>
      </c>
      <c r="AK27" s="13" t="str">
        <f>IF(OR(D27="",Results!D16=""),"",IF(AND(D27=Results!D16,Results!D16&lt;&gt;Games!$C$150),1,0))</f>
        <v/>
      </c>
      <c r="AL27" s="13" t="str">
        <f>IF(OR(E27="",Results!E16=""),"",IF(AND(E27=Results!E16,Results!E16&lt;&gt;Games!$C$151),1,0))</f>
        <v/>
      </c>
      <c r="AM27" s="13" t="str">
        <f>IF(OR(F27="",Results!F16=""),"",IF(AND(F27=Results!F16,Results!F16&lt;&gt;Games!$C$152),1,0))</f>
        <v/>
      </c>
      <c r="AN27" s="13" t="str">
        <f>IF(OR(G27="",Results!G16=""),"",IF(AND(G27=Results!G16,Results!G16&lt;&gt;Games!$C$153),1,0))</f>
        <v/>
      </c>
      <c r="AO27" s="13" t="str">
        <f>IF(OR(H27="",Results!H16=""),"",IF(AND(H27=Results!H16,Results!H16&lt;&gt;Games!$C$154),1,0))</f>
        <v/>
      </c>
      <c r="AP27" s="13" t="str">
        <f>IF(OR(I27="",Results!I16=""),"",IF(AND(I27=Results!I16,Results!I16&lt;&gt;Games!$C$155),1,0))</f>
        <v/>
      </c>
      <c r="AQ27" s="13" t="str">
        <f>IF(OR(J27="",Results!J16=""),"",IF(AND(J27=Results!J16,Results!J16&lt;&gt;Games!$C$156),1,0))</f>
        <v/>
      </c>
      <c r="AR27" s="13" t="str">
        <f>IF(OR(K27="",Results!K16=""),"",IF(AND(K27=Results!K16,Results!K16&lt;&gt;Games!$C$157),1,0))</f>
        <v/>
      </c>
      <c r="AS27" s="13" t="str">
        <f>IF(OR(L27="",Results!L16=""),"",IF(AND(L27=Results!L16,Results!L16&lt;&gt;Games!$C$158),1,0))</f>
        <v/>
      </c>
      <c r="AT27" s="13" t="str">
        <f>IF(OR(M27="",Results!M16=""),"",IF(AND(M27=Results!M16,Results!M16&lt;&gt;Games!$C$159),1,0))</f>
        <v/>
      </c>
      <c r="AU27" s="13" t="str">
        <f>IF(OR(N27="",Results!N16=""),"",IF(AND(N27=Results!N16,Results!N16&lt;&gt;Games!$C$160),1,0))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IF(OR(B28="",Results!B16=""),"",IF(B28=Results!B16,1+IF(OR($O28=1,$P28=1,$Q28=1),1,0),0))</f>
        <v/>
      </c>
      <c r="T28" s="4" t="str">
        <f>IF(OR(C28="",Results!C16=""),"",IF(C28=Results!C16,1+IF(OR($O28=2,$P28=2,$Q28=2),1,0),0))</f>
        <v/>
      </c>
      <c r="U28" s="4" t="str">
        <f>IF(OR(D28="",Results!D16=""),"",IF(D28=Results!D16,1+IF(OR($O28=3,$P28=3,$Q28=3),1,0),0))</f>
        <v/>
      </c>
      <c r="V28" s="4" t="str">
        <f>IF(OR(E28="",Results!E16=""),"",IF(E28=Results!E16,1+IF(OR($O28=4,$P28=4,$Q28=4),1,0),0))</f>
        <v/>
      </c>
      <c r="W28" s="4" t="str">
        <f>IF(OR(F28="",Results!F16=""),"",IF(F28=Results!F16,1+IF(OR($O28=5,$P28=5,$Q28=5),1,0),0))</f>
        <v/>
      </c>
      <c r="X28" s="4" t="str">
        <f>IF(OR(G28="",Results!G16=""),"",IF(G28=Results!G16,1+IF(OR($O28=6,$P28=6,$Q28=6),1,0),0))</f>
        <v/>
      </c>
      <c r="Y28" s="4" t="str">
        <f>IF(OR(H28="",Results!H16=""),"",IF(H28=Results!H16,1+IF(OR($O28=7,$P28=7,$Q28=7),1,0),0))</f>
        <v/>
      </c>
      <c r="Z28" s="4" t="str">
        <f>IF(OR(I28="",Results!I16=""),"",IF(I28=Results!I16,1+IF(OR($O28=8,$P28=8,$Q28=8),1,0),0))</f>
        <v/>
      </c>
      <c r="AA28" s="4" t="str">
        <f>IF(OR(J28="",Results!J16=""),"",IF(J28=Results!J16,1+IF(OR($O28=9,$P28=9,$Q28=9),1,0),0))</f>
        <v/>
      </c>
      <c r="AB28" s="4" t="str">
        <f>IF(OR(K28="",Results!K16=""),"",IF(K28=Results!K16,1+IF(OR($O28=10,$P28=10,$Q28=10),1,0),0))</f>
        <v/>
      </c>
      <c r="AC28" s="4" t="str">
        <f>IF(OR(L28="",Results!L16=""),"",IF(L28=Results!L16,1+IF(OR($O28=11,$P28=11,$Q28=11),1,0),0))</f>
        <v/>
      </c>
      <c r="AD28" s="4" t="str">
        <f>IF(OR(M28="",Results!M16=""),"",IF(M28=Results!M16,1+IF(OR($O28=12,$P28=12,$Q28=12),1,0),0))</f>
        <v/>
      </c>
      <c r="AE28" s="4" t="str">
        <f>IF(OR(N28="",Results!N16=""),"",IF(N28=Results!N16,1+IF(OR($O28=13,$P28=13,$Q28=13),1,0),0))</f>
        <v/>
      </c>
      <c r="AF28" s="11">
        <f t="shared" si="0"/>
        <v>0</v>
      </c>
      <c r="AG28" s="4" t="str">
        <f>IF(OR($R28="",Results!O16=""),"",ABS($R28-Results!O16))</f>
        <v/>
      </c>
      <c r="AH28" s="12">
        <v>60</v>
      </c>
      <c r="AI28" s="13" t="str">
        <f>IF(OR(B28="",Results!B16=""),"",IF(AND(B28=Results!B16,Results!B16&lt;&gt;Games!$C$148),1,0))</f>
        <v/>
      </c>
      <c r="AJ28" s="13" t="str">
        <f>IF(OR(C28="",Results!C16=""),"",IF(AND(C28=Results!C16,Results!C16&lt;&gt;Games!$C$149),1,0))</f>
        <v/>
      </c>
      <c r="AK28" s="13" t="str">
        <f>IF(OR(D28="",Results!D16=""),"",IF(AND(D28=Results!D16,Results!D16&lt;&gt;Games!$C$150),1,0))</f>
        <v/>
      </c>
      <c r="AL28" s="13" t="str">
        <f>IF(OR(E28="",Results!E16=""),"",IF(AND(E28=Results!E16,Results!E16&lt;&gt;Games!$C$151),1,0))</f>
        <v/>
      </c>
      <c r="AM28" s="13" t="str">
        <f>IF(OR(F28="",Results!F16=""),"",IF(AND(F28=Results!F16,Results!F16&lt;&gt;Games!$C$152),1,0))</f>
        <v/>
      </c>
      <c r="AN28" s="13" t="str">
        <f>IF(OR(G28="",Results!G16=""),"",IF(AND(G28=Results!G16,Results!G16&lt;&gt;Games!$C$153),1,0))</f>
        <v/>
      </c>
      <c r="AO28" s="13" t="str">
        <f>IF(OR(H28="",Results!H16=""),"",IF(AND(H28=Results!H16,Results!H16&lt;&gt;Games!$C$154),1,0))</f>
        <v/>
      </c>
      <c r="AP28" s="13" t="str">
        <f>IF(OR(I28="",Results!I16=""),"",IF(AND(I28=Results!I16,Results!I16&lt;&gt;Games!$C$155),1,0))</f>
        <v/>
      </c>
      <c r="AQ28" s="13" t="str">
        <f>IF(OR(J28="",Results!J16=""),"",IF(AND(J28=Results!J16,Results!J16&lt;&gt;Games!$C$156),1,0))</f>
        <v/>
      </c>
      <c r="AR28" s="13" t="str">
        <f>IF(OR(K28="",Results!K16=""),"",IF(AND(K28=Results!K16,Results!K16&lt;&gt;Games!$C$157),1,0))</f>
        <v/>
      </c>
      <c r="AS28" s="13" t="str">
        <f>IF(OR(L28="",Results!L16=""),"",IF(AND(L28=Results!L16,Results!L16&lt;&gt;Games!$C$158),1,0))</f>
        <v/>
      </c>
      <c r="AT28" s="13" t="str">
        <f>IF(OR(M28="",Results!M16=""),"",IF(AND(M28=Results!M16,Results!M16&lt;&gt;Games!$C$159),1,0))</f>
        <v/>
      </c>
      <c r="AU28" s="13" t="str">
        <f>IF(OR(N28="",Results!N16=""),"",IF(AND(N28=Results!N16,Results!N16&lt;&gt;Games!$C$160),1,0))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IF(OR(B29="",Results!B16=""),"",IF(B29=Results!B16,1+IF(OR($O29=1,$P29=1,$Q29=1),1,0),0))</f>
        <v/>
      </c>
      <c r="T29" s="4" t="str">
        <f>IF(OR(C29="",Results!C16=""),"",IF(C29=Results!C16,1+IF(OR($O29=2,$P29=2,$Q29=2),1,0),0))</f>
        <v/>
      </c>
      <c r="U29" s="4" t="str">
        <f>IF(OR(D29="",Results!D16=""),"",IF(D29=Results!D16,1+IF(OR($O29=3,$P29=3,$Q29=3),1,0),0))</f>
        <v/>
      </c>
      <c r="V29" s="4" t="str">
        <f>IF(OR(E29="",Results!E16=""),"",IF(E29=Results!E16,1+IF(OR($O29=4,$P29=4,$Q29=4),1,0),0))</f>
        <v/>
      </c>
      <c r="W29" s="4" t="str">
        <f>IF(OR(F29="",Results!F16=""),"",IF(F29=Results!F16,1+IF(OR($O29=5,$P29=5,$Q29=5),1,0),0))</f>
        <v/>
      </c>
      <c r="X29" s="4" t="str">
        <f>IF(OR(G29="",Results!G16=""),"",IF(G29=Results!G16,1+IF(OR($O29=6,$P29=6,$Q29=6),1,0),0))</f>
        <v/>
      </c>
      <c r="Y29" s="4" t="str">
        <f>IF(OR(H29="",Results!H16=""),"",IF(H29=Results!H16,1+IF(OR($O29=7,$P29=7,$Q29=7),1,0),0))</f>
        <v/>
      </c>
      <c r="Z29" s="4" t="str">
        <f>IF(OR(I29="",Results!I16=""),"",IF(I29=Results!I16,1+IF(OR($O29=8,$P29=8,$Q29=8),1,0),0))</f>
        <v/>
      </c>
      <c r="AA29" s="4" t="str">
        <f>IF(OR(J29="",Results!J16=""),"",IF(J29=Results!J16,1+IF(OR($O29=9,$P29=9,$Q29=9),1,0),0))</f>
        <v/>
      </c>
      <c r="AB29" s="4" t="str">
        <f>IF(OR(K29="",Results!K16=""),"",IF(K29=Results!K16,1+IF(OR($O29=10,$P29=10,$Q29=10),1,0),0))</f>
        <v/>
      </c>
      <c r="AC29" s="4" t="str">
        <f>IF(OR(L29="",Results!L16=""),"",IF(L29=Results!L16,1+IF(OR($O29=11,$P29=11,$Q29=11),1,0),0))</f>
        <v/>
      </c>
      <c r="AD29" s="4" t="str">
        <f>IF(OR(M29="",Results!M16=""),"",IF(M29=Results!M16,1+IF(OR($O29=12,$P29=12,$Q29=12),1,0),0))</f>
        <v/>
      </c>
      <c r="AE29" s="4" t="str">
        <f>IF(OR(N29="",Results!N16=""),"",IF(N29=Results!N16,1+IF(OR($O29=13,$P29=13,$Q29=13),1,0),0))</f>
        <v/>
      </c>
      <c r="AF29" s="11">
        <f t="shared" si="0"/>
        <v>0</v>
      </c>
      <c r="AG29" s="4" t="str">
        <f>IF(OR($R29="",Results!O16=""),"",ABS($R29-Results!O16))</f>
        <v/>
      </c>
      <c r="AH29" s="12">
        <v>11</v>
      </c>
      <c r="AI29" s="13" t="str">
        <f>IF(OR(B29="",Results!B16=""),"",IF(AND(B29=Results!B16,Results!B16&lt;&gt;Games!$C$148),1,0))</f>
        <v/>
      </c>
      <c r="AJ29" s="13" t="str">
        <f>IF(OR(C29="",Results!C16=""),"",IF(AND(C29=Results!C16,Results!C16&lt;&gt;Games!$C$149),1,0))</f>
        <v/>
      </c>
      <c r="AK29" s="13" t="str">
        <f>IF(OR(D29="",Results!D16=""),"",IF(AND(D29=Results!D16,Results!D16&lt;&gt;Games!$C$150),1,0))</f>
        <v/>
      </c>
      <c r="AL29" s="13" t="str">
        <f>IF(OR(E29="",Results!E16=""),"",IF(AND(E29=Results!E16,Results!E16&lt;&gt;Games!$C$151),1,0))</f>
        <v/>
      </c>
      <c r="AM29" s="13" t="str">
        <f>IF(OR(F29="",Results!F16=""),"",IF(AND(F29=Results!F16,Results!F16&lt;&gt;Games!$C$152),1,0))</f>
        <v/>
      </c>
      <c r="AN29" s="13" t="str">
        <f>IF(OR(G29="",Results!G16=""),"",IF(AND(G29=Results!G16,Results!G16&lt;&gt;Games!$C$153),1,0))</f>
        <v/>
      </c>
      <c r="AO29" s="13" t="str">
        <f>IF(OR(H29="",Results!H16=""),"",IF(AND(H29=Results!H16,Results!H16&lt;&gt;Games!$C$154),1,0))</f>
        <v/>
      </c>
      <c r="AP29" s="13" t="str">
        <f>IF(OR(I29="",Results!I16=""),"",IF(AND(I29=Results!I16,Results!I16&lt;&gt;Games!$C$155),1,0))</f>
        <v/>
      </c>
      <c r="AQ29" s="13" t="str">
        <f>IF(OR(J29="",Results!J16=""),"",IF(AND(J29=Results!J16,Results!J16&lt;&gt;Games!$C$156),1,0))</f>
        <v/>
      </c>
      <c r="AR29" s="13" t="str">
        <f>IF(OR(K29="",Results!K16=""),"",IF(AND(K29=Results!K16,Results!K16&lt;&gt;Games!$C$157),1,0))</f>
        <v/>
      </c>
      <c r="AS29" s="13" t="str">
        <f>IF(OR(L29="",Results!L16=""),"",IF(AND(L29=Results!L16,Results!L16&lt;&gt;Games!$C$158),1,0))</f>
        <v/>
      </c>
      <c r="AT29" s="13" t="str">
        <f>IF(OR(M29="",Results!M16=""),"",IF(AND(M29=Results!M16,Results!M16&lt;&gt;Games!$C$159),1,0))</f>
        <v/>
      </c>
      <c r="AU29" s="13" t="str">
        <f>IF(OR(N29="",Results!N16=""),"",IF(AND(N29=Results!N16,Results!N16&lt;&gt;Games!$C$160),1,0))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 t="str">
        <f>IF(OR(B30="",Results!B16=""),"",IF(B30=Results!B16,1+IF(OR($O30=1,$P30=1,$Q30=1),1,0),0))</f>
        <v/>
      </c>
      <c r="T30" s="4" t="str">
        <f>IF(OR(C30="",Results!C16=""),"",IF(C30=Results!C16,1+IF(OR($O30=2,$P30=2,$Q30=2),1,0),0))</f>
        <v/>
      </c>
      <c r="U30" s="4" t="str">
        <f>IF(OR(D30="",Results!D16=""),"",IF(D30=Results!D16,1+IF(OR($O30=3,$P30=3,$Q30=3),1,0),0))</f>
        <v/>
      </c>
      <c r="V30" s="4" t="str">
        <f>IF(OR(E30="",Results!E16=""),"",IF(E30=Results!E16,1+IF(OR($O30=4,$P30=4,$Q30=4),1,0),0))</f>
        <v/>
      </c>
      <c r="W30" s="4" t="str">
        <f>IF(OR(F30="",Results!F16=""),"",IF(F30=Results!F16,1+IF(OR($O30=5,$P30=5,$Q30=5),1,0),0))</f>
        <v/>
      </c>
      <c r="X30" s="4" t="str">
        <f>IF(OR(G30="",Results!G16=""),"",IF(G30=Results!G16,1+IF(OR($O30=6,$P30=6,$Q30=6),1,0),0))</f>
        <v/>
      </c>
      <c r="Y30" s="4" t="str">
        <f>IF(OR(H30="",Results!H16=""),"",IF(H30=Results!H16,1+IF(OR($O30=7,$P30=7,$Q30=7),1,0),0))</f>
        <v/>
      </c>
      <c r="Z30" s="4" t="str">
        <f>IF(OR(I30="",Results!I16=""),"",IF(I30=Results!I16,1+IF(OR($O30=8,$P30=8,$Q30=8),1,0),0))</f>
        <v/>
      </c>
      <c r="AA30" s="4" t="str">
        <f>IF(OR(J30="",Results!J16=""),"",IF(J30=Results!J16,1+IF(OR($O30=9,$P30=9,$Q30=9),1,0),0))</f>
        <v/>
      </c>
      <c r="AB30" s="4" t="str">
        <f>IF(OR(K30="",Results!K16=""),"",IF(K30=Results!K16,1+IF(OR($O30=10,$P30=10,$Q30=10),1,0),0))</f>
        <v/>
      </c>
      <c r="AC30" s="4" t="str">
        <f>IF(OR(L30="",Results!L16=""),"",IF(L30=Results!L16,1+IF(OR($O30=11,$P30=11,$Q30=11),1,0),0))</f>
        <v/>
      </c>
      <c r="AD30" s="4" t="str">
        <f>IF(OR(M30="",Results!M16=""),"",IF(M30=Results!M16,1+IF(OR($O30=12,$P30=12,$Q30=12),1,0),0))</f>
        <v/>
      </c>
      <c r="AE30" s="4" t="str">
        <f>IF(OR(N30="",Results!N16=""),"",IF(N30=Results!N16,1+IF(OR($O30=13,$P30=13,$Q30=13),1,0),0))</f>
        <v/>
      </c>
      <c r="AF30" s="11">
        <f t="shared" si="0"/>
        <v>0</v>
      </c>
      <c r="AG30" s="4" t="str">
        <f>IF(OR($R30="",Results!O16=""),"",ABS($R30-Results!O16))</f>
        <v/>
      </c>
      <c r="AH30" s="12">
        <v>12</v>
      </c>
      <c r="AI30" s="13" t="str">
        <f>IF(OR(B30="",Results!B16=""),"",IF(AND(B30=Results!B16,Results!B16&lt;&gt;Games!$C$148),1,0))</f>
        <v/>
      </c>
      <c r="AJ30" s="13" t="str">
        <f>IF(OR(C30="",Results!C16=""),"",IF(AND(C30=Results!C16,Results!C16&lt;&gt;Games!$C$149),1,0))</f>
        <v/>
      </c>
      <c r="AK30" s="13" t="str">
        <f>IF(OR(D30="",Results!D16=""),"",IF(AND(D30=Results!D16,Results!D16&lt;&gt;Games!$C$150),1,0))</f>
        <v/>
      </c>
      <c r="AL30" s="13" t="str">
        <f>IF(OR(E30="",Results!E16=""),"",IF(AND(E30=Results!E16,Results!E16&lt;&gt;Games!$C$151),1,0))</f>
        <v/>
      </c>
      <c r="AM30" s="13" t="str">
        <f>IF(OR(F30="",Results!F16=""),"",IF(AND(F30=Results!F16,Results!F16&lt;&gt;Games!$C$152),1,0))</f>
        <v/>
      </c>
      <c r="AN30" s="13" t="str">
        <f>IF(OR(G30="",Results!G16=""),"",IF(AND(G30=Results!G16,Results!G16&lt;&gt;Games!$C$153),1,0))</f>
        <v/>
      </c>
      <c r="AO30" s="13" t="str">
        <f>IF(OR(H30="",Results!H16=""),"",IF(AND(H30=Results!H16,Results!H16&lt;&gt;Games!$C$154),1,0))</f>
        <v/>
      </c>
      <c r="AP30" s="13" t="str">
        <f>IF(OR(I30="",Results!I16=""),"",IF(AND(I30=Results!I16,Results!I16&lt;&gt;Games!$C$155),1,0))</f>
        <v/>
      </c>
      <c r="AQ30" s="13" t="str">
        <f>IF(OR(J30="",Results!J16=""),"",IF(AND(J30=Results!J16,Results!J16&lt;&gt;Games!$C$156),1,0))</f>
        <v/>
      </c>
      <c r="AR30" s="13" t="str">
        <f>IF(OR(K30="",Results!K16=""),"",IF(AND(K30=Results!K16,Results!K16&lt;&gt;Games!$C$157),1,0))</f>
        <v/>
      </c>
      <c r="AS30" s="13" t="str">
        <f>IF(OR(L30="",Results!L16=""),"",IF(AND(L30=Results!L16,Results!L16&lt;&gt;Games!$C$158),1,0))</f>
        <v/>
      </c>
      <c r="AT30" s="13" t="str">
        <f>IF(OR(M30="",Results!M16=""),"",IF(AND(M30=Results!M16,Results!M16&lt;&gt;Games!$C$159),1,0))</f>
        <v/>
      </c>
      <c r="AU30" s="13" t="str">
        <f>IF(OR(N30="",Results!N16=""),"",IF(AND(N30=Results!N16,Results!N16&lt;&gt;Games!$C$160),1,0))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IF(OR(B31="",Results!B16=""),"",IF(B31=Results!B16,1+IF(OR($O31=1,$P31=1,$Q31=1),1,0),0))</f>
        <v/>
      </c>
      <c r="T31" s="4" t="str">
        <f>IF(OR(C31="",Results!C16=""),"",IF(C31=Results!C16,1+IF(OR($O31=2,$P31=2,$Q31=2),1,0),0))</f>
        <v/>
      </c>
      <c r="U31" s="4" t="str">
        <f>IF(OR(D31="",Results!D16=""),"",IF(D31=Results!D16,1+IF(OR($O31=3,$P31=3,$Q31=3),1,0),0))</f>
        <v/>
      </c>
      <c r="V31" s="4" t="str">
        <f>IF(OR(E31="",Results!E16=""),"",IF(E31=Results!E16,1+IF(OR($O31=4,$P31=4,$Q31=4),1,0),0))</f>
        <v/>
      </c>
      <c r="W31" s="4" t="str">
        <f>IF(OR(F31="",Results!F16=""),"",IF(F31=Results!F16,1+IF(OR($O31=5,$P31=5,$Q31=5),1,0),0))</f>
        <v/>
      </c>
      <c r="X31" s="4" t="str">
        <f>IF(OR(G31="",Results!G16=""),"",IF(G31=Results!G16,1+IF(OR($O31=6,$P31=6,$Q31=6),1,0),0))</f>
        <v/>
      </c>
      <c r="Y31" s="4" t="str">
        <f>IF(OR(H31="",Results!H16=""),"",IF(H31=Results!H16,1+IF(OR($O31=7,$P31=7,$Q31=7),1,0),0))</f>
        <v/>
      </c>
      <c r="Z31" s="4" t="str">
        <f>IF(OR(I31="",Results!I16=""),"",IF(I31=Results!I16,1+IF(OR($O31=8,$P31=8,$Q31=8),1,0),0))</f>
        <v/>
      </c>
      <c r="AA31" s="4" t="str">
        <f>IF(OR(J31="",Results!J16=""),"",IF(J31=Results!J16,1+IF(OR($O31=9,$P31=9,$Q31=9),1,0),0))</f>
        <v/>
      </c>
      <c r="AB31" s="4" t="str">
        <f>IF(OR(K31="",Results!K16=""),"",IF(K31=Results!K16,1+IF(OR($O31=10,$P31=10,$Q31=10),1,0),0))</f>
        <v/>
      </c>
      <c r="AC31" s="4" t="str">
        <f>IF(OR(L31="",Results!L16=""),"",IF(L31=Results!L16,1+IF(OR($O31=11,$P31=11,$Q31=11),1,0),0))</f>
        <v/>
      </c>
      <c r="AD31" s="4" t="str">
        <f>IF(OR(M31="",Results!M16=""),"",IF(M31=Results!M16,1+IF(OR($O31=12,$P31=12,$Q31=12),1,0),0))</f>
        <v/>
      </c>
      <c r="AE31" s="4" t="str">
        <f>IF(OR(N31="",Results!N16=""),"",IF(N31=Results!N16,1+IF(OR($O31=13,$P31=13,$Q31=13),1,0),0))</f>
        <v/>
      </c>
      <c r="AF31" s="11">
        <f t="shared" si="0"/>
        <v>0</v>
      </c>
      <c r="AG31" s="4" t="str">
        <f>IF(OR($R31="",Results!O16=""),"",ABS($R31-Results!O16))</f>
        <v/>
      </c>
      <c r="AH31" s="12">
        <v>13</v>
      </c>
      <c r="AI31" s="13" t="str">
        <f>IF(OR(B31="",Results!B16=""),"",IF(AND(B31=Results!B16,Results!B16&lt;&gt;Games!$C$148),1,0))</f>
        <v/>
      </c>
      <c r="AJ31" s="13" t="str">
        <f>IF(OR(C31="",Results!C16=""),"",IF(AND(C31=Results!C16,Results!C16&lt;&gt;Games!$C$149),1,0))</f>
        <v/>
      </c>
      <c r="AK31" s="13" t="str">
        <f>IF(OR(D31="",Results!D16=""),"",IF(AND(D31=Results!D16,Results!D16&lt;&gt;Games!$C$150),1,0))</f>
        <v/>
      </c>
      <c r="AL31" s="13" t="str">
        <f>IF(OR(E31="",Results!E16=""),"",IF(AND(E31=Results!E16,Results!E16&lt;&gt;Games!$C$151),1,0))</f>
        <v/>
      </c>
      <c r="AM31" s="13" t="str">
        <f>IF(OR(F31="",Results!F16=""),"",IF(AND(F31=Results!F16,Results!F16&lt;&gt;Games!$C$152),1,0))</f>
        <v/>
      </c>
      <c r="AN31" s="13" t="str">
        <f>IF(OR(G31="",Results!G16=""),"",IF(AND(G31=Results!G16,Results!G16&lt;&gt;Games!$C$153),1,0))</f>
        <v/>
      </c>
      <c r="AO31" s="13" t="str">
        <f>IF(OR(H31="",Results!H16=""),"",IF(AND(H31=Results!H16,Results!H16&lt;&gt;Games!$C$154),1,0))</f>
        <v/>
      </c>
      <c r="AP31" s="13" t="str">
        <f>IF(OR(I31="",Results!I16=""),"",IF(AND(I31=Results!I16,Results!I16&lt;&gt;Games!$C$155),1,0))</f>
        <v/>
      </c>
      <c r="AQ31" s="13" t="str">
        <f>IF(OR(J31="",Results!J16=""),"",IF(AND(J31=Results!J16,Results!J16&lt;&gt;Games!$C$156),1,0))</f>
        <v/>
      </c>
      <c r="AR31" s="13" t="str">
        <f>IF(OR(K31="",Results!K16=""),"",IF(AND(K31=Results!K16,Results!K16&lt;&gt;Games!$C$157),1,0))</f>
        <v/>
      </c>
      <c r="AS31" s="13" t="str">
        <f>IF(OR(L31="",Results!L16=""),"",IF(AND(L31=Results!L16,Results!L16&lt;&gt;Games!$C$158),1,0))</f>
        <v/>
      </c>
      <c r="AT31" s="13" t="str">
        <f>IF(OR(M31="",Results!M16=""),"",IF(AND(M31=Results!M16,Results!M16&lt;&gt;Games!$C$159),1,0))</f>
        <v/>
      </c>
      <c r="AU31" s="13" t="str">
        <f>IF(OR(N31="",Results!N16=""),"",IF(AND(N31=Results!N16,Results!N16&lt;&gt;Games!$C$160),1,0))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IF(OR(B32="",Results!B16=""),"",IF(B32=Results!B16,1+IF(OR($O32=1,$P32=1,$Q32=1),1,0),0))</f>
        <v/>
      </c>
      <c r="T32" s="4" t="str">
        <f>IF(OR(C32="",Results!C16=""),"",IF(C32=Results!C16,1+IF(OR($O32=2,$P32=2,$Q32=2),1,0),0))</f>
        <v/>
      </c>
      <c r="U32" s="4" t="str">
        <f>IF(OR(D32="",Results!D16=""),"",IF(D32=Results!D16,1+IF(OR($O32=3,$P32=3,$Q32=3),1,0),0))</f>
        <v/>
      </c>
      <c r="V32" s="4" t="str">
        <f>IF(OR(E32="",Results!E16=""),"",IF(E32=Results!E16,1+IF(OR($O32=4,$P32=4,$Q32=4),1,0),0))</f>
        <v/>
      </c>
      <c r="W32" s="4" t="str">
        <f>IF(OR(F32="",Results!F16=""),"",IF(F32=Results!F16,1+IF(OR($O32=5,$P32=5,$Q32=5),1,0),0))</f>
        <v/>
      </c>
      <c r="X32" s="4" t="str">
        <f>IF(OR(G32="",Results!G16=""),"",IF(G32=Results!G16,1+IF(OR($O32=6,$P32=6,$Q32=6),1,0),0))</f>
        <v/>
      </c>
      <c r="Y32" s="4" t="str">
        <f>IF(OR(H32="",Results!H16=""),"",IF(H32=Results!H16,1+IF(OR($O32=7,$P32=7,$Q32=7),1,0),0))</f>
        <v/>
      </c>
      <c r="Z32" s="4" t="str">
        <f>IF(OR(I32="",Results!I16=""),"",IF(I32=Results!I16,1+IF(OR($O32=8,$P32=8,$Q32=8),1,0),0))</f>
        <v/>
      </c>
      <c r="AA32" s="4" t="str">
        <f>IF(OR(J32="",Results!J16=""),"",IF(J32=Results!J16,1+IF(OR($O32=9,$P32=9,$Q32=9),1,0),0))</f>
        <v/>
      </c>
      <c r="AB32" s="4" t="str">
        <f>IF(OR(K32="",Results!K16=""),"",IF(K32=Results!K16,1+IF(OR($O32=10,$P32=10,$Q32=10),1,0),0))</f>
        <v/>
      </c>
      <c r="AC32" s="4" t="str">
        <f>IF(OR(L32="",Results!L16=""),"",IF(L32=Results!L16,1+IF(OR($O32=11,$P32=11,$Q32=11),1,0),0))</f>
        <v/>
      </c>
      <c r="AD32" s="4" t="str">
        <f>IF(OR(M32="",Results!M16=""),"",IF(M32=Results!M16,1+IF(OR($O32=12,$P32=12,$Q32=12),1,0),0))</f>
        <v/>
      </c>
      <c r="AE32" s="4" t="str">
        <f>IF(OR(N32="",Results!N16=""),"",IF(N32=Results!N16,1+IF(OR($O32=13,$P32=13,$Q32=13),1,0),0))</f>
        <v/>
      </c>
      <c r="AF32" s="11">
        <f t="shared" si="0"/>
        <v>0</v>
      </c>
      <c r="AG32" s="4" t="str">
        <f>IF(OR($R32="",Results!O16=""),"",ABS($R32-Results!O16))</f>
        <v/>
      </c>
      <c r="AH32" s="12">
        <v>14</v>
      </c>
      <c r="AI32" s="13" t="str">
        <f>IF(OR(B32="",Results!B16=""),"",IF(AND(B32=Results!B16,Results!B16&lt;&gt;Games!$C$148),1,0))</f>
        <v/>
      </c>
      <c r="AJ32" s="13" t="str">
        <f>IF(OR(C32="",Results!C16=""),"",IF(AND(C32=Results!C16,Results!C16&lt;&gt;Games!$C$149),1,0))</f>
        <v/>
      </c>
      <c r="AK32" s="13" t="str">
        <f>IF(OR(D32="",Results!D16=""),"",IF(AND(D32=Results!D16,Results!D16&lt;&gt;Games!$C$150),1,0))</f>
        <v/>
      </c>
      <c r="AL32" s="13" t="str">
        <f>IF(OR(E32="",Results!E16=""),"",IF(AND(E32=Results!E16,Results!E16&lt;&gt;Games!$C$151),1,0))</f>
        <v/>
      </c>
      <c r="AM32" s="13" t="str">
        <f>IF(OR(F32="",Results!F16=""),"",IF(AND(F32=Results!F16,Results!F16&lt;&gt;Games!$C$152),1,0))</f>
        <v/>
      </c>
      <c r="AN32" s="13" t="str">
        <f>IF(OR(G32="",Results!G16=""),"",IF(AND(G32=Results!G16,Results!G16&lt;&gt;Games!$C$153),1,0))</f>
        <v/>
      </c>
      <c r="AO32" s="13" t="str">
        <f>IF(OR(H32="",Results!H16=""),"",IF(AND(H32=Results!H16,Results!H16&lt;&gt;Games!$C$154),1,0))</f>
        <v/>
      </c>
      <c r="AP32" s="13" t="str">
        <f>IF(OR(I32="",Results!I16=""),"",IF(AND(I32=Results!I16,Results!I16&lt;&gt;Games!$C$155),1,0))</f>
        <v/>
      </c>
      <c r="AQ32" s="13" t="str">
        <f>IF(OR(J32="",Results!J16=""),"",IF(AND(J32=Results!J16,Results!J16&lt;&gt;Games!$C$156),1,0))</f>
        <v/>
      </c>
      <c r="AR32" s="13" t="str">
        <f>IF(OR(K32="",Results!K16=""),"",IF(AND(K32=Results!K16,Results!K16&lt;&gt;Games!$C$157),1,0))</f>
        <v/>
      </c>
      <c r="AS32" s="13" t="str">
        <f>IF(OR(L32="",Results!L16=""),"",IF(AND(L32=Results!L16,Results!L16&lt;&gt;Games!$C$158),1,0))</f>
        <v/>
      </c>
      <c r="AT32" s="13" t="str">
        <f>IF(OR(M32="",Results!M16=""),"",IF(AND(M32=Results!M16,Results!M16&lt;&gt;Games!$C$159),1,0))</f>
        <v/>
      </c>
      <c r="AU32" s="13" t="str">
        <f>IF(OR(N32="",Results!N16=""),"",IF(AND(N32=Results!N16,Results!N16&lt;&gt;Games!$C$160),1,0))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4" t="str">
        <f>IF(OR(B33="",Results!B16=""),"",IF(B33=Results!B16,1+IF(OR($O33=1,$P33=1,$Q33=1),1,0),0))</f>
        <v/>
      </c>
      <c r="T33" s="4" t="str">
        <f>IF(OR(C33="",Results!C16=""),"",IF(C33=Results!C16,1+IF(OR($O33=2,$P33=2,$Q33=2),1,0),0))</f>
        <v/>
      </c>
      <c r="U33" s="4" t="str">
        <f>IF(OR(D33="",Results!D16=""),"",IF(D33=Results!D16,1+IF(OR($O33=3,$P33=3,$Q33=3),1,0),0))</f>
        <v/>
      </c>
      <c r="V33" s="4" t="str">
        <f>IF(OR(E33="",Results!E16=""),"",IF(E33=Results!E16,1+IF(OR($O33=4,$P33=4,$Q33=4),1,0),0))</f>
        <v/>
      </c>
      <c r="W33" s="4" t="str">
        <f>IF(OR(F33="",Results!F16=""),"",IF(F33=Results!F16,1+IF(OR($O33=5,$P33=5,$Q33=5),1,0),0))</f>
        <v/>
      </c>
      <c r="X33" s="4" t="str">
        <f>IF(OR(G33="",Results!G16=""),"",IF(G33=Results!G16,1+IF(OR($O33=6,$P33=6,$Q33=6),1,0),0))</f>
        <v/>
      </c>
      <c r="Y33" s="4" t="str">
        <f>IF(OR(H33="",Results!H16=""),"",IF(H33=Results!H16,1+IF(OR($O33=7,$P33=7,$Q33=7),1,0),0))</f>
        <v/>
      </c>
      <c r="Z33" s="4" t="str">
        <f>IF(OR(I33="",Results!I16=""),"",IF(I33=Results!I16,1+IF(OR($O33=8,$P33=8,$Q33=8),1,0),0))</f>
        <v/>
      </c>
      <c r="AA33" s="4" t="str">
        <f>IF(OR(J33="",Results!J16=""),"",IF(J33=Results!J16,1+IF(OR($O33=9,$P33=9,$Q33=9),1,0),0))</f>
        <v/>
      </c>
      <c r="AB33" s="4" t="str">
        <f>IF(OR(K33="",Results!K16=""),"",IF(K33=Results!K16,1+IF(OR($O33=10,$P33=10,$Q33=10),1,0),0))</f>
        <v/>
      </c>
      <c r="AC33" s="4" t="str">
        <f>IF(OR(L33="",Results!L16=""),"",IF(L33=Results!L16,1+IF(OR($O33=11,$P33=11,$Q33=11),1,0),0))</f>
        <v/>
      </c>
      <c r="AD33" s="4" t="str">
        <f>IF(OR(M33="",Results!M16=""),"",IF(M33=Results!M16,1+IF(OR($O33=12,$P33=12,$Q33=12),1,0),0))</f>
        <v/>
      </c>
      <c r="AE33" s="4" t="str">
        <f>IF(OR(N33="",Results!N16=""),"",IF(N33=Results!N16,1+IF(OR($O33=13,$P33=13,$Q33=13),1,0),0))</f>
        <v/>
      </c>
      <c r="AF33" s="11">
        <f t="shared" si="0"/>
        <v>0</v>
      </c>
      <c r="AG33" s="4" t="str">
        <f>IF(OR($R33="",Results!O16=""),"",ABS($R33-Results!O16))</f>
        <v/>
      </c>
      <c r="AH33" s="12">
        <v>15</v>
      </c>
      <c r="AI33" s="13" t="str">
        <f>IF(OR(B33="",Results!B16=""),"",IF(AND(B33=Results!B16,Results!B16&lt;&gt;Games!$C$148),1,0))</f>
        <v/>
      </c>
      <c r="AJ33" s="13" t="str">
        <f>IF(OR(C33="",Results!C16=""),"",IF(AND(C33=Results!C16,Results!C16&lt;&gt;Games!$C$149),1,0))</f>
        <v/>
      </c>
      <c r="AK33" s="13" t="str">
        <f>IF(OR(D33="",Results!D16=""),"",IF(AND(D33=Results!D16,Results!D16&lt;&gt;Games!$C$150),1,0))</f>
        <v/>
      </c>
      <c r="AL33" s="13" t="str">
        <f>IF(OR(E33="",Results!E16=""),"",IF(AND(E33=Results!E16,Results!E16&lt;&gt;Games!$C$151),1,0))</f>
        <v/>
      </c>
      <c r="AM33" s="13" t="str">
        <f>IF(OR(F33="",Results!F16=""),"",IF(AND(F33=Results!F16,Results!F16&lt;&gt;Games!$C$152),1,0))</f>
        <v/>
      </c>
      <c r="AN33" s="13" t="str">
        <f>IF(OR(G33="",Results!G16=""),"",IF(AND(G33=Results!G16,Results!G16&lt;&gt;Games!$C$153),1,0))</f>
        <v/>
      </c>
      <c r="AO33" s="13" t="str">
        <f>IF(OR(H33="",Results!H16=""),"",IF(AND(H33=Results!H16,Results!H16&lt;&gt;Games!$C$154),1,0))</f>
        <v/>
      </c>
      <c r="AP33" s="13" t="str">
        <f>IF(OR(I33="",Results!I16=""),"",IF(AND(I33=Results!I16,Results!I16&lt;&gt;Games!$C$155),1,0))</f>
        <v/>
      </c>
      <c r="AQ33" s="13" t="str">
        <f>IF(OR(J33="",Results!J16=""),"",IF(AND(J33=Results!J16,Results!J16&lt;&gt;Games!$C$156),1,0))</f>
        <v/>
      </c>
      <c r="AR33" s="13" t="str">
        <f>IF(OR(K33="",Results!K16=""),"",IF(AND(K33=Results!K16,Results!K16&lt;&gt;Games!$C$157),1,0))</f>
        <v/>
      </c>
      <c r="AS33" s="13" t="str">
        <f>IF(OR(L33="",Results!L16=""),"",IF(AND(L33=Results!L16,Results!L16&lt;&gt;Games!$C$158),1,0))</f>
        <v/>
      </c>
      <c r="AT33" s="13" t="str">
        <f>IF(OR(M33="",Results!M16=""),"",IF(AND(M33=Results!M16,Results!M16&lt;&gt;Games!$C$159),1,0))</f>
        <v/>
      </c>
      <c r="AU33" s="13" t="str">
        <f>IF(OR(N33="",Results!N16=""),"",IF(AND(N33=Results!N16,Results!N16&lt;&gt;Games!$C$160),1,0))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IF(OR(B34="",Results!B16=""),"",IF(B34=Results!B16,1+IF(OR($O34=1,$P34=1,$Q34=1),1,0),0))</f>
        <v/>
      </c>
      <c r="T34" s="4" t="str">
        <f>IF(OR(C34="",Results!C16=""),"",IF(C34=Results!C16,1+IF(OR($O34=2,$P34=2,$Q34=2),1,0),0))</f>
        <v/>
      </c>
      <c r="U34" s="4" t="str">
        <f>IF(OR(D34="",Results!D16=""),"",IF(D34=Results!D16,1+IF(OR($O34=3,$P34=3,$Q34=3),1,0),0))</f>
        <v/>
      </c>
      <c r="V34" s="4" t="str">
        <f>IF(OR(E34="",Results!E16=""),"",IF(E34=Results!E16,1+IF(OR($O34=4,$P34=4,$Q34=4),1,0),0))</f>
        <v/>
      </c>
      <c r="W34" s="4" t="str">
        <f>IF(OR(F34="",Results!F16=""),"",IF(F34=Results!F16,1+IF(OR($O34=5,$P34=5,$Q34=5),1,0),0))</f>
        <v/>
      </c>
      <c r="X34" s="4" t="str">
        <f>IF(OR(G34="",Results!G16=""),"",IF(G34=Results!G16,1+IF(OR($O34=6,$P34=6,$Q34=6),1,0),0))</f>
        <v/>
      </c>
      <c r="Y34" s="4" t="str">
        <f>IF(OR(H34="",Results!H16=""),"",IF(H34=Results!H16,1+IF(OR($O34=7,$P34=7,$Q34=7),1,0),0))</f>
        <v/>
      </c>
      <c r="Z34" s="4" t="str">
        <f>IF(OR(I34="",Results!I16=""),"",IF(I34=Results!I16,1+IF(OR($O34=8,$P34=8,$Q34=8),1,0),0))</f>
        <v/>
      </c>
      <c r="AA34" s="4" t="str">
        <f>IF(OR(J34="",Results!J16=""),"",IF(J34=Results!J16,1+IF(OR($O34=9,$P34=9,$Q34=9),1,0),0))</f>
        <v/>
      </c>
      <c r="AB34" s="4" t="str">
        <f>IF(OR(K34="",Results!K16=""),"",IF(K34=Results!K16,1+IF(OR($O34=10,$P34=10,$Q34=10),1,0),0))</f>
        <v/>
      </c>
      <c r="AC34" s="4" t="str">
        <f>IF(OR(L34="",Results!L16=""),"",IF(L34=Results!L16,1+IF(OR($O34=11,$P34=11,$Q34=11),1,0),0))</f>
        <v/>
      </c>
      <c r="AD34" s="4" t="str">
        <f>IF(OR(M34="",Results!M16=""),"",IF(M34=Results!M16,1+IF(OR($O34=12,$P34=12,$Q34=12),1,0),0))</f>
        <v/>
      </c>
      <c r="AE34" s="4" t="str">
        <f>IF(OR(N34="",Results!N16=""),"",IF(N34=Results!N16,1+IF(OR($O34=13,$P34=13,$Q34=13),1,0),0))</f>
        <v/>
      </c>
      <c r="AF34" s="11">
        <f t="shared" si="0"/>
        <v>0</v>
      </c>
      <c r="AG34" s="4" t="str">
        <f>IF(OR($R34="",Results!O16=""),"",ABS($R34-Results!O16))</f>
        <v/>
      </c>
      <c r="AH34" s="12">
        <v>16</v>
      </c>
      <c r="AI34" s="13" t="str">
        <f>IF(OR(B34="",Results!B16=""),"",IF(AND(B34=Results!B16,Results!B16&lt;&gt;Games!$C$148),1,0))</f>
        <v/>
      </c>
      <c r="AJ34" s="13" t="str">
        <f>IF(OR(C34="",Results!C16=""),"",IF(AND(C34=Results!C16,Results!C16&lt;&gt;Games!$C$149),1,0))</f>
        <v/>
      </c>
      <c r="AK34" s="13" t="str">
        <f>IF(OR(D34="",Results!D16=""),"",IF(AND(D34=Results!D16,Results!D16&lt;&gt;Games!$C$150),1,0))</f>
        <v/>
      </c>
      <c r="AL34" s="13" t="str">
        <f>IF(OR(E34="",Results!E16=""),"",IF(AND(E34=Results!E16,Results!E16&lt;&gt;Games!$C$151),1,0))</f>
        <v/>
      </c>
      <c r="AM34" s="13" t="str">
        <f>IF(OR(F34="",Results!F16=""),"",IF(AND(F34=Results!F16,Results!F16&lt;&gt;Games!$C$152),1,0))</f>
        <v/>
      </c>
      <c r="AN34" s="13" t="str">
        <f>IF(OR(G34="",Results!G16=""),"",IF(AND(G34=Results!G16,Results!G16&lt;&gt;Games!$C$153),1,0))</f>
        <v/>
      </c>
      <c r="AO34" s="13" t="str">
        <f>IF(OR(H34="",Results!H16=""),"",IF(AND(H34=Results!H16,Results!H16&lt;&gt;Games!$C$154),1,0))</f>
        <v/>
      </c>
      <c r="AP34" s="13" t="str">
        <f>IF(OR(I34="",Results!I16=""),"",IF(AND(I34=Results!I16,Results!I16&lt;&gt;Games!$C$155),1,0))</f>
        <v/>
      </c>
      <c r="AQ34" s="13" t="str">
        <f>IF(OR(J34="",Results!J16=""),"",IF(AND(J34=Results!J16,Results!J16&lt;&gt;Games!$C$156),1,0))</f>
        <v/>
      </c>
      <c r="AR34" s="13" t="str">
        <f>IF(OR(K34="",Results!K16=""),"",IF(AND(K34=Results!K16,Results!K16&lt;&gt;Games!$C$157),1,0))</f>
        <v/>
      </c>
      <c r="AS34" s="13" t="str">
        <f>IF(OR(L34="",Results!L16=""),"",IF(AND(L34=Results!L16,Results!L16&lt;&gt;Games!$C$158),1,0))</f>
        <v/>
      </c>
      <c r="AT34" s="13" t="str">
        <f>IF(OR(M34="",Results!M16=""),"",IF(AND(M34=Results!M16,Results!M16&lt;&gt;Games!$C$159),1,0))</f>
        <v/>
      </c>
      <c r="AU34" s="13" t="str">
        <f>IF(OR(N34="",Results!N16=""),"",IF(AND(N34=Results!N16,Results!N16&lt;&gt;Games!$C$160),1,0))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IF(OR(B35="",Results!B16=""),"",IF(B35=Results!B16,1+IF(OR($O35=1,$P35=1,$Q35=1),1,0),0))</f>
        <v/>
      </c>
      <c r="T35" s="4" t="str">
        <f>IF(OR(C35="",Results!C16=""),"",IF(C35=Results!C16,1+IF(OR($O35=2,$P35=2,$Q35=2),1,0),0))</f>
        <v/>
      </c>
      <c r="U35" s="4" t="str">
        <f>IF(OR(D35="",Results!D16=""),"",IF(D35=Results!D16,1+IF(OR($O35=3,$P35=3,$Q35=3),1,0),0))</f>
        <v/>
      </c>
      <c r="V35" s="4" t="str">
        <f>IF(OR(E35="",Results!E16=""),"",IF(E35=Results!E16,1+IF(OR($O35=4,$P35=4,$Q35=4),1,0),0))</f>
        <v/>
      </c>
      <c r="W35" s="4" t="str">
        <f>IF(OR(F35="",Results!F16=""),"",IF(F35=Results!F16,1+IF(OR($O35=5,$P35=5,$Q35=5),1,0),0))</f>
        <v/>
      </c>
      <c r="X35" s="4" t="str">
        <f>IF(OR(G35="",Results!G16=""),"",IF(G35=Results!G16,1+IF(OR($O35=6,$P35=6,$Q35=6),1,0),0))</f>
        <v/>
      </c>
      <c r="Y35" s="4" t="str">
        <f>IF(OR(H35="",Results!H16=""),"",IF(H35=Results!H16,1+IF(OR($O35=7,$P35=7,$Q35=7),1,0),0))</f>
        <v/>
      </c>
      <c r="Z35" s="4" t="str">
        <f>IF(OR(I35="",Results!I16=""),"",IF(I35=Results!I16,1+IF(OR($O35=8,$P35=8,$Q35=8),1,0),0))</f>
        <v/>
      </c>
      <c r="AA35" s="4" t="str">
        <f>IF(OR(J35="",Results!J16=""),"",IF(J35=Results!J16,1+IF(OR($O35=9,$P35=9,$Q35=9),1,0),0))</f>
        <v/>
      </c>
      <c r="AB35" s="4" t="str">
        <f>IF(OR(K35="",Results!K16=""),"",IF(K35=Results!K16,1+IF(OR($O35=10,$P35=10,$Q35=10),1,0),0))</f>
        <v/>
      </c>
      <c r="AC35" s="4" t="str">
        <f>IF(OR(L35="",Results!L16=""),"",IF(L35=Results!L16,1+IF(OR($O35=11,$P35=11,$Q35=11),1,0),0))</f>
        <v/>
      </c>
      <c r="AD35" s="4" t="str">
        <f>IF(OR(M35="",Results!M16=""),"",IF(M35=Results!M16,1+IF(OR($O35=12,$P35=12,$Q35=12),1,0),0))</f>
        <v/>
      </c>
      <c r="AE35" s="4" t="str">
        <f>IF(OR(N35="",Results!N16=""),"",IF(N35=Results!N16,1+IF(OR($O35=13,$P35=13,$Q35=13),1,0),0))</f>
        <v/>
      </c>
      <c r="AF35" s="11">
        <f t="shared" si="0"/>
        <v>0</v>
      </c>
      <c r="AG35" s="4" t="str">
        <f>IF(OR($R35="",Results!O16=""),"",ABS($R35-Results!O16))</f>
        <v/>
      </c>
      <c r="AH35" s="12">
        <v>17</v>
      </c>
      <c r="AI35" s="13" t="str">
        <f>IF(OR(B35="",Results!B16=""),"",IF(AND(B35=Results!B16,Results!B16&lt;&gt;Games!$C$148),1,0))</f>
        <v/>
      </c>
      <c r="AJ35" s="13" t="str">
        <f>IF(OR(C35="",Results!C16=""),"",IF(AND(C35=Results!C16,Results!C16&lt;&gt;Games!$C$149),1,0))</f>
        <v/>
      </c>
      <c r="AK35" s="13" t="str">
        <f>IF(OR(D35="",Results!D16=""),"",IF(AND(D35=Results!D16,Results!D16&lt;&gt;Games!$C$150),1,0))</f>
        <v/>
      </c>
      <c r="AL35" s="13" t="str">
        <f>IF(OR(E35="",Results!E16=""),"",IF(AND(E35=Results!E16,Results!E16&lt;&gt;Games!$C$151),1,0))</f>
        <v/>
      </c>
      <c r="AM35" s="13" t="str">
        <f>IF(OR(F35="",Results!F16=""),"",IF(AND(F35=Results!F16,Results!F16&lt;&gt;Games!$C$152),1,0))</f>
        <v/>
      </c>
      <c r="AN35" s="13" t="str">
        <f>IF(OR(G35="",Results!G16=""),"",IF(AND(G35=Results!G16,Results!G16&lt;&gt;Games!$C$153),1,0))</f>
        <v/>
      </c>
      <c r="AO35" s="13" t="str">
        <f>IF(OR(H35="",Results!H16=""),"",IF(AND(H35=Results!H16,Results!H16&lt;&gt;Games!$C$154),1,0))</f>
        <v/>
      </c>
      <c r="AP35" s="13" t="str">
        <f>IF(OR(I35="",Results!I16=""),"",IF(AND(I35=Results!I16,Results!I16&lt;&gt;Games!$C$155),1,0))</f>
        <v/>
      </c>
      <c r="AQ35" s="13" t="str">
        <f>IF(OR(J35="",Results!J16=""),"",IF(AND(J35=Results!J16,Results!J16&lt;&gt;Games!$C$156),1,0))</f>
        <v/>
      </c>
      <c r="AR35" s="13" t="str">
        <f>IF(OR(K35="",Results!K16=""),"",IF(AND(K35=Results!K16,Results!K16&lt;&gt;Games!$C$157),1,0))</f>
        <v/>
      </c>
      <c r="AS35" s="13" t="str">
        <f>IF(OR(L35="",Results!L16=""),"",IF(AND(L35=Results!L16,Results!L16&lt;&gt;Games!$C$158),1,0))</f>
        <v/>
      </c>
      <c r="AT35" s="13" t="str">
        <f>IF(OR(M35="",Results!M16=""),"",IF(AND(M35=Results!M16,Results!M16&lt;&gt;Games!$C$159),1,0))</f>
        <v/>
      </c>
      <c r="AU35" s="13" t="str">
        <f>IF(OR(N35="",Results!N16=""),"",IF(AND(N35=Results!N16,Results!N16&lt;&gt;Games!$C$160),1,0))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IF(OR(B36="",Results!B16=""),"",IF(B36=Results!B16,1+IF(OR($O36=1,$P36=1,$Q36=1),1,0),0))</f>
        <v/>
      </c>
      <c r="T36" s="4" t="str">
        <f>IF(OR(C36="",Results!C16=""),"",IF(C36=Results!C16,1+IF(OR($O36=2,$P36=2,$Q36=2),1,0),0))</f>
        <v/>
      </c>
      <c r="U36" s="4" t="str">
        <f>IF(OR(D36="",Results!D16=""),"",IF(D36=Results!D16,1+IF(OR($O36=3,$P36=3,$Q36=3),1,0),0))</f>
        <v/>
      </c>
      <c r="V36" s="4" t="str">
        <f>IF(OR(E36="",Results!E16=""),"",IF(E36=Results!E16,1+IF(OR($O36=4,$P36=4,$Q36=4),1,0),0))</f>
        <v/>
      </c>
      <c r="W36" s="4" t="str">
        <f>IF(OR(F36="",Results!F16=""),"",IF(F36=Results!F16,1+IF(OR($O36=5,$P36=5,$Q36=5),1,0),0))</f>
        <v/>
      </c>
      <c r="X36" s="4" t="str">
        <f>IF(OR(G36="",Results!G16=""),"",IF(G36=Results!G16,1+IF(OR($O36=6,$P36=6,$Q36=6),1,0),0))</f>
        <v/>
      </c>
      <c r="Y36" s="4" t="str">
        <f>IF(OR(H36="",Results!H16=""),"",IF(H36=Results!H16,1+IF(OR($O36=7,$P36=7,$Q36=7),1,0),0))</f>
        <v/>
      </c>
      <c r="Z36" s="4" t="str">
        <f>IF(OR(I36="",Results!I16=""),"",IF(I36=Results!I16,1+IF(OR($O36=8,$P36=8,$Q36=8),1,0),0))</f>
        <v/>
      </c>
      <c r="AA36" s="4" t="str">
        <f>IF(OR(J36="",Results!J16=""),"",IF(J36=Results!J16,1+IF(OR($O36=9,$P36=9,$Q36=9),1,0),0))</f>
        <v/>
      </c>
      <c r="AB36" s="4" t="str">
        <f>IF(OR(K36="",Results!K16=""),"",IF(K36=Results!K16,1+IF(OR($O36=10,$P36=10,$Q36=10),1,0),0))</f>
        <v/>
      </c>
      <c r="AC36" s="4" t="str">
        <f>IF(OR(L36="",Results!L16=""),"",IF(L36=Results!L16,1+IF(OR($O36=11,$P36=11,$Q36=11),1,0),0))</f>
        <v/>
      </c>
      <c r="AD36" s="4" t="str">
        <f>IF(OR(M36="",Results!M16=""),"",IF(M36=Results!M16,1+IF(OR($O36=12,$P36=12,$Q36=12),1,0),0))</f>
        <v/>
      </c>
      <c r="AE36" s="4" t="str">
        <f>IF(OR(N36="",Results!N16=""),"",IF(N36=Results!N16,1+IF(OR($O36=13,$P36=13,$Q36=13),1,0),0))</f>
        <v/>
      </c>
      <c r="AF36" s="11">
        <f t="shared" si="0"/>
        <v>0</v>
      </c>
      <c r="AG36" s="4" t="str">
        <f>IF(OR($R36="",Results!O16=""),"",ABS($R36-Results!O16))</f>
        <v/>
      </c>
      <c r="AH36" s="12">
        <v>39</v>
      </c>
      <c r="AI36" s="13" t="str">
        <f>IF(OR(B36="",Results!B16=""),"",IF(AND(B36=Results!B16,Results!B16&lt;&gt;Games!$C$148),1,0))</f>
        <v/>
      </c>
      <c r="AJ36" s="13" t="str">
        <f>IF(OR(C36="",Results!C16=""),"",IF(AND(C36=Results!C16,Results!C16&lt;&gt;Games!$C$149),1,0))</f>
        <v/>
      </c>
      <c r="AK36" s="13" t="str">
        <f>IF(OR(D36="",Results!D16=""),"",IF(AND(D36=Results!D16,Results!D16&lt;&gt;Games!$C$150),1,0))</f>
        <v/>
      </c>
      <c r="AL36" s="13" t="str">
        <f>IF(OR(E36="",Results!E16=""),"",IF(AND(E36=Results!E16,Results!E16&lt;&gt;Games!$C$151),1,0))</f>
        <v/>
      </c>
      <c r="AM36" s="13" t="str">
        <f>IF(OR(F36="",Results!F16=""),"",IF(AND(F36=Results!F16,Results!F16&lt;&gt;Games!$C$152),1,0))</f>
        <v/>
      </c>
      <c r="AN36" s="13" t="str">
        <f>IF(OR(G36="",Results!G16=""),"",IF(AND(G36=Results!G16,Results!G16&lt;&gt;Games!$C$153),1,0))</f>
        <v/>
      </c>
      <c r="AO36" s="13" t="str">
        <f>IF(OR(H36="",Results!H16=""),"",IF(AND(H36=Results!H16,Results!H16&lt;&gt;Games!$C$154),1,0))</f>
        <v/>
      </c>
      <c r="AP36" s="13" t="str">
        <f>IF(OR(I36="",Results!I16=""),"",IF(AND(I36=Results!I16,Results!I16&lt;&gt;Games!$C$155),1,0))</f>
        <v/>
      </c>
      <c r="AQ36" s="13" t="str">
        <f>IF(OR(J36="",Results!J16=""),"",IF(AND(J36=Results!J16,Results!J16&lt;&gt;Games!$C$156),1,0))</f>
        <v/>
      </c>
      <c r="AR36" s="13" t="str">
        <f>IF(OR(K36="",Results!K16=""),"",IF(AND(K36=Results!K16,Results!K16&lt;&gt;Games!$C$157),1,0))</f>
        <v/>
      </c>
      <c r="AS36" s="13" t="str">
        <f>IF(OR(L36="",Results!L16=""),"",IF(AND(L36=Results!L16,Results!L16&lt;&gt;Games!$C$158),1,0))</f>
        <v/>
      </c>
      <c r="AT36" s="13" t="str">
        <f>IF(OR(M36="",Results!M16=""),"",IF(AND(M36=Results!M16,Results!M16&lt;&gt;Games!$C$159),1,0))</f>
        <v/>
      </c>
      <c r="AU36" s="13" t="str">
        <f>IF(OR(N36="",Results!N16=""),"",IF(AND(N36=Results!N16,Results!N16&lt;&gt;Games!$C$160),1,0))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IF(OR(B37="",Results!B16=""),"",IF(B37=Results!B16,1+IF(OR($O37=1,$P37=1,$Q37=1),1,0),0))</f>
        <v/>
      </c>
      <c r="T37" s="4" t="str">
        <f>IF(OR(C37="",Results!C16=""),"",IF(C37=Results!C16,1+IF(OR($O37=2,$P37=2,$Q37=2),1,0),0))</f>
        <v/>
      </c>
      <c r="U37" s="4" t="str">
        <f>IF(OR(D37="",Results!D16=""),"",IF(D37=Results!D16,1+IF(OR($O37=3,$P37=3,$Q37=3),1,0),0))</f>
        <v/>
      </c>
      <c r="V37" s="4" t="str">
        <f>IF(OR(E37="",Results!E16=""),"",IF(E37=Results!E16,1+IF(OR($O37=4,$P37=4,$Q37=4),1,0),0))</f>
        <v/>
      </c>
      <c r="W37" s="4" t="str">
        <f>IF(OR(F37="",Results!F16=""),"",IF(F37=Results!F16,1+IF(OR($O37=5,$P37=5,$Q37=5),1,0),0))</f>
        <v/>
      </c>
      <c r="X37" s="4" t="str">
        <f>IF(OR(G37="",Results!G16=""),"",IF(G37=Results!G16,1+IF(OR($O37=6,$P37=6,$Q37=6),1,0),0))</f>
        <v/>
      </c>
      <c r="Y37" s="4" t="str">
        <f>IF(OR(H37="",Results!H16=""),"",IF(H37=Results!H16,1+IF(OR($O37=7,$P37=7,$Q37=7),1,0),0))</f>
        <v/>
      </c>
      <c r="Z37" s="4" t="str">
        <f>IF(OR(I37="",Results!I16=""),"",IF(I37=Results!I16,1+IF(OR($O37=8,$P37=8,$Q37=8),1,0),0))</f>
        <v/>
      </c>
      <c r="AA37" s="4" t="str">
        <f>IF(OR(J37="",Results!J16=""),"",IF(J37=Results!J16,1+IF(OR($O37=9,$P37=9,$Q37=9),1,0),0))</f>
        <v/>
      </c>
      <c r="AB37" s="4" t="str">
        <f>IF(OR(K37="",Results!K16=""),"",IF(K37=Results!K16,1+IF(OR($O37=10,$P37=10,$Q37=10),1,0),0))</f>
        <v/>
      </c>
      <c r="AC37" s="4" t="str">
        <f>IF(OR(L37="",Results!L16=""),"",IF(L37=Results!L16,1+IF(OR($O37=11,$P37=11,$Q37=11),1,0),0))</f>
        <v/>
      </c>
      <c r="AD37" s="4" t="str">
        <f>IF(OR(M37="",Results!M16=""),"",IF(M37=Results!M16,1+IF(OR($O37=12,$P37=12,$Q37=12),1,0),0))</f>
        <v/>
      </c>
      <c r="AE37" s="4" t="str">
        <f>IF(OR(N37="",Results!N16=""),"",IF(N37=Results!N16,1+IF(OR($O37=13,$P37=13,$Q37=13),1,0),0))</f>
        <v/>
      </c>
      <c r="AF37" s="11">
        <f t="shared" si="0"/>
        <v>0</v>
      </c>
      <c r="AG37" s="4" t="str">
        <f>IF(OR($R37="",Results!O16=""),"",ABS($R37-Results!O16))</f>
        <v/>
      </c>
      <c r="AH37" s="12">
        <v>49</v>
      </c>
      <c r="AI37" s="13" t="str">
        <f>IF(OR(B37="",Results!B16=""),"",IF(AND(B37=Results!B16,Results!B16&lt;&gt;Games!$C$148),1,0))</f>
        <v/>
      </c>
      <c r="AJ37" s="13" t="str">
        <f>IF(OR(C37="",Results!C16=""),"",IF(AND(C37=Results!C16,Results!C16&lt;&gt;Games!$C$149),1,0))</f>
        <v/>
      </c>
      <c r="AK37" s="13" t="str">
        <f>IF(OR(D37="",Results!D16=""),"",IF(AND(D37=Results!D16,Results!D16&lt;&gt;Games!$C$150),1,0))</f>
        <v/>
      </c>
      <c r="AL37" s="13" t="str">
        <f>IF(OR(E37="",Results!E16=""),"",IF(AND(E37=Results!E16,Results!E16&lt;&gt;Games!$C$151),1,0))</f>
        <v/>
      </c>
      <c r="AM37" s="13" t="str">
        <f>IF(OR(F37="",Results!F16=""),"",IF(AND(F37=Results!F16,Results!F16&lt;&gt;Games!$C$152),1,0))</f>
        <v/>
      </c>
      <c r="AN37" s="13" t="str">
        <f>IF(OR(G37="",Results!G16=""),"",IF(AND(G37=Results!G16,Results!G16&lt;&gt;Games!$C$153),1,0))</f>
        <v/>
      </c>
      <c r="AO37" s="13" t="str">
        <f>IF(OR(H37="",Results!H16=""),"",IF(AND(H37=Results!H16,Results!H16&lt;&gt;Games!$C$154),1,0))</f>
        <v/>
      </c>
      <c r="AP37" s="13" t="str">
        <f>IF(OR(I37="",Results!I16=""),"",IF(AND(I37=Results!I16,Results!I16&lt;&gt;Games!$C$155),1,0))</f>
        <v/>
      </c>
      <c r="AQ37" s="13" t="str">
        <f>IF(OR(J37="",Results!J16=""),"",IF(AND(J37=Results!J16,Results!J16&lt;&gt;Games!$C$156),1,0))</f>
        <v/>
      </c>
      <c r="AR37" s="13" t="str">
        <f>IF(OR(K37="",Results!K16=""),"",IF(AND(K37=Results!K16,Results!K16&lt;&gt;Games!$C$157),1,0))</f>
        <v/>
      </c>
      <c r="AS37" s="13" t="str">
        <f>IF(OR(L37="",Results!L16=""),"",IF(AND(L37=Results!L16,Results!L16&lt;&gt;Games!$C$158),1,0))</f>
        <v/>
      </c>
      <c r="AT37" s="13" t="str">
        <f>IF(OR(M37="",Results!M16=""),"",IF(AND(M37=Results!M16,Results!M16&lt;&gt;Games!$C$159),1,0))</f>
        <v/>
      </c>
      <c r="AU37" s="13" t="str">
        <f>IF(OR(N37="",Results!N16=""),"",IF(AND(N37=Results!N16,Results!N16&lt;&gt;Games!$C$160),1,0))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tr">
        <f>IF(OR(B38="",Results!B16=""),"",IF(B38=Results!B16,1+IF(OR($O38=1,$P38=1,$Q38=1),1,0),0))</f>
        <v/>
      </c>
      <c r="T38" s="4" t="str">
        <f>IF(OR(C38="",Results!C16=""),"",IF(C38=Results!C16,1+IF(OR($O38=2,$P38=2,$Q38=2),1,0),0))</f>
        <v/>
      </c>
      <c r="U38" s="4" t="str">
        <f>IF(OR(D38="",Results!D16=""),"",IF(D38=Results!D16,1+IF(OR($O38=3,$P38=3,$Q38=3),1,0),0))</f>
        <v/>
      </c>
      <c r="V38" s="4" t="str">
        <f>IF(OR(E38="",Results!E16=""),"",IF(E38=Results!E16,1+IF(OR($O38=4,$P38=4,$Q38=4),1,0),0))</f>
        <v/>
      </c>
      <c r="W38" s="4" t="str">
        <f>IF(OR(F38="",Results!F16=""),"",IF(F38=Results!F16,1+IF(OR($O38=5,$P38=5,$Q38=5),1,0),0))</f>
        <v/>
      </c>
      <c r="X38" s="4" t="str">
        <f>IF(OR(G38="",Results!G16=""),"",IF(G38=Results!G16,1+IF(OR($O38=6,$P38=6,$Q38=6),1,0),0))</f>
        <v/>
      </c>
      <c r="Y38" s="4" t="str">
        <f>IF(OR(H38="",Results!H16=""),"",IF(H38=Results!H16,1+IF(OR($O38=7,$P38=7,$Q38=7),1,0),0))</f>
        <v/>
      </c>
      <c r="Z38" s="4" t="str">
        <f>IF(OR(I38="",Results!I16=""),"",IF(I38=Results!I16,1+IF(OR($O38=8,$P38=8,$Q38=8),1,0),0))</f>
        <v/>
      </c>
      <c r="AA38" s="4" t="str">
        <f>IF(OR(J38="",Results!J16=""),"",IF(J38=Results!J16,1+IF(OR($O38=9,$P38=9,$Q38=9),1,0),0))</f>
        <v/>
      </c>
      <c r="AB38" s="4" t="str">
        <f>IF(OR(K38="",Results!K16=""),"",IF(K38=Results!K16,1+IF(OR($O38=10,$P38=10,$Q38=10),1,0),0))</f>
        <v/>
      </c>
      <c r="AC38" s="4" t="str">
        <f>IF(OR(L38="",Results!L16=""),"",IF(L38=Results!L16,1+IF(OR($O38=11,$P38=11,$Q38=11),1,0),0))</f>
        <v/>
      </c>
      <c r="AD38" s="4" t="str">
        <f>IF(OR(M38="",Results!M16=""),"",IF(M38=Results!M16,1+IF(OR($O38=12,$P38=12,$Q38=12),1,0),0))</f>
        <v/>
      </c>
      <c r="AE38" s="4" t="str">
        <f>IF(OR(N38="",Results!N16=""),"",IF(N38=Results!N16,1+IF(OR($O38=13,$P38=13,$Q38=13),1,0),0))</f>
        <v/>
      </c>
      <c r="AF38" s="11">
        <f t="shared" ref="AF38:AF65" si="2">SUM(S38:AE38)</f>
        <v>0</v>
      </c>
      <c r="AG38" s="4" t="str">
        <f>IF(OR($R38="",Results!O16=""),"",ABS($R38-Results!O16))</f>
        <v/>
      </c>
      <c r="AH38" s="12">
        <v>18</v>
      </c>
      <c r="AI38" s="13" t="str">
        <f>IF(OR(B38="",Results!B16=""),"",IF(AND(B38=Results!B16,Results!B16&lt;&gt;Games!$C$148),1,0))</f>
        <v/>
      </c>
      <c r="AJ38" s="13" t="str">
        <f>IF(OR(C38="",Results!C16=""),"",IF(AND(C38=Results!C16,Results!C16&lt;&gt;Games!$C$149),1,0))</f>
        <v/>
      </c>
      <c r="AK38" s="13" t="str">
        <f>IF(OR(D38="",Results!D16=""),"",IF(AND(D38=Results!D16,Results!D16&lt;&gt;Games!$C$150),1,0))</f>
        <v/>
      </c>
      <c r="AL38" s="13" t="str">
        <f>IF(OR(E38="",Results!E16=""),"",IF(AND(E38=Results!E16,Results!E16&lt;&gt;Games!$C$151),1,0))</f>
        <v/>
      </c>
      <c r="AM38" s="13" t="str">
        <f>IF(OR(F38="",Results!F16=""),"",IF(AND(F38=Results!F16,Results!F16&lt;&gt;Games!$C$152),1,0))</f>
        <v/>
      </c>
      <c r="AN38" s="13" t="str">
        <f>IF(OR(G38="",Results!G16=""),"",IF(AND(G38=Results!G16,Results!G16&lt;&gt;Games!$C$153),1,0))</f>
        <v/>
      </c>
      <c r="AO38" s="13" t="str">
        <f>IF(OR(H38="",Results!H16=""),"",IF(AND(H38=Results!H16,Results!H16&lt;&gt;Games!$C$154),1,0))</f>
        <v/>
      </c>
      <c r="AP38" s="13" t="str">
        <f>IF(OR(I38="",Results!I16=""),"",IF(AND(I38=Results!I16,Results!I16&lt;&gt;Games!$C$155),1,0))</f>
        <v/>
      </c>
      <c r="AQ38" s="13" t="str">
        <f>IF(OR(J38="",Results!J16=""),"",IF(AND(J38=Results!J16,Results!J16&lt;&gt;Games!$C$156),1,0))</f>
        <v/>
      </c>
      <c r="AR38" s="13" t="str">
        <f>IF(OR(K38="",Results!K16=""),"",IF(AND(K38=Results!K16,Results!K16&lt;&gt;Games!$C$157),1,0))</f>
        <v/>
      </c>
      <c r="AS38" s="13" t="str">
        <f>IF(OR(L38="",Results!L16=""),"",IF(AND(L38=Results!L16,Results!L16&lt;&gt;Games!$C$158),1,0))</f>
        <v/>
      </c>
      <c r="AT38" s="13" t="str">
        <f>IF(OR(M38="",Results!M16=""),"",IF(AND(M38=Results!M16,Results!M16&lt;&gt;Games!$C$159),1,0))</f>
        <v/>
      </c>
      <c r="AU38" s="13" t="str">
        <f>IF(OR(N38="",Results!N16=""),"",IF(AND(N38=Results!N16,Results!N16&lt;&gt;Games!$C$160),1,0))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IF(OR(B39="",Results!B16=""),"",IF(B39=Results!B16,1+IF(OR($O39=1,$P39=1,$Q39=1),1,0),0))</f>
        <v/>
      </c>
      <c r="T39" s="4" t="str">
        <f>IF(OR(C39="",Results!C16=""),"",IF(C39=Results!C16,1+IF(OR($O39=2,$P39=2,$Q39=2),1,0),0))</f>
        <v/>
      </c>
      <c r="U39" s="4" t="str">
        <f>IF(OR(D39="",Results!D16=""),"",IF(D39=Results!D16,1+IF(OR($O39=3,$P39=3,$Q39=3),1,0),0))</f>
        <v/>
      </c>
      <c r="V39" s="4" t="str">
        <f>IF(OR(E39="",Results!E16=""),"",IF(E39=Results!E16,1+IF(OR($O39=4,$P39=4,$Q39=4),1,0),0))</f>
        <v/>
      </c>
      <c r="W39" s="4" t="str">
        <f>IF(OR(F39="",Results!F16=""),"",IF(F39=Results!F16,1+IF(OR($O39=5,$P39=5,$Q39=5),1,0),0))</f>
        <v/>
      </c>
      <c r="X39" s="4" t="str">
        <f>IF(OR(G39="",Results!G16=""),"",IF(G39=Results!G16,1+IF(OR($O39=6,$P39=6,$Q39=6),1,0),0))</f>
        <v/>
      </c>
      <c r="Y39" s="4" t="str">
        <f>IF(OR(H39="",Results!H16=""),"",IF(H39=Results!H16,1+IF(OR($O39=7,$P39=7,$Q39=7),1,0),0))</f>
        <v/>
      </c>
      <c r="Z39" s="4" t="str">
        <f>IF(OR(I39="",Results!I16=""),"",IF(I39=Results!I16,1+IF(OR($O39=8,$P39=8,$Q39=8),1,0),0))</f>
        <v/>
      </c>
      <c r="AA39" s="4" t="str">
        <f>IF(OR(J39="",Results!J16=""),"",IF(J39=Results!J16,1+IF(OR($O39=9,$P39=9,$Q39=9),1,0),0))</f>
        <v/>
      </c>
      <c r="AB39" s="4" t="str">
        <f>IF(OR(K39="",Results!K16=""),"",IF(K39=Results!K16,1+IF(OR($O39=10,$P39=10,$Q39=10),1,0),0))</f>
        <v/>
      </c>
      <c r="AC39" s="4" t="str">
        <f>IF(OR(L39="",Results!L16=""),"",IF(L39=Results!L16,1+IF(OR($O39=11,$P39=11,$Q39=11),1,0),0))</f>
        <v/>
      </c>
      <c r="AD39" s="4" t="str">
        <f>IF(OR(M39="",Results!M16=""),"",IF(M39=Results!M16,1+IF(OR($O39=12,$P39=12,$Q39=12),1,0),0))</f>
        <v/>
      </c>
      <c r="AE39" s="4" t="str">
        <f>IF(OR(N39="",Results!N16=""),"",IF(N39=Results!N16,1+IF(OR($O39=13,$P39=13,$Q39=13),1,0),0))</f>
        <v/>
      </c>
      <c r="AF39" s="11">
        <f t="shared" si="2"/>
        <v>0</v>
      </c>
      <c r="AG39" s="4" t="str">
        <f>IF(OR($R39="",Results!O16=""),"",ABS($R39-Results!O16))</f>
        <v/>
      </c>
      <c r="AH39" s="12">
        <v>50</v>
      </c>
      <c r="AI39" s="13" t="str">
        <f>IF(OR(B39="",Results!B16=""),"",IF(AND(B39=Results!B16,Results!B16&lt;&gt;Games!$C$148),1,0))</f>
        <v/>
      </c>
      <c r="AJ39" s="13" t="str">
        <f>IF(OR(C39="",Results!C16=""),"",IF(AND(C39=Results!C16,Results!C16&lt;&gt;Games!$C$149),1,0))</f>
        <v/>
      </c>
      <c r="AK39" s="13" t="str">
        <f>IF(OR(D39="",Results!D16=""),"",IF(AND(D39=Results!D16,Results!D16&lt;&gt;Games!$C$150),1,0))</f>
        <v/>
      </c>
      <c r="AL39" s="13" t="str">
        <f>IF(OR(E39="",Results!E16=""),"",IF(AND(E39=Results!E16,Results!E16&lt;&gt;Games!$C$151),1,0))</f>
        <v/>
      </c>
      <c r="AM39" s="13" t="str">
        <f>IF(OR(F39="",Results!F16=""),"",IF(AND(F39=Results!F16,Results!F16&lt;&gt;Games!$C$152),1,0))</f>
        <v/>
      </c>
      <c r="AN39" s="13" t="str">
        <f>IF(OR(G39="",Results!G16=""),"",IF(AND(G39=Results!G16,Results!G16&lt;&gt;Games!$C$153),1,0))</f>
        <v/>
      </c>
      <c r="AO39" s="13" t="str">
        <f>IF(OR(H39="",Results!H16=""),"",IF(AND(H39=Results!H16,Results!H16&lt;&gt;Games!$C$154),1,0))</f>
        <v/>
      </c>
      <c r="AP39" s="13" t="str">
        <f>IF(OR(I39="",Results!I16=""),"",IF(AND(I39=Results!I16,Results!I16&lt;&gt;Games!$C$155),1,0))</f>
        <v/>
      </c>
      <c r="AQ39" s="13" t="str">
        <f>IF(OR(J39="",Results!J16=""),"",IF(AND(J39=Results!J16,Results!J16&lt;&gt;Games!$C$156),1,0))</f>
        <v/>
      </c>
      <c r="AR39" s="13" t="str">
        <f>IF(OR(K39="",Results!K16=""),"",IF(AND(K39=Results!K16,Results!K16&lt;&gt;Games!$C$157),1,0))</f>
        <v/>
      </c>
      <c r="AS39" s="13" t="str">
        <f>IF(OR(L39="",Results!L16=""),"",IF(AND(L39=Results!L16,Results!L16&lt;&gt;Games!$C$158),1,0))</f>
        <v/>
      </c>
      <c r="AT39" s="13" t="str">
        <f>IF(OR(M39="",Results!M16=""),"",IF(AND(M39=Results!M16,Results!M16&lt;&gt;Games!$C$159),1,0))</f>
        <v/>
      </c>
      <c r="AU39" s="13" t="str">
        <f>IF(OR(N39="",Results!N16=""),"",IF(AND(N39=Results!N16,Results!N16&lt;&gt;Games!$C$160),1,0))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4" t="str">
        <f>IF(OR(B40="",Results!B16=""),"",IF(B40=Results!B16,1+IF(OR($O40=1,$P40=1,$Q40=1),1,0),0))</f>
        <v/>
      </c>
      <c r="T40" s="4" t="str">
        <f>IF(OR(C40="",Results!C16=""),"",IF(C40=Results!C16,1+IF(OR($O40=2,$P40=2,$Q40=2),1,0),0))</f>
        <v/>
      </c>
      <c r="U40" s="4" t="str">
        <f>IF(OR(D40="",Results!D16=""),"",IF(D40=Results!D16,1+IF(OR($O40=3,$P40=3,$Q40=3),1,0),0))</f>
        <v/>
      </c>
      <c r="V40" s="4" t="str">
        <f>IF(OR(E40="",Results!E16=""),"",IF(E40=Results!E16,1+IF(OR($O40=4,$P40=4,$Q40=4),1,0),0))</f>
        <v/>
      </c>
      <c r="W40" s="4" t="str">
        <f>IF(OR(F40="",Results!F16=""),"",IF(F40=Results!F16,1+IF(OR($O40=5,$P40=5,$Q40=5),1,0),0))</f>
        <v/>
      </c>
      <c r="X40" s="4" t="str">
        <f>IF(OR(G40="",Results!G16=""),"",IF(G40=Results!G16,1+IF(OR($O40=6,$P40=6,$Q40=6),1,0),0))</f>
        <v/>
      </c>
      <c r="Y40" s="4" t="str">
        <f>IF(OR(H40="",Results!H16=""),"",IF(H40=Results!H16,1+IF(OR($O40=7,$P40=7,$Q40=7),1,0),0))</f>
        <v/>
      </c>
      <c r="Z40" s="4" t="str">
        <f>IF(OR(I40="",Results!I16=""),"",IF(I40=Results!I16,1+IF(OR($O40=8,$P40=8,$Q40=8),1,0),0))</f>
        <v/>
      </c>
      <c r="AA40" s="4" t="str">
        <f>IF(OR(J40="",Results!J16=""),"",IF(J40=Results!J16,1+IF(OR($O40=9,$P40=9,$Q40=9),1,0),0))</f>
        <v/>
      </c>
      <c r="AB40" s="4" t="str">
        <f>IF(OR(K40="",Results!K16=""),"",IF(K40=Results!K16,1+IF(OR($O40=10,$P40=10,$Q40=10),1,0),0))</f>
        <v/>
      </c>
      <c r="AC40" s="4" t="str">
        <f>IF(OR(L40="",Results!L16=""),"",IF(L40=Results!L16,1+IF(OR($O40=11,$P40=11,$Q40=11),1,0),0))</f>
        <v/>
      </c>
      <c r="AD40" s="4" t="str">
        <f>IF(OR(M40="",Results!M16=""),"",IF(M40=Results!M16,1+IF(OR($O40=12,$P40=12,$Q40=12),1,0),0))</f>
        <v/>
      </c>
      <c r="AE40" s="4" t="str">
        <f>IF(OR(N40="",Results!N16=""),"",IF(N40=Results!N16,1+IF(OR($O40=13,$P40=13,$Q40=13),1,0),0))</f>
        <v/>
      </c>
      <c r="AF40" s="11">
        <f t="shared" si="2"/>
        <v>0</v>
      </c>
      <c r="AG40" s="4" t="str">
        <f>IF(OR($R40="",Results!O16=""),"",ABS($R40-Results!O16))</f>
        <v/>
      </c>
      <c r="AH40" s="12">
        <v>19</v>
      </c>
      <c r="AI40" s="13" t="str">
        <f>IF(OR(B40="",Results!B16=""),"",IF(AND(B40=Results!B16,Results!B16&lt;&gt;Games!$C$148),1,0))</f>
        <v/>
      </c>
      <c r="AJ40" s="13" t="str">
        <f>IF(OR(C40="",Results!C16=""),"",IF(AND(C40=Results!C16,Results!C16&lt;&gt;Games!$C$149),1,0))</f>
        <v/>
      </c>
      <c r="AK40" s="13" t="str">
        <f>IF(OR(D40="",Results!D16=""),"",IF(AND(D40=Results!D16,Results!D16&lt;&gt;Games!$C$150),1,0))</f>
        <v/>
      </c>
      <c r="AL40" s="13" t="str">
        <f>IF(OR(E40="",Results!E16=""),"",IF(AND(E40=Results!E16,Results!E16&lt;&gt;Games!$C$151),1,0))</f>
        <v/>
      </c>
      <c r="AM40" s="13" t="str">
        <f>IF(OR(F40="",Results!F16=""),"",IF(AND(F40=Results!F16,Results!F16&lt;&gt;Games!$C$152),1,0))</f>
        <v/>
      </c>
      <c r="AN40" s="13" t="str">
        <f>IF(OR(G40="",Results!G16=""),"",IF(AND(G40=Results!G16,Results!G16&lt;&gt;Games!$C$153),1,0))</f>
        <v/>
      </c>
      <c r="AO40" s="13" t="str">
        <f>IF(OR(H40="",Results!H16=""),"",IF(AND(H40=Results!H16,Results!H16&lt;&gt;Games!$C$154),1,0))</f>
        <v/>
      </c>
      <c r="AP40" s="13" t="str">
        <f>IF(OR(I40="",Results!I16=""),"",IF(AND(I40=Results!I16,Results!I16&lt;&gt;Games!$C$155),1,0))</f>
        <v/>
      </c>
      <c r="AQ40" s="13" t="str">
        <f>IF(OR(J40="",Results!J16=""),"",IF(AND(J40=Results!J16,Results!J16&lt;&gt;Games!$C$156),1,0))</f>
        <v/>
      </c>
      <c r="AR40" s="13" t="str">
        <f>IF(OR(K40="",Results!K16=""),"",IF(AND(K40=Results!K16,Results!K16&lt;&gt;Games!$C$157),1,0))</f>
        <v/>
      </c>
      <c r="AS40" s="13" t="str">
        <f>IF(OR(L40="",Results!L16=""),"",IF(AND(L40=Results!L16,Results!L16&lt;&gt;Games!$C$158),1,0))</f>
        <v/>
      </c>
      <c r="AT40" s="13" t="str">
        <f>IF(OR(M40="",Results!M16=""),"",IF(AND(M40=Results!M16,Results!M16&lt;&gt;Games!$C$159),1,0))</f>
        <v/>
      </c>
      <c r="AU40" s="13" t="str">
        <f>IF(OR(N40="",Results!N16=""),"",IF(AND(N40=Results!N16,Results!N16&lt;&gt;Games!$C$160),1,0))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IF(OR(B41="",Results!B16=""),"",IF(B41=Results!B16,1+IF(OR($O41=1,$P41=1,$Q41=1),1,0),0))</f>
        <v/>
      </c>
      <c r="T41" s="4" t="str">
        <f>IF(OR(C41="",Results!C16=""),"",IF(C41=Results!C16,1+IF(OR($O41=2,$P41=2,$Q41=2),1,0),0))</f>
        <v/>
      </c>
      <c r="U41" s="4" t="str">
        <f>IF(OR(D41="",Results!D16=""),"",IF(D41=Results!D16,1+IF(OR($O41=3,$P41=3,$Q41=3),1,0),0))</f>
        <v/>
      </c>
      <c r="V41" s="4" t="str">
        <f>IF(OR(E41="",Results!E16=""),"",IF(E41=Results!E16,1+IF(OR($O41=4,$P41=4,$Q41=4),1,0),0))</f>
        <v/>
      </c>
      <c r="W41" s="4" t="str">
        <f>IF(OR(F41="",Results!F16=""),"",IF(F41=Results!F16,1+IF(OR($O41=5,$P41=5,$Q41=5),1,0),0))</f>
        <v/>
      </c>
      <c r="X41" s="4" t="str">
        <f>IF(OR(G41="",Results!G16=""),"",IF(G41=Results!G16,1+IF(OR($O41=6,$P41=6,$Q41=6),1,0),0))</f>
        <v/>
      </c>
      <c r="Y41" s="4" t="str">
        <f>IF(OR(H41="",Results!H16=""),"",IF(H41=Results!H16,1+IF(OR($O41=7,$P41=7,$Q41=7),1,0),0))</f>
        <v/>
      </c>
      <c r="Z41" s="4" t="str">
        <f>IF(OR(I41="",Results!I16=""),"",IF(I41=Results!I16,1+IF(OR($O41=8,$P41=8,$Q41=8),1,0),0))</f>
        <v/>
      </c>
      <c r="AA41" s="4" t="str">
        <f>IF(OR(J41="",Results!J16=""),"",IF(J41=Results!J16,1+IF(OR($O41=9,$P41=9,$Q41=9),1,0),0))</f>
        <v/>
      </c>
      <c r="AB41" s="4" t="str">
        <f>IF(OR(K41="",Results!K16=""),"",IF(K41=Results!K16,1+IF(OR($O41=10,$P41=10,$Q41=10),1,0),0))</f>
        <v/>
      </c>
      <c r="AC41" s="4" t="str">
        <f>IF(OR(L41="",Results!L16=""),"",IF(L41=Results!L16,1+IF(OR($O41=11,$P41=11,$Q41=11),1,0),0))</f>
        <v/>
      </c>
      <c r="AD41" s="4" t="str">
        <f>IF(OR(M41="",Results!M16=""),"",IF(M41=Results!M16,1+IF(OR($O41=12,$P41=12,$Q41=12),1,0),0))</f>
        <v/>
      </c>
      <c r="AE41" s="4" t="str">
        <f>IF(OR(N41="",Results!N16=""),"",IF(N41=Results!N16,1+IF(OR($O41=13,$P41=13,$Q41=13),1,0),0))</f>
        <v/>
      </c>
      <c r="AF41" s="11">
        <f t="shared" si="2"/>
        <v>0</v>
      </c>
      <c r="AG41" s="4" t="str">
        <f>IF(OR($R41="",Results!O16=""),"",ABS($R41-Results!O16))</f>
        <v/>
      </c>
      <c r="AH41" s="12">
        <v>20</v>
      </c>
      <c r="AI41" s="13" t="str">
        <f>IF(OR(B41="",Results!B16=""),"",IF(AND(B41=Results!B16,Results!B16&lt;&gt;Games!$C$148),1,0))</f>
        <v/>
      </c>
      <c r="AJ41" s="13" t="str">
        <f>IF(OR(C41="",Results!C16=""),"",IF(AND(C41=Results!C16,Results!C16&lt;&gt;Games!$C$149),1,0))</f>
        <v/>
      </c>
      <c r="AK41" s="13" t="str">
        <f>IF(OR(D41="",Results!D16=""),"",IF(AND(D41=Results!D16,Results!D16&lt;&gt;Games!$C$150),1,0))</f>
        <v/>
      </c>
      <c r="AL41" s="13" t="str">
        <f>IF(OR(E41="",Results!E16=""),"",IF(AND(E41=Results!E16,Results!E16&lt;&gt;Games!$C$151),1,0))</f>
        <v/>
      </c>
      <c r="AM41" s="13" t="str">
        <f>IF(OR(F41="",Results!F16=""),"",IF(AND(F41=Results!F16,Results!F16&lt;&gt;Games!$C$152),1,0))</f>
        <v/>
      </c>
      <c r="AN41" s="13" t="str">
        <f>IF(OR(G41="",Results!G16=""),"",IF(AND(G41=Results!G16,Results!G16&lt;&gt;Games!$C$153),1,0))</f>
        <v/>
      </c>
      <c r="AO41" s="13" t="str">
        <f>IF(OR(H41="",Results!H16=""),"",IF(AND(H41=Results!H16,Results!H16&lt;&gt;Games!$C$154),1,0))</f>
        <v/>
      </c>
      <c r="AP41" s="13" t="str">
        <f>IF(OR(I41="",Results!I16=""),"",IF(AND(I41=Results!I16,Results!I16&lt;&gt;Games!$C$155),1,0))</f>
        <v/>
      </c>
      <c r="AQ41" s="13" t="str">
        <f>IF(OR(J41="",Results!J16=""),"",IF(AND(J41=Results!J16,Results!J16&lt;&gt;Games!$C$156),1,0))</f>
        <v/>
      </c>
      <c r="AR41" s="13" t="str">
        <f>IF(OR(K41="",Results!K16=""),"",IF(AND(K41=Results!K16,Results!K16&lt;&gt;Games!$C$157),1,0))</f>
        <v/>
      </c>
      <c r="AS41" s="13" t="str">
        <f>IF(OR(L41="",Results!L16=""),"",IF(AND(L41=Results!L16,Results!L16&lt;&gt;Games!$C$158),1,0))</f>
        <v/>
      </c>
      <c r="AT41" s="13" t="str">
        <f>IF(OR(M41="",Results!M16=""),"",IF(AND(M41=Results!M16,Results!M16&lt;&gt;Games!$C$159),1,0))</f>
        <v/>
      </c>
      <c r="AU41" s="13" t="str">
        <f>IF(OR(N41="",Results!N16=""),"",IF(AND(N41=Results!N16,Results!N16&lt;&gt;Games!$C$160),1,0))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4" t="str">
        <f>IF(OR(B42="",Results!B16=""),"",IF(B42=Results!B16,1+IF(OR($O42=1,$P42=1,$Q42=1),1,0),0))</f>
        <v/>
      </c>
      <c r="T42" s="4" t="str">
        <f>IF(OR(C42="",Results!C16=""),"",IF(C42=Results!C16,1+IF(OR($O42=2,$P42=2,$Q42=2),1,0),0))</f>
        <v/>
      </c>
      <c r="U42" s="4" t="str">
        <f>IF(OR(D42="",Results!D16=""),"",IF(D42=Results!D16,1+IF(OR($O42=3,$P42=3,$Q42=3),1,0),0))</f>
        <v/>
      </c>
      <c r="V42" s="4" t="str">
        <f>IF(OR(E42="",Results!E16=""),"",IF(E42=Results!E16,1+IF(OR($O42=4,$P42=4,$Q42=4),1,0),0))</f>
        <v/>
      </c>
      <c r="W42" s="4" t="str">
        <f>IF(OR(F42="",Results!F16=""),"",IF(F42=Results!F16,1+IF(OR($O42=5,$P42=5,$Q42=5),1,0),0))</f>
        <v/>
      </c>
      <c r="X42" s="4" t="str">
        <f>IF(OR(G42="",Results!G16=""),"",IF(G42=Results!G16,1+IF(OR($O42=6,$P42=6,$Q42=6),1,0),0))</f>
        <v/>
      </c>
      <c r="Y42" s="4" t="str">
        <f>IF(OR(H42="",Results!H16=""),"",IF(H42=Results!H16,1+IF(OR($O42=7,$P42=7,$Q42=7),1,0),0))</f>
        <v/>
      </c>
      <c r="Z42" s="4" t="str">
        <f>IF(OR(I42="",Results!I16=""),"",IF(I42=Results!I16,1+IF(OR($O42=8,$P42=8,$Q42=8),1,0),0))</f>
        <v/>
      </c>
      <c r="AA42" s="4" t="str">
        <f>IF(OR(J42="",Results!J16=""),"",IF(J42=Results!J16,1+IF(OR($O42=9,$P42=9,$Q42=9),1,0),0))</f>
        <v/>
      </c>
      <c r="AB42" s="4" t="str">
        <f>IF(OR(K42="",Results!K16=""),"",IF(K42=Results!K16,1+IF(OR($O42=10,$P42=10,$Q42=10),1,0),0))</f>
        <v/>
      </c>
      <c r="AC42" s="4" t="str">
        <f>IF(OR(L42="",Results!L16=""),"",IF(L42=Results!L16,1+IF(OR($O42=11,$P42=11,$Q42=11),1,0),0))</f>
        <v/>
      </c>
      <c r="AD42" s="4" t="str">
        <f>IF(OR(M42="",Results!M16=""),"",IF(M42=Results!M16,1+IF(OR($O42=12,$P42=12,$Q42=12),1,0),0))</f>
        <v/>
      </c>
      <c r="AE42" s="4" t="str">
        <f>IF(OR(N42="",Results!N16=""),"",IF(N42=Results!N16,1+IF(OR($O42=13,$P42=13,$Q42=13),1,0),0))</f>
        <v/>
      </c>
      <c r="AF42" s="11">
        <f t="shared" si="2"/>
        <v>0</v>
      </c>
      <c r="AG42" s="4" t="str">
        <f>IF(OR($R42="",Results!O16=""),"",ABS($R42-Results!O16))</f>
        <v/>
      </c>
      <c r="AH42" s="12">
        <v>21</v>
      </c>
      <c r="AI42" s="13" t="str">
        <f>IF(OR(B42="",Results!B16=""),"",IF(AND(B42=Results!B16,Results!B16&lt;&gt;Games!$C$148),1,0))</f>
        <v/>
      </c>
      <c r="AJ42" s="13" t="str">
        <f>IF(OR(C42="",Results!C16=""),"",IF(AND(C42=Results!C16,Results!C16&lt;&gt;Games!$C$149),1,0))</f>
        <v/>
      </c>
      <c r="AK42" s="13" t="str">
        <f>IF(OR(D42="",Results!D16=""),"",IF(AND(D42=Results!D16,Results!D16&lt;&gt;Games!$C$150),1,0))</f>
        <v/>
      </c>
      <c r="AL42" s="13" t="str">
        <f>IF(OR(E42="",Results!E16=""),"",IF(AND(E42=Results!E16,Results!E16&lt;&gt;Games!$C$151),1,0))</f>
        <v/>
      </c>
      <c r="AM42" s="13" t="str">
        <f>IF(OR(F42="",Results!F16=""),"",IF(AND(F42=Results!F16,Results!F16&lt;&gt;Games!$C$152),1,0))</f>
        <v/>
      </c>
      <c r="AN42" s="13" t="str">
        <f>IF(OR(G42="",Results!G16=""),"",IF(AND(G42=Results!G16,Results!G16&lt;&gt;Games!$C$153),1,0))</f>
        <v/>
      </c>
      <c r="AO42" s="13" t="str">
        <f>IF(OR(H42="",Results!H16=""),"",IF(AND(H42=Results!H16,Results!H16&lt;&gt;Games!$C$154),1,0))</f>
        <v/>
      </c>
      <c r="AP42" s="13" t="str">
        <f>IF(OR(I42="",Results!I16=""),"",IF(AND(I42=Results!I16,Results!I16&lt;&gt;Games!$C$155),1,0))</f>
        <v/>
      </c>
      <c r="AQ42" s="13" t="str">
        <f>IF(OR(J42="",Results!J16=""),"",IF(AND(J42=Results!J16,Results!J16&lt;&gt;Games!$C$156),1,0))</f>
        <v/>
      </c>
      <c r="AR42" s="13" t="str">
        <f>IF(OR(K42="",Results!K16=""),"",IF(AND(K42=Results!K16,Results!K16&lt;&gt;Games!$C$157),1,0))</f>
        <v/>
      </c>
      <c r="AS42" s="13" t="str">
        <f>IF(OR(L42="",Results!L16=""),"",IF(AND(L42=Results!L16,Results!L16&lt;&gt;Games!$C$158),1,0))</f>
        <v/>
      </c>
      <c r="AT42" s="13" t="str">
        <f>IF(OR(M42="",Results!M16=""),"",IF(AND(M42=Results!M16,Results!M16&lt;&gt;Games!$C$159),1,0))</f>
        <v/>
      </c>
      <c r="AU42" s="13" t="str">
        <f>IF(OR(N42="",Results!N16=""),"",IF(AND(N42=Results!N16,Results!N16&lt;&gt;Games!$C$160),1,0))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4" t="str">
        <f>IF(OR(B43="",Results!B16=""),"",IF(B43=Results!B16,1+IF(OR($O43=1,$P43=1,$Q43=1),1,0),0))</f>
        <v/>
      </c>
      <c r="T43" s="4" t="str">
        <f>IF(OR(C43="",Results!C16=""),"",IF(C43=Results!C16,1+IF(OR($O43=2,$P43=2,$Q43=2),1,0),0))</f>
        <v/>
      </c>
      <c r="U43" s="4" t="str">
        <f>IF(OR(D43="",Results!D16=""),"",IF(D43=Results!D16,1+IF(OR($O43=3,$P43=3,$Q43=3),1,0),0))</f>
        <v/>
      </c>
      <c r="V43" s="4" t="str">
        <f>IF(OR(E43="",Results!E16=""),"",IF(E43=Results!E16,1+IF(OR($O43=4,$P43=4,$Q43=4),1,0),0))</f>
        <v/>
      </c>
      <c r="W43" s="4" t="str">
        <f>IF(OR(F43="",Results!F16=""),"",IF(F43=Results!F16,1+IF(OR($O43=5,$P43=5,$Q43=5),1,0),0))</f>
        <v/>
      </c>
      <c r="X43" s="4" t="str">
        <f>IF(OR(G43="",Results!G16=""),"",IF(G43=Results!G16,1+IF(OR($O43=6,$P43=6,$Q43=6),1,0),0))</f>
        <v/>
      </c>
      <c r="Y43" s="4" t="str">
        <f>IF(OR(H43="",Results!H16=""),"",IF(H43=Results!H16,1+IF(OR($O43=7,$P43=7,$Q43=7),1,0),0))</f>
        <v/>
      </c>
      <c r="Z43" s="4" t="str">
        <f>IF(OR(I43="",Results!I16=""),"",IF(I43=Results!I16,1+IF(OR($O43=8,$P43=8,$Q43=8),1,0),0))</f>
        <v/>
      </c>
      <c r="AA43" s="4" t="str">
        <f>IF(OR(J43="",Results!J16=""),"",IF(J43=Results!J16,1+IF(OR($O43=9,$P43=9,$Q43=9),1,0),0))</f>
        <v/>
      </c>
      <c r="AB43" s="4" t="str">
        <f>IF(OR(K43="",Results!K16=""),"",IF(K43=Results!K16,1+IF(OR($O43=10,$P43=10,$Q43=10),1,0),0))</f>
        <v/>
      </c>
      <c r="AC43" s="4" t="str">
        <f>IF(OR(L43="",Results!L16=""),"",IF(L43=Results!L16,1+IF(OR($O43=11,$P43=11,$Q43=11),1,0),0))</f>
        <v/>
      </c>
      <c r="AD43" s="4" t="str">
        <f>IF(OR(M43="",Results!M16=""),"",IF(M43=Results!M16,1+IF(OR($O43=12,$P43=12,$Q43=12),1,0),0))</f>
        <v/>
      </c>
      <c r="AE43" s="4" t="str">
        <f>IF(OR(N43="",Results!N16=""),"",IF(N43=Results!N16,1+IF(OR($O43=13,$P43=13,$Q43=13),1,0),0))</f>
        <v/>
      </c>
      <c r="AF43" s="11">
        <f t="shared" si="2"/>
        <v>0</v>
      </c>
      <c r="AG43" s="4" t="str">
        <f>IF(OR($R43="",Results!O16=""),"",ABS($R43-Results!O16))</f>
        <v/>
      </c>
      <c r="AH43" s="12">
        <v>22</v>
      </c>
      <c r="AI43" s="13" t="str">
        <f>IF(OR(B43="",Results!B16=""),"",IF(AND(B43=Results!B16,Results!B16&lt;&gt;Games!$C$148),1,0))</f>
        <v/>
      </c>
      <c r="AJ43" s="13" t="str">
        <f>IF(OR(C43="",Results!C16=""),"",IF(AND(C43=Results!C16,Results!C16&lt;&gt;Games!$C$149),1,0))</f>
        <v/>
      </c>
      <c r="AK43" s="13" t="str">
        <f>IF(OR(D43="",Results!D16=""),"",IF(AND(D43=Results!D16,Results!D16&lt;&gt;Games!$C$150),1,0))</f>
        <v/>
      </c>
      <c r="AL43" s="13" t="str">
        <f>IF(OR(E43="",Results!E16=""),"",IF(AND(E43=Results!E16,Results!E16&lt;&gt;Games!$C$151),1,0))</f>
        <v/>
      </c>
      <c r="AM43" s="13" t="str">
        <f>IF(OR(F43="",Results!F16=""),"",IF(AND(F43=Results!F16,Results!F16&lt;&gt;Games!$C$152),1,0))</f>
        <v/>
      </c>
      <c r="AN43" s="13" t="str">
        <f>IF(OR(G43="",Results!G16=""),"",IF(AND(G43=Results!G16,Results!G16&lt;&gt;Games!$C$153),1,0))</f>
        <v/>
      </c>
      <c r="AO43" s="13" t="str">
        <f>IF(OR(H43="",Results!H16=""),"",IF(AND(H43=Results!H16,Results!H16&lt;&gt;Games!$C$154),1,0))</f>
        <v/>
      </c>
      <c r="AP43" s="13" t="str">
        <f>IF(OR(I43="",Results!I16=""),"",IF(AND(I43=Results!I16,Results!I16&lt;&gt;Games!$C$155),1,0))</f>
        <v/>
      </c>
      <c r="AQ43" s="13" t="str">
        <f>IF(OR(J43="",Results!J16=""),"",IF(AND(J43=Results!J16,Results!J16&lt;&gt;Games!$C$156),1,0))</f>
        <v/>
      </c>
      <c r="AR43" s="13" t="str">
        <f>IF(OR(K43="",Results!K16=""),"",IF(AND(K43=Results!K16,Results!K16&lt;&gt;Games!$C$157),1,0))</f>
        <v/>
      </c>
      <c r="AS43" s="13" t="str">
        <f>IF(OR(L43="",Results!L16=""),"",IF(AND(L43=Results!L16,Results!L16&lt;&gt;Games!$C$158),1,0))</f>
        <v/>
      </c>
      <c r="AT43" s="13" t="str">
        <f>IF(OR(M43="",Results!M16=""),"",IF(AND(M43=Results!M16,Results!M16&lt;&gt;Games!$C$159),1,0))</f>
        <v/>
      </c>
      <c r="AU43" s="13" t="str">
        <f>IF(OR(N43="",Results!N16=""),"",IF(AND(N43=Results!N16,Results!N16&lt;&gt;Games!$C$160),1,0))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tr">
        <f>IF(OR(B44="",Results!B16=""),"",IF(B44=Results!B16,1+IF(OR($O44=1,$P44=1,$Q44=1),1,0),0))</f>
        <v/>
      </c>
      <c r="T44" s="4" t="str">
        <f>IF(OR(C44="",Results!C16=""),"",IF(C44=Results!C16,1+IF(OR($O44=2,$P44=2,$Q44=2),1,0),0))</f>
        <v/>
      </c>
      <c r="U44" s="4" t="str">
        <f>IF(OR(D44="",Results!D16=""),"",IF(D44=Results!D16,1+IF(OR($O44=3,$P44=3,$Q44=3),1,0),0))</f>
        <v/>
      </c>
      <c r="V44" s="4" t="str">
        <f>IF(OR(E44="",Results!E16=""),"",IF(E44=Results!E16,1+IF(OR($O44=4,$P44=4,$Q44=4),1,0),0))</f>
        <v/>
      </c>
      <c r="W44" s="4" t="str">
        <f>IF(OR(F44="",Results!F16=""),"",IF(F44=Results!F16,1+IF(OR($O44=5,$P44=5,$Q44=5),1,0),0))</f>
        <v/>
      </c>
      <c r="X44" s="4" t="str">
        <f>IF(OR(G44="",Results!G16=""),"",IF(G44=Results!G16,1+IF(OR($O44=6,$P44=6,$Q44=6),1,0),0))</f>
        <v/>
      </c>
      <c r="Y44" s="4" t="str">
        <f>IF(OR(H44="",Results!H16=""),"",IF(H44=Results!H16,1+IF(OR($O44=7,$P44=7,$Q44=7),1,0),0))</f>
        <v/>
      </c>
      <c r="Z44" s="4" t="str">
        <f>IF(OR(I44="",Results!I16=""),"",IF(I44=Results!I16,1+IF(OR($O44=8,$P44=8,$Q44=8),1,0),0))</f>
        <v/>
      </c>
      <c r="AA44" s="4" t="str">
        <f>IF(OR(J44="",Results!J16=""),"",IF(J44=Results!J16,1+IF(OR($O44=9,$P44=9,$Q44=9),1,0),0))</f>
        <v/>
      </c>
      <c r="AB44" s="4" t="str">
        <f>IF(OR(K44="",Results!K16=""),"",IF(K44=Results!K16,1+IF(OR($O44=10,$P44=10,$Q44=10),1,0),0))</f>
        <v/>
      </c>
      <c r="AC44" s="4" t="str">
        <f>IF(OR(L44="",Results!L16=""),"",IF(L44=Results!L16,1+IF(OR($O44=11,$P44=11,$Q44=11),1,0),0))</f>
        <v/>
      </c>
      <c r="AD44" s="4" t="str">
        <f>IF(OR(M44="",Results!M16=""),"",IF(M44=Results!M16,1+IF(OR($O44=12,$P44=12,$Q44=12),1,0),0))</f>
        <v/>
      </c>
      <c r="AE44" s="4" t="str">
        <f>IF(OR(N44="",Results!N16=""),"",IF(N44=Results!N16,1+IF(OR($O44=13,$P44=13,$Q44=13),1,0),0))</f>
        <v/>
      </c>
      <c r="AF44" s="11">
        <f t="shared" si="2"/>
        <v>0</v>
      </c>
      <c r="AG44" s="4" t="str">
        <f>IF(OR($R44="",Results!O16=""),"",ABS($R44-Results!O16))</f>
        <v/>
      </c>
      <c r="AH44" s="12">
        <v>23</v>
      </c>
      <c r="AI44" s="13" t="str">
        <f>IF(OR(B44="",Results!B16=""),"",IF(AND(B44=Results!B16,Results!B16&lt;&gt;Games!$C$148),1,0))</f>
        <v/>
      </c>
      <c r="AJ44" s="13" t="str">
        <f>IF(OR(C44="",Results!C16=""),"",IF(AND(C44=Results!C16,Results!C16&lt;&gt;Games!$C$149),1,0))</f>
        <v/>
      </c>
      <c r="AK44" s="13" t="str">
        <f>IF(OR(D44="",Results!D16=""),"",IF(AND(D44=Results!D16,Results!D16&lt;&gt;Games!$C$150),1,0))</f>
        <v/>
      </c>
      <c r="AL44" s="13" t="str">
        <f>IF(OR(E44="",Results!E16=""),"",IF(AND(E44=Results!E16,Results!E16&lt;&gt;Games!$C$151),1,0))</f>
        <v/>
      </c>
      <c r="AM44" s="13" t="str">
        <f>IF(OR(F44="",Results!F16=""),"",IF(AND(F44=Results!F16,Results!F16&lt;&gt;Games!$C$152),1,0))</f>
        <v/>
      </c>
      <c r="AN44" s="13" t="str">
        <f>IF(OR(G44="",Results!G16=""),"",IF(AND(G44=Results!G16,Results!G16&lt;&gt;Games!$C$153),1,0))</f>
        <v/>
      </c>
      <c r="AO44" s="13" t="str">
        <f>IF(OR(H44="",Results!H16=""),"",IF(AND(H44=Results!H16,Results!H16&lt;&gt;Games!$C$154),1,0))</f>
        <v/>
      </c>
      <c r="AP44" s="13" t="str">
        <f>IF(OR(I44="",Results!I16=""),"",IF(AND(I44=Results!I16,Results!I16&lt;&gt;Games!$C$155),1,0))</f>
        <v/>
      </c>
      <c r="AQ44" s="13" t="str">
        <f>IF(OR(J44="",Results!J16=""),"",IF(AND(J44=Results!J16,Results!J16&lt;&gt;Games!$C$156),1,0))</f>
        <v/>
      </c>
      <c r="AR44" s="13" t="str">
        <f>IF(OR(K44="",Results!K16=""),"",IF(AND(K44=Results!K16,Results!K16&lt;&gt;Games!$C$157),1,0))</f>
        <v/>
      </c>
      <c r="AS44" s="13" t="str">
        <f>IF(OR(L44="",Results!L16=""),"",IF(AND(L44=Results!L16,Results!L16&lt;&gt;Games!$C$158),1,0))</f>
        <v/>
      </c>
      <c r="AT44" s="13" t="str">
        <f>IF(OR(M44="",Results!M16=""),"",IF(AND(M44=Results!M16,Results!M16&lt;&gt;Games!$C$159),1,0))</f>
        <v/>
      </c>
      <c r="AU44" s="13" t="str">
        <f>IF(OR(N44="",Results!N16=""),"",IF(AND(N44=Results!N16,Results!N16&lt;&gt;Games!$C$160),1,0))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IF(OR(B45="",Results!B16=""),"",IF(B45=Results!B16,1+IF(OR($O45=1,$P45=1,$Q45=1),1,0),0))</f>
        <v/>
      </c>
      <c r="T45" s="4" t="str">
        <f>IF(OR(C45="",Results!C16=""),"",IF(C45=Results!C16,1+IF(OR($O45=2,$P45=2,$Q45=2),1,0),0))</f>
        <v/>
      </c>
      <c r="U45" s="4" t="str">
        <f>IF(OR(D45="",Results!D16=""),"",IF(D45=Results!D16,1+IF(OR($O45=3,$P45=3,$Q45=3),1,0),0))</f>
        <v/>
      </c>
      <c r="V45" s="4" t="str">
        <f>IF(OR(E45="",Results!E16=""),"",IF(E45=Results!E16,1+IF(OR($O45=4,$P45=4,$Q45=4),1,0),0))</f>
        <v/>
      </c>
      <c r="W45" s="4" t="str">
        <f>IF(OR(F45="",Results!F16=""),"",IF(F45=Results!F16,1+IF(OR($O45=5,$P45=5,$Q45=5),1,0),0))</f>
        <v/>
      </c>
      <c r="X45" s="4" t="str">
        <f>IF(OR(G45="",Results!G16=""),"",IF(G45=Results!G16,1+IF(OR($O45=6,$P45=6,$Q45=6),1,0),0))</f>
        <v/>
      </c>
      <c r="Y45" s="4" t="str">
        <f>IF(OR(H45="",Results!H16=""),"",IF(H45=Results!H16,1+IF(OR($O45=7,$P45=7,$Q45=7),1,0),0))</f>
        <v/>
      </c>
      <c r="Z45" s="4" t="str">
        <f>IF(OR(I45="",Results!I16=""),"",IF(I45=Results!I16,1+IF(OR($O45=8,$P45=8,$Q45=8),1,0),0))</f>
        <v/>
      </c>
      <c r="AA45" s="4" t="str">
        <f>IF(OR(J45="",Results!J16=""),"",IF(J45=Results!J16,1+IF(OR($O45=9,$P45=9,$Q45=9),1,0),0))</f>
        <v/>
      </c>
      <c r="AB45" s="4" t="str">
        <f>IF(OR(K45="",Results!K16=""),"",IF(K45=Results!K16,1+IF(OR($O45=10,$P45=10,$Q45=10),1,0),0))</f>
        <v/>
      </c>
      <c r="AC45" s="4" t="str">
        <f>IF(OR(L45="",Results!L16=""),"",IF(L45=Results!L16,1+IF(OR($O45=11,$P45=11,$Q45=11),1,0),0))</f>
        <v/>
      </c>
      <c r="AD45" s="4" t="str">
        <f>IF(OR(M45="",Results!M16=""),"",IF(M45=Results!M16,1+IF(OR($O45=12,$P45=12,$Q45=12),1,0),0))</f>
        <v/>
      </c>
      <c r="AE45" s="4" t="str">
        <f>IF(OR(N45="",Results!N16=""),"",IF(N45=Results!N16,1+IF(OR($O45=13,$P45=13,$Q45=13),1,0),0))</f>
        <v/>
      </c>
      <c r="AF45" s="11">
        <f t="shared" si="2"/>
        <v>0</v>
      </c>
      <c r="AG45" s="4" t="str">
        <f>IF(OR($R45="",Results!O16=""),"",ABS($R45-Results!O16))</f>
        <v/>
      </c>
      <c r="AH45" s="12">
        <v>24</v>
      </c>
      <c r="AI45" s="13" t="str">
        <f>IF(OR(B45="",Results!B16=""),"",IF(AND(B45=Results!B16,Results!B16&lt;&gt;Games!$C$148),1,0))</f>
        <v/>
      </c>
      <c r="AJ45" s="13" t="str">
        <f>IF(OR(C45="",Results!C16=""),"",IF(AND(C45=Results!C16,Results!C16&lt;&gt;Games!$C$149),1,0))</f>
        <v/>
      </c>
      <c r="AK45" s="13" t="str">
        <f>IF(OR(D45="",Results!D16=""),"",IF(AND(D45=Results!D16,Results!D16&lt;&gt;Games!$C$150),1,0))</f>
        <v/>
      </c>
      <c r="AL45" s="13" t="str">
        <f>IF(OR(E45="",Results!E16=""),"",IF(AND(E45=Results!E16,Results!E16&lt;&gt;Games!$C$151),1,0))</f>
        <v/>
      </c>
      <c r="AM45" s="13" t="str">
        <f>IF(OR(F45="",Results!F16=""),"",IF(AND(F45=Results!F16,Results!F16&lt;&gt;Games!$C$152),1,0))</f>
        <v/>
      </c>
      <c r="AN45" s="13" t="str">
        <f>IF(OR(G45="",Results!G16=""),"",IF(AND(G45=Results!G16,Results!G16&lt;&gt;Games!$C$153),1,0))</f>
        <v/>
      </c>
      <c r="AO45" s="13" t="str">
        <f>IF(OR(H45="",Results!H16=""),"",IF(AND(H45=Results!H16,Results!H16&lt;&gt;Games!$C$154),1,0))</f>
        <v/>
      </c>
      <c r="AP45" s="13" t="str">
        <f>IF(OR(I45="",Results!I16=""),"",IF(AND(I45=Results!I16,Results!I16&lt;&gt;Games!$C$155),1,0))</f>
        <v/>
      </c>
      <c r="AQ45" s="13" t="str">
        <f>IF(OR(J45="",Results!J16=""),"",IF(AND(J45=Results!J16,Results!J16&lt;&gt;Games!$C$156),1,0))</f>
        <v/>
      </c>
      <c r="AR45" s="13" t="str">
        <f>IF(OR(K45="",Results!K16=""),"",IF(AND(K45=Results!K16,Results!K16&lt;&gt;Games!$C$157),1,0))</f>
        <v/>
      </c>
      <c r="AS45" s="13" t="str">
        <f>IF(OR(L45="",Results!L16=""),"",IF(AND(L45=Results!L16,Results!L16&lt;&gt;Games!$C$158),1,0))</f>
        <v/>
      </c>
      <c r="AT45" s="13" t="str">
        <f>IF(OR(M45="",Results!M16=""),"",IF(AND(M45=Results!M16,Results!M16&lt;&gt;Games!$C$159),1,0))</f>
        <v/>
      </c>
      <c r="AU45" s="13" t="str">
        <f>IF(OR(N45="",Results!N16=""),"",IF(AND(N45=Results!N16,Results!N16&lt;&gt;Games!$C$160),1,0))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IF(OR(B46="",Results!B16=""),"",IF(B46=Results!B16,1+IF(OR($O46=1,$P46=1,$Q46=1),1,0),0))</f>
        <v/>
      </c>
      <c r="T46" s="4" t="str">
        <f>IF(OR(C46="",Results!C16=""),"",IF(C46=Results!C16,1+IF(OR($O46=2,$P46=2,$Q46=2),1,0),0))</f>
        <v/>
      </c>
      <c r="U46" s="4" t="str">
        <f>IF(OR(D46="",Results!D16=""),"",IF(D46=Results!D16,1+IF(OR($O46=3,$P46=3,$Q46=3),1,0),0))</f>
        <v/>
      </c>
      <c r="V46" s="4" t="str">
        <f>IF(OR(E46="",Results!E16=""),"",IF(E46=Results!E16,1+IF(OR($O46=4,$P46=4,$Q46=4),1,0),0))</f>
        <v/>
      </c>
      <c r="W46" s="4" t="str">
        <f>IF(OR(F46="",Results!F16=""),"",IF(F46=Results!F16,1+IF(OR($O46=5,$P46=5,$Q46=5),1,0),0))</f>
        <v/>
      </c>
      <c r="X46" s="4" t="str">
        <f>IF(OR(G46="",Results!G16=""),"",IF(G46=Results!G16,1+IF(OR($O46=6,$P46=6,$Q46=6),1,0),0))</f>
        <v/>
      </c>
      <c r="Y46" s="4" t="str">
        <f>IF(OR(H46="",Results!H16=""),"",IF(H46=Results!H16,1+IF(OR($O46=7,$P46=7,$Q46=7),1,0),0))</f>
        <v/>
      </c>
      <c r="Z46" s="4" t="str">
        <f>IF(OR(I46="",Results!I16=""),"",IF(I46=Results!I16,1+IF(OR($O46=8,$P46=8,$Q46=8),1,0),0))</f>
        <v/>
      </c>
      <c r="AA46" s="4" t="str">
        <f>IF(OR(J46="",Results!J16=""),"",IF(J46=Results!J16,1+IF(OR($O46=9,$P46=9,$Q46=9),1,0),0))</f>
        <v/>
      </c>
      <c r="AB46" s="4" t="str">
        <f>IF(OR(K46="",Results!K16=""),"",IF(K46=Results!K16,1+IF(OR($O46=10,$P46=10,$Q46=10),1,0),0))</f>
        <v/>
      </c>
      <c r="AC46" s="4" t="str">
        <f>IF(OR(L46="",Results!L16=""),"",IF(L46=Results!L16,1+IF(OR($O46=11,$P46=11,$Q46=11),1,0),0))</f>
        <v/>
      </c>
      <c r="AD46" s="4" t="str">
        <f>IF(OR(M46="",Results!M16=""),"",IF(M46=Results!M16,1+IF(OR($O46=12,$P46=12,$Q46=12),1,0),0))</f>
        <v/>
      </c>
      <c r="AE46" s="4" t="str">
        <f>IF(OR(N46="",Results!N16=""),"",IF(N46=Results!N16,1+IF(OR($O46=13,$P46=13,$Q46=13),1,0),0))</f>
        <v/>
      </c>
      <c r="AF46" s="11">
        <f t="shared" si="2"/>
        <v>0</v>
      </c>
      <c r="AG46" s="4" t="str">
        <f>IF(OR($R46="",Results!O16=""),"",ABS($R46-Results!O16))</f>
        <v/>
      </c>
      <c r="AH46" s="12">
        <v>36</v>
      </c>
      <c r="AI46" s="13" t="str">
        <f>IF(OR(B46="",Results!B16=""),"",IF(AND(B46=Results!B16,Results!B16&lt;&gt;Games!$C$148),1,0))</f>
        <v/>
      </c>
      <c r="AJ46" s="13" t="str">
        <f>IF(OR(C46="",Results!C16=""),"",IF(AND(C46=Results!C16,Results!C16&lt;&gt;Games!$C$149),1,0))</f>
        <v/>
      </c>
      <c r="AK46" s="13" t="str">
        <f>IF(OR(D46="",Results!D16=""),"",IF(AND(D46=Results!D16,Results!D16&lt;&gt;Games!$C$150),1,0))</f>
        <v/>
      </c>
      <c r="AL46" s="13" t="str">
        <f>IF(OR(E46="",Results!E16=""),"",IF(AND(E46=Results!E16,Results!E16&lt;&gt;Games!$C$151),1,0))</f>
        <v/>
      </c>
      <c r="AM46" s="13" t="str">
        <f>IF(OR(F46="",Results!F16=""),"",IF(AND(F46=Results!F16,Results!F16&lt;&gt;Games!$C$152),1,0))</f>
        <v/>
      </c>
      <c r="AN46" s="13" t="str">
        <f>IF(OR(G46="",Results!G16=""),"",IF(AND(G46=Results!G16,Results!G16&lt;&gt;Games!$C$153),1,0))</f>
        <v/>
      </c>
      <c r="AO46" s="13" t="str">
        <f>IF(OR(H46="",Results!H16=""),"",IF(AND(H46=Results!H16,Results!H16&lt;&gt;Games!$C$154),1,0))</f>
        <v/>
      </c>
      <c r="AP46" s="13" t="str">
        <f>IF(OR(I46="",Results!I16=""),"",IF(AND(I46=Results!I16,Results!I16&lt;&gt;Games!$C$155),1,0))</f>
        <v/>
      </c>
      <c r="AQ46" s="13" t="str">
        <f>IF(OR(J46="",Results!J16=""),"",IF(AND(J46=Results!J16,Results!J16&lt;&gt;Games!$C$156),1,0))</f>
        <v/>
      </c>
      <c r="AR46" s="13" t="str">
        <f>IF(OR(K46="",Results!K16=""),"",IF(AND(K46=Results!K16,Results!K16&lt;&gt;Games!$C$157),1,0))</f>
        <v/>
      </c>
      <c r="AS46" s="13" t="str">
        <f>IF(OR(L46="",Results!L16=""),"",IF(AND(L46=Results!L16,Results!L16&lt;&gt;Games!$C$158),1,0))</f>
        <v/>
      </c>
      <c r="AT46" s="13" t="str">
        <f>IF(OR(M46="",Results!M16=""),"",IF(AND(M46=Results!M16,Results!M16&lt;&gt;Games!$C$159),1,0))</f>
        <v/>
      </c>
      <c r="AU46" s="13" t="str">
        <f>IF(OR(N46="",Results!N16=""),"",IF(AND(N46=Results!N16,Results!N16&lt;&gt;Games!$C$160),1,0))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 t="str">
        <f>IF(OR(B47="",Results!B16=""),"",IF(B47=Results!B16,1+IF(OR($O47=1,$P47=1,$Q47=1),1,0),0))</f>
        <v/>
      </c>
      <c r="T47" s="4" t="str">
        <f>IF(OR(C47="",Results!C16=""),"",IF(C47=Results!C16,1+IF(OR($O47=2,$P47=2,$Q47=2),1,0),0))</f>
        <v/>
      </c>
      <c r="U47" s="4" t="str">
        <f>IF(OR(D47="",Results!D16=""),"",IF(D47=Results!D16,1+IF(OR($O47=3,$P47=3,$Q47=3),1,0),0))</f>
        <v/>
      </c>
      <c r="V47" s="4" t="str">
        <f>IF(OR(E47="",Results!E16=""),"",IF(E47=Results!E16,1+IF(OR($O47=4,$P47=4,$Q47=4),1,0),0))</f>
        <v/>
      </c>
      <c r="W47" s="4" t="str">
        <f>IF(OR(F47="",Results!F16=""),"",IF(F47=Results!F16,1+IF(OR($O47=5,$P47=5,$Q47=5),1,0),0))</f>
        <v/>
      </c>
      <c r="X47" s="4" t="str">
        <f>IF(OR(G47="",Results!G16=""),"",IF(G47=Results!G16,1+IF(OR($O47=6,$P47=6,$Q47=6),1,0),0))</f>
        <v/>
      </c>
      <c r="Y47" s="4" t="str">
        <f>IF(OR(H47="",Results!H16=""),"",IF(H47=Results!H16,1+IF(OR($O47=7,$P47=7,$Q47=7),1,0),0))</f>
        <v/>
      </c>
      <c r="Z47" s="4" t="str">
        <f>IF(OR(I47="",Results!I16=""),"",IF(I47=Results!I16,1+IF(OR($O47=8,$P47=8,$Q47=8),1,0),0))</f>
        <v/>
      </c>
      <c r="AA47" s="4" t="str">
        <f>IF(OR(J47="",Results!J16=""),"",IF(J47=Results!J16,1+IF(OR($O47=9,$P47=9,$Q47=9),1,0),0))</f>
        <v/>
      </c>
      <c r="AB47" s="4" t="str">
        <f>IF(OR(K47="",Results!K16=""),"",IF(K47=Results!K16,1+IF(OR($O47=10,$P47=10,$Q47=10),1,0),0))</f>
        <v/>
      </c>
      <c r="AC47" s="4" t="str">
        <f>IF(OR(L47="",Results!L16=""),"",IF(L47=Results!L16,1+IF(OR($O47=11,$P47=11,$Q47=11),1,0),0))</f>
        <v/>
      </c>
      <c r="AD47" s="4" t="str">
        <f>IF(OR(M47="",Results!M16=""),"",IF(M47=Results!M16,1+IF(OR($O47=12,$P47=12,$Q47=12),1,0),0))</f>
        <v/>
      </c>
      <c r="AE47" s="4" t="str">
        <f>IF(OR(N47="",Results!N16=""),"",IF(N47=Results!N16,1+IF(OR($O47=13,$P47=13,$Q47=13),1,0),0))</f>
        <v/>
      </c>
      <c r="AF47" s="11">
        <f t="shared" si="2"/>
        <v>0</v>
      </c>
      <c r="AG47" s="4" t="str">
        <f>IF(OR($R47="",Results!O16=""),"",ABS($R47-Results!O16))</f>
        <v/>
      </c>
      <c r="AH47" s="12">
        <v>25</v>
      </c>
      <c r="AI47" s="13" t="str">
        <f>IF(OR(B47="",Results!B16=""),"",IF(AND(B47=Results!B16,Results!B16&lt;&gt;Games!$C$148),1,0))</f>
        <v/>
      </c>
      <c r="AJ47" s="13" t="str">
        <f>IF(OR(C47="",Results!C16=""),"",IF(AND(C47=Results!C16,Results!C16&lt;&gt;Games!$C$149),1,0))</f>
        <v/>
      </c>
      <c r="AK47" s="13" t="str">
        <f>IF(OR(D47="",Results!D16=""),"",IF(AND(D47=Results!D16,Results!D16&lt;&gt;Games!$C$150),1,0))</f>
        <v/>
      </c>
      <c r="AL47" s="13" t="str">
        <f>IF(OR(E47="",Results!E16=""),"",IF(AND(E47=Results!E16,Results!E16&lt;&gt;Games!$C$151),1,0))</f>
        <v/>
      </c>
      <c r="AM47" s="13" t="str">
        <f>IF(OR(F47="",Results!F16=""),"",IF(AND(F47=Results!F16,Results!F16&lt;&gt;Games!$C$152),1,0))</f>
        <v/>
      </c>
      <c r="AN47" s="13" t="str">
        <f>IF(OR(G47="",Results!G16=""),"",IF(AND(G47=Results!G16,Results!G16&lt;&gt;Games!$C$153),1,0))</f>
        <v/>
      </c>
      <c r="AO47" s="13" t="str">
        <f>IF(OR(H47="",Results!H16=""),"",IF(AND(H47=Results!H16,Results!H16&lt;&gt;Games!$C$154),1,0))</f>
        <v/>
      </c>
      <c r="AP47" s="13" t="str">
        <f>IF(OR(I47="",Results!I16=""),"",IF(AND(I47=Results!I16,Results!I16&lt;&gt;Games!$C$155),1,0))</f>
        <v/>
      </c>
      <c r="AQ47" s="13" t="str">
        <f>IF(OR(J47="",Results!J16=""),"",IF(AND(J47=Results!J16,Results!J16&lt;&gt;Games!$C$156),1,0))</f>
        <v/>
      </c>
      <c r="AR47" s="13" t="str">
        <f>IF(OR(K47="",Results!K16=""),"",IF(AND(K47=Results!K16,Results!K16&lt;&gt;Games!$C$157),1,0))</f>
        <v/>
      </c>
      <c r="AS47" s="13" t="str">
        <f>IF(OR(L47="",Results!L16=""),"",IF(AND(L47=Results!L16,Results!L16&lt;&gt;Games!$C$158),1,0))</f>
        <v/>
      </c>
      <c r="AT47" s="13" t="str">
        <f>IF(OR(M47="",Results!M16=""),"",IF(AND(M47=Results!M16,Results!M16&lt;&gt;Games!$C$159),1,0))</f>
        <v/>
      </c>
      <c r="AU47" s="13" t="str">
        <f>IF(OR(N47="",Results!N16=""),"",IF(AND(N47=Results!N16,Results!N16&lt;&gt;Games!$C$160),1,0))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IF(OR(B48="",Results!B16=""),"",IF(B48=Results!B16,1+IF(OR($O48=1,$P48=1,$Q48=1),1,0),0))</f>
        <v/>
      </c>
      <c r="T48" s="4" t="str">
        <f>IF(OR(C48="",Results!C16=""),"",IF(C48=Results!C16,1+IF(OR($O48=2,$P48=2,$Q48=2),1,0),0))</f>
        <v/>
      </c>
      <c r="U48" s="4" t="str">
        <f>IF(OR(D48="",Results!D16=""),"",IF(D48=Results!D16,1+IF(OR($O48=3,$P48=3,$Q48=3),1,0),0))</f>
        <v/>
      </c>
      <c r="V48" s="4" t="str">
        <f>IF(OR(E48="",Results!E16=""),"",IF(E48=Results!E16,1+IF(OR($O48=4,$P48=4,$Q48=4),1,0),0))</f>
        <v/>
      </c>
      <c r="W48" s="4" t="str">
        <f>IF(OR(F48="",Results!F16=""),"",IF(F48=Results!F16,1+IF(OR($O48=5,$P48=5,$Q48=5),1,0),0))</f>
        <v/>
      </c>
      <c r="X48" s="4" t="str">
        <f>IF(OR(G48="",Results!G16=""),"",IF(G48=Results!G16,1+IF(OR($O48=6,$P48=6,$Q48=6),1,0),0))</f>
        <v/>
      </c>
      <c r="Y48" s="4" t="str">
        <f>IF(OR(H48="",Results!H16=""),"",IF(H48=Results!H16,1+IF(OR($O48=7,$P48=7,$Q48=7),1,0),0))</f>
        <v/>
      </c>
      <c r="Z48" s="4" t="str">
        <f>IF(OR(I48="",Results!I16=""),"",IF(I48=Results!I16,1+IF(OR($O48=8,$P48=8,$Q48=8),1,0),0))</f>
        <v/>
      </c>
      <c r="AA48" s="4" t="str">
        <f>IF(OR(J48="",Results!J16=""),"",IF(J48=Results!J16,1+IF(OR($O48=9,$P48=9,$Q48=9),1,0),0))</f>
        <v/>
      </c>
      <c r="AB48" s="4" t="str">
        <f>IF(OR(K48="",Results!K16=""),"",IF(K48=Results!K16,1+IF(OR($O48=10,$P48=10,$Q48=10),1,0),0))</f>
        <v/>
      </c>
      <c r="AC48" s="4" t="str">
        <f>IF(OR(L48="",Results!L16=""),"",IF(L48=Results!L16,1+IF(OR($O48=11,$P48=11,$Q48=11),1,0),0))</f>
        <v/>
      </c>
      <c r="AD48" s="4" t="str">
        <f>IF(OR(M48="",Results!M16=""),"",IF(M48=Results!M16,1+IF(OR($O48=12,$P48=12,$Q48=12),1,0),0))</f>
        <v/>
      </c>
      <c r="AE48" s="4" t="str">
        <f>IF(OR(N48="",Results!N16=""),"",IF(N48=Results!N16,1+IF(OR($O48=13,$P48=13,$Q48=13),1,0),0))</f>
        <v/>
      </c>
      <c r="AF48" s="11">
        <f t="shared" si="2"/>
        <v>0</v>
      </c>
      <c r="AG48" s="4" t="str">
        <f>IF(OR($R48="",Results!O16=""),"",ABS($R48-Results!O16))</f>
        <v/>
      </c>
      <c r="AH48" s="12">
        <v>56</v>
      </c>
      <c r="AI48" s="13" t="str">
        <f>IF(OR(B48="",Results!B16=""),"",IF(AND(B48=Results!B16,Results!B16&lt;&gt;Games!$C$148),1,0))</f>
        <v/>
      </c>
      <c r="AJ48" s="13" t="str">
        <f>IF(OR(C48="",Results!C16=""),"",IF(AND(C48=Results!C16,Results!C16&lt;&gt;Games!$C$149),1,0))</f>
        <v/>
      </c>
      <c r="AK48" s="13" t="str">
        <f>IF(OR(D48="",Results!D16=""),"",IF(AND(D48=Results!D16,Results!D16&lt;&gt;Games!$C$150),1,0))</f>
        <v/>
      </c>
      <c r="AL48" s="13" t="str">
        <f>IF(OR(E48="",Results!E16=""),"",IF(AND(E48=Results!E16,Results!E16&lt;&gt;Games!$C$151),1,0))</f>
        <v/>
      </c>
      <c r="AM48" s="13" t="str">
        <f>IF(OR(F48="",Results!F16=""),"",IF(AND(F48=Results!F16,Results!F16&lt;&gt;Games!$C$152),1,0))</f>
        <v/>
      </c>
      <c r="AN48" s="13" t="str">
        <f>IF(OR(G48="",Results!G16=""),"",IF(AND(G48=Results!G16,Results!G16&lt;&gt;Games!$C$153),1,0))</f>
        <v/>
      </c>
      <c r="AO48" s="13" t="str">
        <f>IF(OR(H48="",Results!H16=""),"",IF(AND(H48=Results!H16,Results!H16&lt;&gt;Games!$C$154),1,0))</f>
        <v/>
      </c>
      <c r="AP48" s="13" t="str">
        <f>IF(OR(I48="",Results!I16=""),"",IF(AND(I48=Results!I16,Results!I16&lt;&gt;Games!$C$155),1,0))</f>
        <v/>
      </c>
      <c r="AQ48" s="13" t="str">
        <f>IF(OR(J48="",Results!J16=""),"",IF(AND(J48=Results!J16,Results!J16&lt;&gt;Games!$C$156),1,0))</f>
        <v/>
      </c>
      <c r="AR48" s="13" t="str">
        <f>IF(OR(K48="",Results!K16=""),"",IF(AND(K48=Results!K16,Results!K16&lt;&gt;Games!$C$157),1,0))</f>
        <v/>
      </c>
      <c r="AS48" s="13" t="str">
        <f>IF(OR(L48="",Results!L16=""),"",IF(AND(L48=Results!L16,Results!L16&lt;&gt;Games!$C$158),1,0))</f>
        <v/>
      </c>
      <c r="AT48" s="13" t="str">
        <f>IF(OR(M48="",Results!M16=""),"",IF(AND(M48=Results!M16,Results!M16&lt;&gt;Games!$C$159),1,0))</f>
        <v/>
      </c>
      <c r="AU48" s="13" t="str">
        <f>IF(OR(N48="",Results!N16=""),"",IF(AND(N48=Results!N16,Results!N16&lt;&gt;Games!$C$160),1,0))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 t="str">
        <f>IF(OR(B49="",Results!B16=""),"",IF(B49=Results!B16,1+IF(OR($O49=1,$P49=1,$Q49=1),1,0),0))</f>
        <v/>
      </c>
      <c r="T49" s="4" t="str">
        <f>IF(OR(C49="",Results!C16=""),"",IF(C49=Results!C16,1+IF(OR($O49=2,$P49=2,$Q49=2),1,0),0))</f>
        <v/>
      </c>
      <c r="U49" s="4" t="str">
        <f>IF(OR(D49="",Results!D16=""),"",IF(D49=Results!D16,1+IF(OR($O49=3,$P49=3,$Q49=3),1,0),0))</f>
        <v/>
      </c>
      <c r="V49" s="4" t="str">
        <f>IF(OR(E49="",Results!E16=""),"",IF(E49=Results!E16,1+IF(OR($O49=4,$P49=4,$Q49=4),1,0),0))</f>
        <v/>
      </c>
      <c r="W49" s="4" t="str">
        <f>IF(OR(F49="",Results!F16=""),"",IF(F49=Results!F16,1+IF(OR($O49=5,$P49=5,$Q49=5),1,0),0))</f>
        <v/>
      </c>
      <c r="X49" s="4" t="str">
        <f>IF(OR(G49="",Results!G16=""),"",IF(G49=Results!G16,1+IF(OR($O49=6,$P49=6,$Q49=6),1,0),0))</f>
        <v/>
      </c>
      <c r="Y49" s="4" t="str">
        <f>IF(OR(H49="",Results!H16=""),"",IF(H49=Results!H16,1+IF(OR($O49=7,$P49=7,$Q49=7),1,0),0))</f>
        <v/>
      </c>
      <c r="Z49" s="4" t="str">
        <f>IF(OR(I49="",Results!I16=""),"",IF(I49=Results!I16,1+IF(OR($O49=8,$P49=8,$Q49=8),1,0),0))</f>
        <v/>
      </c>
      <c r="AA49" s="4" t="str">
        <f>IF(OR(J49="",Results!J16=""),"",IF(J49=Results!J16,1+IF(OR($O49=9,$P49=9,$Q49=9),1,0),0))</f>
        <v/>
      </c>
      <c r="AB49" s="4" t="str">
        <f>IF(OR(K49="",Results!K16=""),"",IF(K49=Results!K16,1+IF(OR($O49=10,$P49=10,$Q49=10),1,0),0))</f>
        <v/>
      </c>
      <c r="AC49" s="4" t="str">
        <f>IF(OR(L49="",Results!L16=""),"",IF(L49=Results!L16,1+IF(OR($O49=11,$P49=11,$Q49=11),1,0),0))</f>
        <v/>
      </c>
      <c r="AD49" s="4" t="str">
        <f>IF(OR(M49="",Results!M16=""),"",IF(M49=Results!M16,1+IF(OR($O49=12,$P49=12,$Q49=12),1,0),0))</f>
        <v/>
      </c>
      <c r="AE49" s="4" t="str">
        <f>IF(OR(N49="",Results!N16=""),"",IF(N49=Results!N16,1+IF(OR($O49=13,$P49=13,$Q49=13),1,0),0))</f>
        <v/>
      </c>
      <c r="AF49" s="11">
        <f t="shared" si="2"/>
        <v>0</v>
      </c>
      <c r="AG49" s="4" t="str">
        <f>IF(OR($R49="",Results!O16=""),"",ABS($R49-Results!O16))</f>
        <v/>
      </c>
      <c r="AH49" s="12">
        <v>34</v>
      </c>
      <c r="AI49" s="13" t="str">
        <f>IF(OR(B49="",Results!B16=""),"",IF(AND(B49=Results!B16,Results!B16&lt;&gt;Games!$C$148),1,0))</f>
        <v/>
      </c>
      <c r="AJ49" s="13" t="str">
        <f>IF(OR(C49="",Results!C16=""),"",IF(AND(C49=Results!C16,Results!C16&lt;&gt;Games!$C$149),1,0))</f>
        <v/>
      </c>
      <c r="AK49" s="13" t="str">
        <f>IF(OR(D49="",Results!D16=""),"",IF(AND(D49=Results!D16,Results!D16&lt;&gt;Games!$C$150),1,0))</f>
        <v/>
      </c>
      <c r="AL49" s="13" t="str">
        <f>IF(OR(E49="",Results!E16=""),"",IF(AND(E49=Results!E16,Results!E16&lt;&gt;Games!$C$151),1,0))</f>
        <v/>
      </c>
      <c r="AM49" s="13" t="str">
        <f>IF(OR(F49="",Results!F16=""),"",IF(AND(F49=Results!F16,Results!F16&lt;&gt;Games!$C$152),1,0))</f>
        <v/>
      </c>
      <c r="AN49" s="13" t="str">
        <f>IF(OR(G49="",Results!G16=""),"",IF(AND(G49=Results!G16,Results!G16&lt;&gt;Games!$C$153),1,0))</f>
        <v/>
      </c>
      <c r="AO49" s="13" t="str">
        <f>IF(OR(H49="",Results!H16=""),"",IF(AND(H49=Results!H16,Results!H16&lt;&gt;Games!$C$154),1,0))</f>
        <v/>
      </c>
      <c r="AP49" s="13" t="str">
        <f>IF(OR(I49="",Results!I16=""),"",IF(AND(I49=Results!I16,Results!I16&lt;&gt;Games!$C$155),1,0))</f>
        <v/>
      </c>
      <c r="AQ49" s="13" t="str">
        <f>IF(OR(J49="",Results!J16=""),"",IF(AND(J49=Results!J16,Results!J16&lt;&gt;Games!$C$156),1,0))</f>
        <v/>
      </c>
      <c r="AR49" s="13" t="str">
        <f>IF(OR(K49="",Results!K16=""),"",IF(AND(K49=Results!K16,Results!K16&lt;&gt;Games!$C$157),1,0))</f>
        <v/>
      </c>
      <c r="AS49" s="13" t="str">
        <f>IF(OR(L49="",Results!L16=""),"",IF(AND(L49=Results!L16,Results!L16&lt;&gt;Games!$C$158),1,0))</f>
        <v/>
      </c>
      <c r="AT49" s="13" t="str">
        <f>IF(OR(M49="",Results!M16=""),"",IF(AND(M49=Results!M16,Results!M16&lt;&gt;Games!$C$159),1,0))</f>
        <v/>
      </c>
      <c r="AU49" s="13" t="str">
        <f>IF(OR(N49="",Results!N16=""),"",IF(AND(N49=Results!N16,Results!N16&lt;&gt;Games!$C$160),1,0))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IF(OR(B50="",Results!B16=""),"",IF(B50=Results!B16,1+IF(OR($O50=1,$P50=1,$Q50=1),1,0),0))</f>
        <v/>
      </c>
      <c r="T50" s="4" t="str">
        <f>IF(OR(C50="",Results!C16=""),"",IF(C50=Results!C16,1+IF(OR($O50=2,$P50=2,$Q50=2),1,0),0))</f>
        <v/>
      </c>
      <c r="U50" s="4" t="str">
        <f>IF(OR(D50="",Results!D16=""),"",IF(D50=Results!D16,1+IF(OR($O50=3,$P50=3,$Q50=3),1,0),0))</f>
        <v/>
      </c>
      <c r="V50" s="4" t="str">
        <f>IF(OR(E50="",Results!E16=""),"",IF(E50=Results!E16,1+IF(OR($O50=4,$P50=4,$Q50=4),1,0),0))</f>
        <v/>
      </c>
      <c r="W50" s="4" t="str">
        <f>IF(OR(F50="",Results!F16=""),"",IF(F50=Results!F16,1+IF(OR($O50=5,$P50=5,$Q50=5),1,0),0))</f>
        <v/>
      </c>
      <c r="X50" s="4" t="str">
        <f>IF(OR(G50="",Results!G16=""),"",IF(G50=Results!G16,1+IF(OR($O50=6,$P50=6,$Q50=6),1,0),0))</f>
        <v/>
      </c>
      <c r="Y50" s="4" t="str">
        <f>IF(OR(H50="",Results!H16=""),"",IF(H50=Results!H16,1+IF(OR($O50=7,$P50=7,$Q50=7),1,0),0))</f>
        <v/>
      </c>
      <c r="Z50" s="4" t="str">
        <f>IF(OR(I50="",Results!I16=""),"",IF(I50=Results!I16,1+IF(OR($O50=8,$P50=8,$Q50=8),1,0),0))</f>
        <v/>
      </c>
      <c r="AA50" s="4" t="str">
        <f>IF(OR(J50="",Results!J16=""),"",IF(J50=Results!J16,1+IF(OR($O50=9,$P50=9,$Q50=9),1,0),0))</f>
        <v/>
      </c>
      <c r="AB50" s="4" t="str">
        <f>IF(OR(K50="",Results!K16=""),"",IF(K50=Results!K16,1+IF(OR($O50=10,$P50=10,$Q50=10),1,0),0))</f>
        <v/>
      </c>
      <c r="AC50" s="4" t="str">
        <f>IF(OR(L50="",Results!L16=""),"",IF(L50=Results!L16,1+IF(OR($O50=11,$P50=11,$Q50=11),1,0),0))</f>
        <v/>
      </c>
      <c r="AD50" s="4" t="str">
        <f>IF(OR(M50="",Results!M16=""),"",IF(M50=Results!M16,1+IF(OR($O50=12,$P50=12,$Q50=12),1,0),0))</f>
        <v/>
      </c>
      <c r="AE50" s="4" t="str">
        <f>IF(OR(N50="",Results!N16=""),"",IF(N50=Results!N16,1+IF(OR($O50=13,$P50=13,$Q50=13),1,0),0))</f>
        <v/>
      </c>
      <c r="AF50" s="11">
        <f t="shared" si="2"/>
        <v>0</v>
      </c>
      <c r="AG50" s="4" t="str">
        <f>IF(OR($R50="",Results!O16=""),"",ABS($R50-Results!O16))</f>
        <v/>
      </c>
      <c r="AH50" s="12">
        <v>40</v>
      </c>
      <c r="AI50" s="13" t="str">
        <f>IF(OR(B50="",Results!B16=""),"",IF(AND(B50=Results!B16,Results!B16&lt;&gt;Games!$C$148),1,0))</f>
        <v/>
      </c>
      <c r="AJ50" s="13" t="str">
        <f>IF(OR(C50="",Results!C16=""),"",IF(AND(C50=Results!C16,Results!C16&lt;&gt;Games!$C$149),1,0))</f>
        <v/>
      </c>
      <c r="AK50" s="13" t="str">
        <f>IF(OR(D50="",Results!D16=""),"",IF(AND(D50=Results!D16,Results!D16&lt;&gt;Games!$C$150),1,0))</f>
        <v/>
      </c>
      <c r="AL50" s="13" t="str">
        <f>IF(OR(E50="",Results!E16=""),"",IF(AND(E50=Results!E16,Results!E16&lt;&gt;Games!$C$151),1,0))</f>
        <v/>
      </c>
      <c r="AM50" s="13" t="str">
        <f>IF(OR(F50="",Results!F16=""),"",IF(AND(F50=Results!F16,Results!F16&lt;&gt;Games!$C$152),1,0))</f>
        <v/>
      </c>
      <c r="AN50" s="13" t="str">
        <f>IF(OR(G50="",Results!G16=""),"",IF(AND(G50=Results!G16,Results!G16&lt;&gt;Games!$C$153),1,0))</f>
        <v/>
      </c>
      <c r="AO50" s="13" t="str">
        <f>IF(OR(H50="",Results!H16=""),"",IF(AND(H50=Results!H16,Results!H16&lt;&gt;Games!$C$154),1,0))</f>
        <v/>
      </c>
      <c r="AP50" s="13" t="str">
        <f>IF(OR(I50="",Results!I16=""),"",IF(AND(I50=Results!I16,Results!I16&lt;&gt;Games!$C$155),1,0))</f>
        <v/>
      </c>
      <c r="AQ50" s="13" t="str">
        <f>IF(OR(J50="",Results!J16=""),"",IF(AND(J50=Results!J16,Results!J16&lt;&gt;Games!$C$156),1,0))</f>
        <v/>
      </c>
      <c r="AR50" s="13" t="str">
        <f>IF(OR(K50="",Results!K16=""),"",IF(AND(K50=Results!K16,Results!K16&lt;&gt;Games!$C$157),1,0))</f>
        <v/>
      </c>
      <c r="AS50" s="13" t="str">
        <f>IF(OR(L50="",Results!L16=""),"",IF(AND(L50=Results!L16,Results!L16&lt;&gt;Games!$C$158),1,0))</f>
        <v/>
      </c>
      <c r="AT50" s="13" t="str">
        <f>IF(OR(M50="",Results!M16=""),"",IF(AND(M50=Results!M16,Results!M16&lt;&gt;Games!$C$159),1,0))</f>
        <v/>
      </c>
      <c r="AU50" s="13" t="str">
        <f>IF(OR(N50="",Results!N16=""),"",IF(AND(N50=Results!N16,Results!N16&lt;&gt;Games!$C$160),1,0))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IF(OR(B51="",Results!B16=""),"",IF(B51=Results!B16,1+IF(OR($O51=1,$P51=1,$Q51=1),1,0),0))</f>
        <v/>
      </c>
      <c r="T51" s="4" t="str">
        <f>IF(OR(C51="",Results!C16=""),"",IF(C51=Results!C16,1+IF(OR($O51=2,$P51=2,$Q51=2),1,0),0))</f>
        <v/>
      </c>
      <c r="U51" s="4" t="str">
        <f>IF(OR(D51="",Results!D16=""),"",IF(D51=Results!D16,1+IF(OR($O51=3,$P51=3,$Q51=3),1,0),0))</f>
        <v/>
      </c>
      <c r="V51" s="4" t="str">
        <f>IF(OR(E51="",Results!E16=""),"",IF(E51=Results!E16,1+IF(OR($O51=4,$P51=4,$Q51=4),1,0),0))</f>
        <v/>
      </c>
      <c r="W51" s="4" t="str">
        <f>IF(OR(F51="",Results!F16=""),"",IF(F51=Results!F16,1+IF(OR($O51=5,$P51=5,$Q51=5),1,0),0))</f>
        <v/>
      </c>
      <c r="X51" s="4" t="str">
        <f>IF(OR(G51="",Results!G16=""),"",IF(G51=Results!G16,1+IF(OR($O51=6,$P51=6,$Q51=6),1,0),0))</f>
        <v/>
      </c>
      <c r="Y51" s="4" t="str">
        <f>IF(OR(H51="",Results!H16=""),"",IF(H51=Results!H16,1+IF(OR($O51=7,$P51=7,$Q51=7),1,0),0))</f>
        <v/>
      </c>
      <c r="Z51" s="4" t="str">
        <f>IF(OR(I51="",Results!I16=""),"",IF(I51=Results!I16,1+IF(OR($O51=8,$P51=8,$Q51=8),1,0),0))</f>
        <v/>
      </c>
      <c r="AA51" s="4" t="str">
        <f>IF(OR(J51="",Results!J16=""),"",IF(J51=Results!J16,1+IF(OR($O51=9,$P51=9,$Q51=9),1,0),0))</f>
        <v/>
      </c>
      <c r="AB51" s="4" t="str">
        <f>IF(OR(K51="",Results!K16=""),"",IF(K51=Results!K16,1+IF(OR($O51=10,$P51=10,$Q51=10),1,0),0))</f>
        <v/>
      </c>
      <c r="AC51" s="4" t="str">
        <f>IF(OR(L51="",Results!L16=""),"",IF(L51=Results!L16,1+IF(OR($O51=11,$P51=11,$Q51=11),1,0),0))</f>
        <v/>
      </c>
      <c r="AD51" s="4" t="str">
        <f>IF(OR(M51="",Results!M16=""),"",IF(M51=Results!M16,1+IF(OR($O51=12,$P51=12,$Q51=12),1,0),0))</f>
        <v/>
      </c>
      <c r="AE51" s="4" t="str">
        <f>IF(OR(N51="",Results!N16=""),"",IF(N51=Results!N16,1+IF(OR($O51=13,$P51=13,$Q51=13),1,0),0))</f>
        <v/>
      </c>
      <c r="AF51" s="11">
        <f t="shared" si="2"/>
        <v>0</v>
      </c>
      <c r="AG51" s="4" t="str">
        <f>IF(OR($R51="",Results!O16=""),"",ABS($R51-Results!O16))</f>
        <v/>
      </c>
      <c r="AH51" s="12">
        <v>42</v>
      </c>
      <c r="AI51" s="13" t="str">
        <f>IF(OR(B51="",Results!B16=""),"",IF(AND(B51=Results!B16,Results!B16&lt;&gt;Games!$C$148),1,0))</f>
        <v/>
      </c>
      <c r="AJ51" s="13" t="str">
        <f>IF(OR(C51="",Results!C16=""),"",IF(AND(C51=Results!C16,Results!C16&lt;&gt;Games!$C$149),1,0))</f>
        <v/>
      </c>
      <c r="AK51" s="13" t="str">
        <f>IF(OR(D51="",Results!D16=""),"",IF(AND(D51=Results!D16,Results!D16&lt;&gt;Games!$C$150),1,0))</f>
        <v/>
      </c>
      <c r="AL51" s="13" t="str">
        <f>IF(OR(E51="",Results!E16=""),"",IF(AND(E51=Results!E16,Results!E16&lt;&gt;Games!$C$151),1,0))</f>
        <v/>
      </c>
      <c r="AM51" s="13" t="str">
        <f>IF(OR(F51="",Results!F16=""),"",IF(AND(F51=Results!F16,Results!F16&lt;&gt;Games!$C$152),1,0))</f>
        <v/>
      </c>
      <c r="AN51" s="13" t="str">
        <f>IF(OR(G51="",Results!G16=""),"",IF(AND(G51=Results!G16,Results!G16&lt;&gt;Games!$C$153),1,0))</f>
        <v/>
      </c>
      <c r="AO51" s="13" t="str">
        <f>IF(OR(H51="",Results!H16=""),"",IF(AND(H51=Results!H16,Results!H16&lt;&gt;Games!$C$154),1,0))</f>
        <v/>
      </c>
      <c r="AP51" s="13" t="str">
        <f>IF(OR(I51="",Results!I16=""),"",IF(AND(I51=Results!I16,Results!I16&lt;&gt;Games!$C$155),1,0))</f>
        <v/>
      </c>
      <c r="AQ51" s="13" t="str">
        <f>IF(OR(J51="",Results!J16=""),"",IF(AND(J51=Results!J16,Results!J16&lt;&gt;Games!$C$156),1,0))</f>
        <v/>
      </c>
      <c r="AR51" s="13" t="str">
        <f>IF(OR(K51="",Results!K16=""),"",IF(AND(K51=Results!K16,Results!K16&lt;&gt;Games!$C$157),1,0))</f>
        <v/>
      </c>
      <c r="AS51" s="13" t="str">
        <f>IF(OR(L51="",Results!L16=""),"",IF(AND(L51=Results!L16,Results!L16&lt;&gt;Games!$C$158),1,0))</f>
        <v/>
      </c>
      <c r="AT51" s="13" t="str">
        <f>IF(OR(M51="",Results!M16=""),"",IF(AND(M51=Results!M16,Results!M16&lt;&gt;Games!$C$159),1,0))</f>
        <v/>
      </c>
      <c r="AU51" s="13" t="str">
        <f>IF(OR(N51="",Results!N16=""),"",IF(AND(N51=Results!N16,Results!N16&lt;&gt;Games!$C$160),1,0))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 t="str">
        <f>IF(OR(B52="",Results!B16=""),"",IF(B52=Results!B16,1+IF(OR($O52=1,$P52=1,$Q52=1),1,0),0))</f>
        <v/>
      </c>
      <c r="T52" s="4" t="str">
        <f>IF(OR(C52="",Results!C16=""),"",IF(C52=Results!C16,1+IF(OR($O52=2,$P52=2,$Q52=2),1,0),0))</f>
        <v/>
      </c>
      <c r="U52" s="4" t="str">
        <f>IF(OR(D52="",Results!D16=""),"",IF(D52=Results!D16,1+IF(OR($O52=3,$P52=3,$Q52=3),1,0),0))</f>
        <v/>
      </c>
      <c r="V52" s="4" t="str">
        <f>IF(OR(E52="",Results!E16=""),"",IF(E52=Results!E16,1+IF(OR($O52=4,$P52=4,$Q52=4),1,0),0))</f>
        <v/>
      </c>
      <c r="W52" s="4" t="str">
        <f>IF(OR(F52="",Results!F16=""),"",IF(F52=Results!F16,1+IF(OR($O52=5,$P52=5,$Q52=5),1,0),0))</f>
        <v/>
      </c>
      <c r="X52" s="4" t="str">
        <f>IF(OR(G52="",Results!G16=""),"",IF(G52=Results!G16,1+IF(OR($O52=6,$P52=6,$Q52=6),1,0),0))</f>
        <v/>
      </c>
      <c r="Y52" s="4" t="str">
        <f>IF(OR(H52="",Results!H16=""),"",IF(H52=Results!H16,1+IF(OR($O52=7,$P52=7,$Q52=7),1,0),0))</f>
        <v/>
      </c>
      <c r="Z52" s="4" t="str">
        <f>IF(OR(I52="",Results!I16=""),"",IF(I52=Results!I16,1+IF(OR($O52=8,$P52=8,$Q52=8),1,0),0))</f>
        <v/>
      </c>
      <c r="AA52" s="4" t="str">
        <f>IF(OR(J52="",Results!J16=""),"",IF(J52=Results!J16,1+IF(OR($O52=9,$P52=9,$Q52=9),1,0),0))</f>
        <v/>
      </c>
      <c r="AB52" s="4" t="str">
        <f>IF(OR(K52="",Results!K16=""),"",IF(K52=Results!K16,1+IF(OR($O52=10,$P52=10,$Q52=10),1,0),0))</f>
        <v/>
      </c>
      <c r="AC52" s="4" t="str">
        <f>IF(OR(L52="",Results!L16=""),"",IF(L52=Results!L16,1+IF(OR($O52=11,$P52=11,$Q52=11),1,0),0))</f>
        <v/>
      </c>
      <c r="AD52" s="4" t="str">
        <f>IF(OR(M52="",Results!M16=""),"",IF(M52=Results!M16,1+IF(OR($O52=12,$P52=12,$Q52=12),1,0),0))</f>
        <v/>
      </c>
      <c r="AE52" s="4" t="str">
        <f>IF(OR(N52="",Results!N16=""),"",IF(N52=Results!N16,1+IF(OR($O52=13,$P52=13,$Q52=13),1,0),0))</f>
        <v/>
      </c>
      <c r="AF52" s="11">
        <f t="shared" si="2"/>
        <v>0</v>
      </c>
      <c r="AG52" s="4" t="str">
        <f>IF(OR($R52="",Results!O16=""),"",ABS($R52-Results!O16))</f>
        <v/>
      </c>
      <c r="AH52" s="12">
        <v>27</v>
      </c>
      <c r="AI52" s="13" t="str">
        <f>IF(OR(B52="",Results!B16=""),"",IF(AND(B52=Results!B16,Results!B16&lt;&gt;Games!$C$148),1,0))</f>
        <v/>
      </c>
      <c r="AJ52" s="13" t="str">
        <f>IF(OR(C52="",Results!C16=""),"",IF(AND(C52=Results!C16,Results!C16&lt;&gt;Games!$C$149),1,0))</f>
        <v/>
      </c>
      <c r="AK52" s="13" t="str">
        <f>IF(OR(D52="",Results!D16=""),"",IF(AND(D52=Results!D16,Results!D16&lt;&gt;Games!$C$150),1,0))</f>
        <v/>
      </c>
      <c r="AL52" s="13" t="str">
        <f>IF(OR(E52="",Results!E16=""),"",IF(AND(E52=Results!E16,Results!E16&lt;&gt;Games!$C$151),1,0))</f>
        <v/>
      </c>
      <c r="AM52" s="13" t="str">
        <f>IF(OR(F52="",Results!F16=""),"",IF(AND(F52=Results!F16,Results!F16&lt;&gt;Games!$C$152),1,0))</f>
        <v/>
      </c>
      <c r="AN52" s="13" t="str">
        <f>IF(OR(G52="",Results!G16=""),"",IF(AND(G52=Results!G16,Results!G16&lt;&gt;Games!$C$153),1,0))</f>
        <v/>
      </c>
      <c r="AO52" s="13" t="str">
        <f>IF(OR(H52="",Results!H16=""),"",IF(AND(H52=Results!H16,Results!H16&lt;&gt;Games!$C$154),1,0))</f>
        <v/>
      </c>
      <c r="AP52" s="13" t="str">
        <f>IF(OR(I52="",Results!I16=""),"",IF(AND(I52=Results!I16,Results!I16&lt;&gt;Games!$C$155),1,0))</f>
        <v/>
      </c>
      <c r="AQ52" s="13" t="str">
        <f>IF(OR(J52="",Results!J16=""),"",IF(AND(J52=Results!J16,Results!J16&lt;&gt;Games!$C$156),1,0))</f>
        <v/>
      </c>
      <c r="AR52" s="13" t="str">
        <f>IF(OR(K52="",Results!K16=""),"",IF(AND(K52=Results!K16,Results!K16&lt;&gt;Games!$C$157),1,0))</f>
        <v/>
      </c>
      <c r="AS52" s="13" t="str">
        <f>IF(OR(L52="",Results!L16=""),"",IF(AND(L52=Results!L16,Results!L16&lt;&gt;Games!$C$158),1,0))</f>
        <v/>
      </c>
      <c r="AT52" s="13" t="str">
        <f>IF(OR(M52="",Results!M16=""),"",IF(AND(M52=Results!M16,Results!M16&lt;&gt;Games!$C$159),1,0))</f>
        <v/>
      </c>
      <c r="AU52" s="13" t="str">
        <f>IF(OR(N52="",Results!N16=""),"",IF(AND(N52=Results!N16,Results!N16&lt;&gt;Games!$C$160),1,0))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IF(OR(B53="",Results!B16=""),"",IF(B53=Results!B16,1+IF(OR($O53=1,$P53=1,$Q53=1),1,0),0))</f>
        <v/>
      </c>
      <c r="T53" s="4" t="str">
        <f>IF(OR(C53="",Results!C16=""),"",IF(C53=Results!C16,1+IF(OR($O53=2,$P53=2,$Q53=2),1,0),0))</f>
        <v/>
      </c>
      <c r="U53" s="4" t="str">
        <f>IF(OR(D53="",Results!D16=""),"",IF(D53=Results!D16,1+IF(OR($O53=3,$P53=3,$Q53=3),1,0),0))</f>
        <v/>
      </c>
      <c r="V53" s="4" t="str">
        <f>IF(OR(E53="",Results!E16=""),"",IF(E53=Results!E16,1+IF(OR($O53=4,$P53=4,$Q53=4),1,0),0))</f>
        <v/>
      </c>
      <c r="W53" s="4" t="str">
        <f>IF(OR(F53="",Results!F16=""),"",IF(F53=Results!F16,1+IF(OR($O53=5,$P53=5,$Q53=5),1,0),0))</f>
        <v/>
      </c>
      <c r="X53" s="4" t="str">
        <f>IF(OR(G53="",Results!G16=""),"",IF(G53=Results!G16,1+IF(OR($O53=6,$P53=6,$Q53=6),1,0),0))</f>
        <v/>
      </c>
      <c r="Y53" s="4" t="str">
        <f>IF(OR(H53="",Results!H16=""),"",IF(H53=Results!H16,1+IF(OR($O53=7,$P53=7,$Q53=7),1,0),0))</f>
        <v/>
      </c>
      <c r="Z53" s="4" t="str">
        <f>IF(OR(I53="",Results!I16=""),"",IF(I53=Results!I16,1+IF(OR($O53=8,$P53=8,$Q53=8),1,0),0))</f>
        <v/>
      </c>
      <c r="AA53" s="4" t="str">
        <f>IF(OR(J53="",Results!J16=""),"",IF(J53=Results!J16,1+IF(OR($O53=9,$P53=9,$Q53=9),1,0),0))</f>
        <v/>
      </c>
      <c r="AB53" s="4" t="str">
        <f>IF(OR(K53="",Results!K16=""),"",IF(K53=Results!K16,1+IF(OR($O53=10,$P53=10,$Q53=10),1,0),0))</f>
        <v/>
      </c>
      <c r="AC53" s="4" t="str">
        <f>IF(OR(L53="",Results!L16=""),"",IF(L53=Results!L16,1+IF(OR($O53=11,$P53=11,$Q53=11),1,0),0))</f>
        <v/>
      </c>
      <c r="AD53" s="4" t="str">
        <f>IF(OR(M53="",Results!M16=""),"",IF(M53=Results!M16,1+IF(OR($O53=12,$P53=12,$Q53=12),1,0),0))</f>
        <v/>
      </c>
      <c r="AE53" s="4" t="str">
        <f>IF(OR(N53="",Results!N16=""),"",IF(N53=Results!N16,1+IF(OR($O53=13,$P53=13,$Q53=13),1,0),0))</f>
        <v/>
      </c>
      <c r="AF53" s="11">
        <f t="shared" si="2"/>
        <v>0</v>
      </c>
      <c r="AG53" s="4" t="str">
        <f>IF(OR($R53="",Results!O16=""),"",ABS($R53-Results!O16))</f>
        <v/>
      </c>
      <c r="AH53" s="12">
        <v>35</v>
      </c>
      <c r="AI53" s="13" t="str">
        <f>IF(OR(B53="",Results!B16=""),"",IF(AND(B53=Results!B16,Results!B16&lt;&gt;Games!$C$148),1,0))</f>
        <v/>
      </c>
      <c r="AJ53" s="13" t="str">
        <f>IF(OR(C53="",Results!C16=""),"",IF(AND(C53=Results!C16,Results!C16&lt;&gt;Games!$C$149),1,0))</f>
        <v/>
      </c>
      <c r="AK53" s="13" t="str">
        <f>IF(OR(D53="",Results!D16=""),"",IF(AND(D53=Results!D16,Results!D16&lt;&gt;Games!$C$150),1,0))</f>
        <v/>
      </c>
      <c r="AL53" s="13" t="str">
        <f>IF(OR(E53="",Results!E16=""),"",IF(AND(E53=Results!E16,Results!E16&lt;&gt;Games!$C$151),1,0))</f>
        <v/>
      </c>
      <c r="AM53" s="13" t="str">
        <f>IF(OR(F53="",Results!F16=""),"",IF(AND(F53=Results!F16,Results!F16&lt;&gt;Games!$C$152),1,0))</f>
        <v/>
      </c>
      <c r="AN53" s="13" t="str">
        <f>IF(OR(G53="",Results!G16=""),"",IF(AND(G53=Results!G16,Results!G16&lt;&gt;Games!$C$153),1,0))</f>
        <v/>
      </c>
      <c r="AO53" s="13" t="str">
        <f>IF(OR(H53="",Results!H16=""),"",IF(AND(H53=Results!H16,Results!H16&lt;&gt;Games!$C$154),1,0))</f>
        <v/>
      </c>
      <c r="AP53" s="13" t="str">
        <f>IF(OR(I53="",Results!I16=""),"",IF(AND(I53=Results!I16,Results!I16&lt;&gt;Games!$C$155),1,0))</f>
        <v/>
      </c>
      <c r="AQ53" s="13" t="str">
        <f>IF(OR(J53="",Results!J16=""),"",IF(AND(J53=Results!J16,Results!J16&lt;&gt;Games!$C$156),1,0))</f>
        <v/>
      </c>
      <c r="AR53" s="13" t="str">
        <f>IF(OR(K53="",Results!K16=""),"",IF(AND(K53=Results!K16,Results!K16&lt;&gt;Games!$C$157),1,0))</f>
        <v/>
      </c>
      <c r="AS53" s="13" t="str">
        <f>IF(OR(L53="",Results!L16=""),"",IF(AND(L53=Results!L16,Results!L16&lt;&gt;Games!$C$158),1,0))</f>
        <v/>
      </c>
      <c r="AT53" s="13" t="str">
        <f>IF(OR(M53="",Results!M16=""),"",IF(AND(M53=Results!M16,Results!M16&lt;&gt;Games!$C$159),1,0))</f>
        <v/>
      </c>
      <c r="AU53" s="13" t="str">
        <f>IF(OR(N53="",Results!N16=""),"",IF(AND(N53=Results!N16,Results!N16&lt;&gt;Games!$C$160),1,0))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 t="str">
        <f>IF(OR(B54="",Results!B16=""),"",IF(B54=Results!B16,1+IF(OR($O54=1,$P54=1,$Q54=1),1,0),0))</f>
        <v/>
      </c>
      <c r="T54" s="4" t="str">
        <f>IF(OR(C54="",Results!C16=""),"",IF(C54=Results!C16,1+IF(OR($O54=2,$P54=2,$Q54=2),1,0),0))</f>
        <v/>
      </c>
      <c r="U54" s="4" t="str">
        <f>IF(OR(D54="",Results!D16=""),"",IF(D54=Results!D16,1+IF(OR($O54=3,$P54=3,$Q54=3),1,0),0))</f>
        <v/>
      </c>
      <c r="V54" s="4" t="str">
        <f>IF(OR(E54="",Results!E16=""),"",IF(E54=Results!E16,1+IF(OR($O54=4,$P54=4,$Q54=4),1,0),0))</f>
        <v/>
      </c>
      <c r="W54" s="4" t="str">
        <f>IF(OR(F54="",Results!F16=""),"",IF(F54=Results!F16,1+IF(OR($O54=5,$P54=5,$Q54=5),1,0),0))</f>
        <v/>
      </c>
      <c r="X54" s="4" t="str">
        <f>IF(OR(G54="",Results!G16=""),"",IF(G54=Results!G16,1+IF(OR($O54=6,$P54=6,$Q54=6),1,0),0))</f>
        <v/>
      </c>
      <c r="Y54" s="4" t="str">
        <f>IF(OR(H54="",Results!H16=""),"",IF(H54=Results!H16,1+IF(OR($O54=7,$P54=7,$Q54=7),1,0),0))</f>
        <v/>
      </c>
      <c r="Z54" s="4" t="str">
        <f>IF(OR(I54="",Results!I16=""),"",IF(I54=Results!I16,1+IF(OR($O54=8,$P54=8,$Q54=8),1,0),0))</f>
        <v/>
      </c>
      <c r="AA54" s="4" t="str">
        <f>IF(OR(J54="",Results!J16=""),"",IF(J54=Results!J16,1+IF(OR($O54=9,$P54=9,$Q54=9),1,0),0))</f>
        <v/>
      </c>
      <c r="AB54" s="4" t="str">
        <f>IF(OR(K54="",Results!K16=""),"",IF(K54=Results!K16,1+IF(OR($O54=10,$P54=10,$Q54=10),1,0),0))</f>
        <v/>
      </c>
      <c r="AC54" s="4" t="str">
        <f>IF(OR(L54="",Results!L16=""),"",IF(L54=Results!L16,1+IF(OR($O54=11,$P54=11,$Q54=11),1,0),0))</f>
        <v/>
      </c>
      <c r="AD54" s="4" t="str">
        <f>IF(OR(M54="",Results!M16=""),"",IF(M54=Results!M16,1+IF(OR($O54=12,$P54=12,$Q54=12),1,0),0))</f>
        <v/>
      </c>
      <c r="AE54" s="4" t="str">
        <f>IF(OR(N54="",Results!N16=""),"",IF(N54=Results!N16,1+IF(OR($O54=13,$P54=13,$Q54=13),1,0),0))</f>
        <v/>
      </c>
      <c r="AF54" s="11">
        <f t="shared" si="2"/>
        <v>0</v>
      </c>
      <c r="AG54" s="4" t="str">
        <f>IF(OR($R54="",Results!O16=""),"",ABS($R54-Results!O16))</f>
        <v/>
      </c>
      <c r="AH54" s="12">
        <v>43</v>
      </c>
      <c r="AI54" s="13" t="str">
        <f>IF(OR(B54="",Results!B16=""),"",IF(AND(B54=Results!B16,Results!B16&lt;&gt;Games!$C$148),1,0))</f>
        <v/>
      </c>
      <c r="AJ54" s="13" t="str">
        <f>IF(OR(C54="",Results!C16=""),"",IF(AND(C54=Results!C16,Results!C16&lt;&gt;Games!$C$149),1,0))</f>
        <v/>
      </c>
      <c r="AK54" s="13" t="str">
        <f>IF(OR(D54="",Results!D16=""),"",IF(AND(D54=Results!D16,Results!D16&lt;&gt;Games!$C$150),1,0))</f>
        <v/>
      </c>
      <c r="AL54" s="13" t="str">
        <f>IF(OR(E54="",Results!E16=""),"",IF(AND(E54=Results!E16,Results!E16&lt;&gt;Games!$C$151),1,0))</f>
        <v/>
      </c>
      <c r="AM54" s="13" t="str">
        <f>IF(OR(F54="",Results!F16=""),"",IF(AND(F54=Results!F16,Results!F16&lt;&gt;Games!$C$152),1,0))</f>
        <v/>
      </c>
      <c r="AN54" s="13" t="str">
        <f>IF(OR(G54="",Results!G16=""),"",IF(AND(G54=Results!G16,Results!G16&lt;&gt;Games!$C$153),1,0))</f>
        <v/>
      </c>
      <c r="AO54" s="13" t="str">
        <f>IF(OR(H54="",Results!H16=""),"",IF(AND(H54=Results!H16,Results!H16&lt;&gt;Games!$C$154),1,0))</f>
        <v/>
      </c>
      <c r="AP54" s="13" t="str">
        <f>IF(OR(I54="",Results!I16=""),"",IF(AND(I54=Results!I16,Results!I16&lt;&gt;Games!$C$155),1,0))</f>
        <v/>
      </c>
      <c r="AQ54" s="13" t="str">
        <f>IF(OR(J54="",Results!J16=""),"",IF(AND(J54=Results!J16,Results!J16&lt;&gt;Games!$C$156),1,0))</f>
        <v/>
      </c>
      <c r="AR54" s="13" t="str">
        <f>IF(OR(K54="",Results!K16=""),"",IF(AND(K54=Results!K16,Results!K16&lt;&gt;Games!$C$157),1,0))</f>
        <v/>
      </c>
      <c r="AS54" s="13" t="str">
        <f>IF(OR(L54="",Results!L16=""),"",IF(AND(L54=Results!L16,Results!L16&lt;&gt;Games!$C$158),1,0))</f>
        <v/>
      </c>
      <c r="AT54" s="13" t="str">
        <f>IF(OR(M54="",Results!M16=""),"",IF(AND(M54=Results!M16,Results!M16&lt;&gt;Games!$C$159),1,0))</f>
        <v/>
      </c>
      <c r="AU54" s="13" t="str">
        <f>IF(OR(N54="",Results!N16=""),"",IF(AND(N54=Results!N16,Results!N16&lt;&gt;Games!$C$160),1,0))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IF(OR(B55="",Results!B16=""),"",IF(B55=Results!B16,1+IF(OR($O55=1,$P55=1,$Q55=1),1,0),0))</f>
        <v/>
      </c>
      <c r="T55" s="4" t="str">
        <f>IF(OR(C55="",Results!C16=""),"",IF(C55=Results!C16,1+IF(OR($O55=2,$P55=2,$Q55=2),1,0),0))</f>
        <v/>
      </c>
      <c r="U55" s="4" t="str">
        <f>IF(OR(D55="",Results!D16=""),"",IF(D55=Results!D16,1+IF(OR($O55=3,$P55=3,$Q55=3),1,0),0))</f>
        <v/>
      </c>
      <c r="V55" s="4" t="str">
        <f>IF(OR(E55="",Results!E16=""),"",IF(E55=Results!E16,1+IF(OR($O55=4,$P55=4,$Q55=4),1,0),0))</f>
        <v/>
      </c>
      <c r="W55" s="4" t="str">
        <f>IF(OR(F55="",Results!F16=""),"",IF(F55=Results!F16,1+IF(OR($O55=5,$P55=5,$Q55=5),1,0),0))</f>
        <v/>
      </c>
      <c r="X55" s="4" t="str">
        <f>IF(OR(G55="",Results!G16=""),"",IF(G55=Results!G16,1+IF(OR($O55=6,$P55=6,$Q55=6),1,0),0))</f>
        <v/>
      </c>
      <c r="Y55" s="4" t="str">
        <f>IF(OR(H55="",Results!H16=""),"",IF(H55=Results!H16,1+IF(OR($O55=7,$P55=7,$Q55=7),1,0),0))</f>
        <v/>
      </c>
      <c r="Z55" s="4" t="str">
        <f>IF(OR(I55="",Results!I16=""),"",IF(I55=Results!I16,1+IF(OR($O55=8,$P55=8,$Q55=8),1,0),0))</f>
        <v/>
      </c>
      <c r="AA55" s="4" t="str">
        <f>IF(OR(J55="",Results!J16=""),"",IF(J55=Results!J16,1+IF(OR($O55=9,$P55=9,$Q55=9),1,0),0))</f>
        <v/>
      </c>
      <c r="AB55" s="4" t="str">
        <f>IF(OR(K55="",Results!K16=""),"",IF(K55=Results!K16,1+IF(OR($O55=10,$P55=10,$Q55=10),1,0),0))</f>
        <v/>
      </c>
      <c r="AC55" s="4" t="str">
        <f>IF(OR(L55="",Results!L16=""),"",IF(L55=Results!L16,1+IF(OR($O55=11,$P55=11,$Q55=11),1,0),0))</f>
        <v/>
      </c>
      <c r="AD55" s="4" t="str">
        <f>IF(OR(M55="",Results!M16=""),"",IF(M55=Results!M16,1+IF(OR($O55=12,$P55=12,$Q55=12),1,0),0))</f>
        <v/>
      </c>
      <c r="AE55" s="4" t="str">
        <f>IF(OR(N55="",Results!N16=""),"",IF(N55=Results!N16,1+IF(OR($O55=13,$P55=13,$Q55=13),1,0),0))</f>
        <v/>
      </c>
      <c r="AF55" s="11">
        <f t="shared" si="2"/>
        <v>0</v>
      </c>
      <c r="AG55" s="4" t="str">
        <f>IF(OR($R55="",Results!O16=""),"",ABS($R55-Results!O16))</f>
        <v/>
      </c>
      <c r="AH55" s="12">
        <v>44</v>
      </c>
      <c r="AI55" s="13" t="str">
        <f>IF(OR(B55="",Results!B16=""),"",IF(AND(B55=Results!B16,Results!B16&lt;&gt;Games!$C$148),1,0))</f>
        <v/>
      </c>
      <c r="AJ55" s="13" t="str">
        <f>IF(OR(C55="",Results!C16=""),"",IF(AND(C55=Results!C16,Results!C16&lt;&gt;Games!$C$149),1,0))</f>
        <v/>
      </c>
      <c r="AK55" s="13" t="str">
        <f>IF(OR(D55="",Results!D16=""),"",IF(AND(D55=Results!D16,Results!D16&lt;&gt;Games!$C$150),1,0))</f>
        <v/>
      </c>
      <c r="AL55" s="13" t="str">
        <f>IF(OR(E55="",Results!E16=""),"",IF(AND(E55=Results!E16,Results!E16&lt;&gt;Games!$C$151),1,0))</f>
        <v/>
      </c>
      <c r="AM55" s="13" t="str">
        <f>IF(OR(F55="",Results!F16=""),"",IF(AND(F55=Results!F16,Results!F16&lt;&gt;Games!$C$152),1,0))</f>
        <v/>
      </c>
      <c r="AN55" s="13" t="str">
        <f>IF(OR(G55="",Results!G16=""),"",IF(AND(G55=Results!G16,Results!G16&lt;&gt;Games!$C$153),1,0))</f>
        <v/>
      </c>
      <c r="AO55" s="13" t="str">
        <f>IF(OR(H55="",Results!H16=""),"",IF(AND(H55=Results!H16,Results!H16&lt;&gt;Games!$C$154),1,0))</f>
        <v/>
      </c>
      <c r="AP55" s="13" t="str">
        <f>IF(OR(I55="",Results!I16=""),"",IF(AND(I55=Results!I16,Results!I16&lt;&gt;Games!$C$155),1,0))</f>
        <v/>
      </c>
      <c r="AQ55" s="13" t="str">
        <f>IF(OR(J55="",Results!J16=""),"",IF(AND(J55=Results!J16,Results!J16&lt;&gt;Games!$C$156),1,0))</f>
        <v/>
      </c>
      <c r="AR55" s="13" t="str">
        <f>IF(OR(K55="",Results!K16=""),"",IF(AND(K55=Results!K16,Results!K16&lt;&gt;Games!$C$157),1,0))</f>
        <v/>
      </c>
      <c r="AS55" s="13" t="str">
        <f>IF(OR(L55="",Results!L16=""),"",IF(AND(L55=Results!L16,Results!L16&lt;&gt;Games!$C$158),1,0))</f>
        <v/>
      </c>
      <c r="AT55" s="13" t="str">
        <f>IF(OR(M55="",Results!M16=""),"",IF(AND(M55=Results!M16,Results!M16&lt;&gt;Games!$C$159),1,0))</f>
        <v/>
      </c>
      <c r="AU55" s="13" t="str">
        <f>IF(OR(N55="",Results!N16=""),"",IF(AND(N55=Results!N16,Results!N16&lt;&gt;Games!$C$160),1,0))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IF(OR(B56="",Results!B16=""),"",IF(B56=Results!B16,1+IF(OR($O56=1,$P56=1,$Q56=1),1,0),0))</f>
        <v/>
      </c>
      <c r="T56" s="4" t="str">
        <f>IF(OR(C56="",Results!C16=""),"",IF(C56=Results!C16,1+IF(OR($O56=2,$P56=2,$Q56=2),1,0),0))</f>
        <v/>
      </c>
      <c r="U56" s="4" t="str">
        <f>IF(OR(D56="",Results!D16=""),"",IF(D56=Results!D16,1+IF(OR($O56=3,$P56=3,$Q56=3),1,0),0))</f>
        <v/>
      </c>
      <c r="V56" s="4" t="str">
        <f>IF(OR(E56="",Results!E16=""),"",IF(E56=Results!E16,1+IF(OR($O56=4,$P56=4,$Q56=4),1,0),0))</f>
        <v/>
      </c>
      <c r="W56" s="4" t="str">
        <f>IF(OR(F56="",Results!F16=""),"",IF(F56=Results!F16,1+IF(OR($O56=5,$P56=5,$Q56=5),1,0),0))</f>
        <v/>
      </c>
      <c r="X56" s="4" t="str">
        <f>IF(OR(G56="",Results!G16=""),"",IF(G56=Results!G16,1+IF(OR($O56=6,$P56=6,$Q56=6),1,0),0))</f>
        <v/>
      </c>
      <c r="Y56" s="4" t="str">
        <f>IF(OR(H56="",Results!H16=""),"",IF(H56=Results!H16,1+IF(OR($O56=7,$P56=7,$Q56=7),1,0),0))</f>
        <v/>
      </c>
      <c r="Z56" s="4" t="str">
        <f>IF(OR(I56="",Results!I16=""),"",IF(I56=Results!I16,1+IF(OR($O56=8,$P56=8,$Q56=8),1,0),0))</f>
        <v/>
      </c>
      <c r="AA56" s="4" t="str">
        <f>IF(OR(J56="",Results!J16=""),"",IF(J56=Results!J16,1+IF(OR($O56=9,$P56=9,$Q56=9),1,0),0))</f>
        <v/>
      </c>
      <c r="AB56" s="4" t="str">
        <f>IF(OR(K56="",Results!K16=""),"",IF(K56=Results!K16,1+IF(OR($O56=10,$P56=10,$Q56=10),1,0),0))</f>
        <v/>
      </c>
      <c r="AC56" s="4" t="str">
        <f>IF(OR(L56="",Results!L16=""),"",IF(L56=Results!L16,1+IF(OR($O56=11,$P56=11,$Q56=11),1,0),0))</f>
        <v/>
      </c>
      <c r="AD56" s="4" t="str">
        <f>IF(OR(M56="",Results!M16=""),"",IF(M56=Results!M16,1+IF(OR($O56=12,$P56=12,$Q56=12),1,0),0))</f>
        <v/>
      </c>
      <c r="AE56" s="4" t="str">
        <f>IF(OR(N56="",Results!N16=""),"",IF(N56=Results!N16,1+IF(OR($O56=13,$P56=13,$Q56=13),1,0),0))</f>
        <v/>
      </c>
      <c r="AF56" s="11">
        <f t="shared" si="2"/>
        <v>0</v>
      </c>
      <c r="AG56" s="4" t="str">
        <f>IF(OR($R56="",Results!O16=""),"",ABS($R56-Results!O16))</f>
        <v/>
      </c>
      <c r="AH56" s="12">
        <v>59</v>
      </c>
      <c r="AI56" s="13" t="str">
        <f>IF(OR(B56="",Results!B16=""),"",IF(AND(B56=Results!B16,Results!B16&lt;&gt;Games!$C$148),1,0))</f>
        <v/>
      </c>
      <c r="AJ56" s="13" t="str">
        <f>IF(OR(C56="",Results!C16=""),"",IF(AND(C56=Results!C16,Results!C16&lt;&gt;Games!$C$149),1,0))</f>
        <v/>
      </c>
      <c r="AK56" s="13" t="str">
        <f>IF(OR(D56="",Results!D16=""),"",IF(AND(D56=Results!D16,Results!D16&lt;&gt;Games!$C$150),1,0))</f>
        <v/>
      </c>
      <c r="AL56" s="13" t="str">
        <f>IF(OR(E56="",Results!E16=""),"",IF(AND(E56=Results!E16,Results!E16&lt;&gt;Games!$C$151),1,0))</f>
        <v/>
      </c>
      <c r="AM56" s="13" t="str">
        <f>IF(OR(F56="",Results!F16=""),"",IF(AND(F56=Results!F16,Results!F16&lt;&gt;Games!$C$152),1,0))</f>
        <v/>
      </c>
      <c r="AN56" s="13" t="str">
        <f>IF(OR(G56="",Results!G16=""),"",IF(AND(G56=Results!G16,Results!G16&lt;&gt;Games!$C$153),1,0))</f>
        <v/>
      </c>
      <c r="AO56" s="13" t="str">
        <f>IF(OR(H56="",Results!H16=""),"",IF(AND(H56=Results!H16,Results!H16&lt;&gt;Games!$C$154),1,0))</f>
        <v/>
      </c>
      <c r="AP56" s="13" t="str">
        <f>IF(OR(I56="",Results!I16=""),"",IF(AND(I56=Results!I16,Results!I16&lt;&gt;Games!$C$155),1,0))</f>
        <v/>
      </c>
      <c r="AQ56" s="13" t="str">
        <f>IF(OR(J56="",Results!J16=""),"",IF(AND(J56=Results!J16,Results!J16&lt;&gt;Games!$C$156),1,0))</f>
        <v/>
      </c>
      <c r="AR56" s="13" t="str">
        <f>IF(OR(K56="",Results!K16=""),"",IF(AND(K56=Results!K16,Results!K16&lt;&gt;Games!$C$157),1,0))</f>
        <v/>
      </c>
      <c r="AS56" s="13" t="str">
        <f>IF(OR(L56="",Results!L16=""),"",IF(AND(L56=Results!L16,Results!L16&lt;&gt;Games!$C$158),1,0))</f>
        <v/>
      </c>
      <c r="AT56" s="13" t="str">
        <f>IF(OR(M56="",Results!M16=""),"",IF(AND(M56=Results!M16,Results!M16&lt;&gt;Games!$C$159),1,0))</f>
        <v/>
      </c>
      <c r="AU56" s="13" t="str">
        <f>IF(OR(N56="",Results!N16=""),"",IF(AND(N56=Results!N16,Results!N16&lt;&gt;Games!$C$160),1,0))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tr">
        <f>IF(OR(B57="",Results!B16=""),"",IF(B57=Results!B16,1+IF(OR($O57=1,$P57=1,$Q57=1),1,0),0))</f>
        <v/>
      </c>
      <c r="T57" s="4" t="str">
        <f>IF(OR(C57="",Results!C16=""),"",IF(C57=Results!C16,1+IF(OR($O57=2,$P57=2,$Q57=2),1,0),0))</f>
        <v/>
      </c>
      <c r="U57" s="4" t="str">
        <f>IF(OR(D57="",Results!D16=""),"",IF(D57=Results!D16,1+IF(OR($O57=3,$P57=3,$Q57=3),1,0),0))</f>
        <v/>
      </c>
      <c r="V57" s="4" t="str">
        <f>IF(OR(E57="",Results!E16=""),"",IF(E57=Results!E16,1+IF(OR($O57=4,$P57=4,$Q57=4),1,0),0))</f>
        <v/>
      </c>
      <c r="W57" s="4" t="str">
        <f>IF(OR(F57="",Results!F16=""),"",IF(F57=Results!F16,1+IF(OR($O57=5,$P57=5,$Q57=5),1,0),0))</f>
        <v/>
      </c>
      <c r="X57" s="4" t="str">
        <f>IF(OR(G57="",Results!G16=""),"",IF(G57=Results!G16,1+IF(OR($O57=6,$P57=6,$Q57=6),1,0),0))</f>
        <v/>
      </c>
      <c r="Y57" s="4" t="str">
        <f>IF(OR(H57="",Results!H16=""),"",IF(H57=Results!H16,1+IF(OR($O57=7,$P57=7,$Q57=7),1,0),0))</f>
        <v/>
      </c>
      <c r="Z57" s="4" t="str">
        <f>IF(OR(I57="",Results!I16=""),"",IF(I57=Results!I16,1+IF(OR($O57=8,$P57=8,$Q57=8),1,0),0))</f>
        <v/>
      </c>
      <c r="AA57" s="4" t="str">
        <f>IF(OR(J57="",Results!J16=""),"",IF(J57=Results!J16,1+IF(OR($O57=9,$P57=9,$Q57=9),1,0),0))</f>
        <v/>
      </c>
      <c r="AB57" s="4" t="str">
        <f>IF(OR(K57="",Results!K16=""),"",IF(K57=Results!K16,1+IF(OR($O57=10,$P57=10,$Q57=10),1,0),0))</f>
        <v/>
      </c>
      <c r="AC57" s="4" t="str">
        <f>IF(OR(L57="",Results!L16=""),"",IF(L57=Results!L16,1+IF(OR($O57=11,$P57=11,$Q57=11),1,0),0))</f>
        <v/>
      </c>
      <c r="AD57" s="4" t="str">
        <f>IF(OR(M57="",Results!M16=""),"",IF(M57=Results!M16,1+IF(OR($O57=12,$P57=12,$Q57=12),1,0),0))</f>
        <v/>
      </c>
      <c r="AE57" s="4" t="str">
        <f>IF(OR(N57="",Results!N16=""),"",IF(N57=Results!N16,1+IF(OR($O57=13,$P57=13,$Q57=13),1,0),0))</f>
        <v/>
      </c>
      <c r="AF57" s="11">
        <f t="shared" si="2"/>
        <v>0</v>
      </c>
      <c r="AG57" s="4" t="str">
        <f>IF(OR($R57="",Results!O16=""),"",ABS($R57-Results!O16))</f>
        <v/>
      </c>
      <c r="AH57" s="12">
        <v>28</v>
      </c>
      <c r="AI57" s="13" t="str">
        <f>IF(OR(B57="",Results!B16=""),"",IF(AND(B57=Results!B16,Results!B16&lt;&gt;Games!$C$148),1,0))</f>
        <v/>
      </c>
      <c r="AJ57" s="13" t="str">
        <f>IF(OR(C57="",Results!C16=""),"",IF(AND(C57=Results!C16,Results!C16&lt;&gt;Games!$C$149),1,0))</f>
        <v/>
      </c>
      <c r="AK57" s="13" t="str">
        <f>IF(OR(D57="",Results!D16=""),"",IF(AND(D57=Results!D16,Results!D16&lt;&gt;Games!$C$150),1,0))</f>
        <v/>
      </c>
      <c r="AL57" s="13" t="str">
        <f>IF(OR(E57="",Results!E16=""),"",IF(AND(E57=Results!E16,Results!E16&lt;&gt;Games!$C$151),1,0))</f>
        <v/>
      </c>
      <c r="AM57" s="13" t="str">
        <f>IF(OR(F57="",Results!F16=""),"",IF(AND(F57=Results!F16,Results!F16&lt;&gt;Games!$C$152),1,0))</f>
        <v/>
      </c>
      <c r="AN57" s="13" t="str">
        <f>IF(OR(G57="",Results!G16=""),"",IF(AND(G57=Results!G16,Results!G16&lt;&gt;Games!$C$153),1,0))</f>
        <v/>
      </c>
      <c r="AO57" s="13" t="str">
        <f>IF(OR(H57="",Results!H16=""),"",IF(AND(H57=Results!H16,Results!H16&lt;&gt;Games!$C$154),1,0))</f>
        <v/>
      </c>
      <c r="AP57" s="13" t="str">
        <f>IF(OR(I57="",Results!I16=""),"",IF(AND(I57=Results!I16,Results!I16&lt;&gt;Games!$C$155),1,0))</f>
        <v/>
      </c>
      <c r="AQ57" s="13" t="str">
        <f>IF(OR(J57="",Results!J16=""),"",IF(AND(J57=Results!J16,Results!J16&lt;&gt;Games!$C$156),1,0))</f>
        <v/>
      </c>
      <c r="AR57" s="13" t="str">
        <f>IF(OR(K57="",Results!K16=""),"",IF(AND(K57=Results!K16,Results!K16&lt;&gt;Games!$C$157),1,0))</f>
        <v/>
      </c>
      <c r="AS57" s="13" t="str">
        <f>IF(OR(L57="",Results!L16=""),"",IF(AND(L57=Results!L16,Results!L16&lt;&gt;Games!$C$158),1,0))</f>
        <v/>
      </c>
      <c r="AT57" s="13" t="str">
        <f>IF(OR(M57="",Results!M16=""),"",IF(AND(M57=Results!M16,Results!M16&lt;&gt;Games!$C$159),1,0))</f>
        <v/>
      </c>
      <c r="AU57" s="13" t="str">
        <f>IF(OR(N57="",Results!N16=""),"",IF(AND(N57=Results!N16,Results!N16&lt;&gt;Games!$C$160),1,0))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 t="str">
        <f>IF(OR(B58="",Results!B16=""),"",IF(B58=Results!B16,1+IF(OR($O58=1,$P58=1,$Q58=1),1,0),0))</f>
        <v/>
      </c>
      <c r="T58" s="4" t="str">
        <f>IF(OR(C58="",Results!C16=""),"",IF(C58=Results!C16,1+IF(OR($O58=2,$P58=2,$Q58=2),1,0),0))</f>
        <v/>
      </c>
      <c r="U58" s="4" t="str">
        <f>IF(OR(D58="",Results!D16=""),"",IF(D58=Results!D16,1+IF(OR($O58=3,$P58=3,$Q58=3),1,0),0))</f>
        <v/>
      </c>
      <c r="V58" s="4" t="str">
        <f>IF(OR(E58="",Results!E16=""),"",IF(E58=Results!E16,1+IF(OR($O58=4,$P58=4,$Q58=4),1,0),0))</f>
        <v/>
      </c>
      <c r="W58" s="4" t="str">
        <f>IF(OR(F58="",Results!F16=""),"",IF(F58=Results!F16,1+IF(OR($O58=5,$P58=5,$Q58=5),1,0),0))</f>
        <v/>
      </c>
      <c r="X58" s="4" t="str">
        <f>IF(OR(G58="",Results!G16=""),"",IF(G58=Results!G16,1+IF(OR($O58=6,$P58=6,$Q58=6),1,0),0))</f>
        <v/>
      </c>
      <c r="Y58" s="4" t="str">
        <f>IF(OR(H58="",Results!H16=""),"",IF(H58=Results!H16,1+IF(OR($O58=7,$P58=7,$Q58=7),1,0),0))</f>
        <v/>
      </c>
      <c r="Z58" s="4" t="str">
        <f>IF(OR(I58="",Results!I16=""),"",IF(I58=Results!I16,1+IF(OR($O58=8,$P58=8,$Q58=8),1,0),0))</f>
        <v/>
      </c>
      <c r="AA58" s="4" t="str">
        <f>IF(OR(J58="",Results!J16=""),"",IF(J58=Results!J16,1+IF(OR($O58=9,$P58=9,$Q58=9),1,0),0))</f>
        <v/>
      </c>
      <c r="AB58" s="4" t="str">
        <f>IF(OR(K58="",Results!K16=""),"",IF(K58=Results!K16,1+IF(OR($O58=10,$P58=10,$Q58=10),1,0),0))</f>
        <v/>
      </c>
      <c r="AC58" s="4" t="str">
        <f>IF(OR(L58="",Results!L16=""),"",IF(L58=Results!L16,1+IF(OR($O58=11,$P58=11,$Q58=11),1,0),0))</f>
        <v/>
      </c>
      <c r="AD58" s="4" t="str">
        <f>IF(OR(M58="",Results!M16=""),"",IF(M58=Results!M16,1+IF(OR($O58=12,$P58=12,$Q58=12),1,0),0))</f>
        <v/>
      </c>
      <c r="AE58" s="4" t="str">
        <f>IF(OR(N58="",Results!N16=""),"",IF(N58=Results!N16,1+IF(OR($O58=13,$P58=13,$Q58=13),1,0),0))</f>
        <v/>
      </c>
      <c r="AF58" s="11">
        <f t="shared" si="2"/>
        <v>0</v>
      </c>
      <c r="AG58" s="4" t="str">
        <f>IF(OR($R58="",Results!O16=""),"",ABS($R58-Results!O16))</f>
        <v/>
      </c>
      <c r="AH58" s="12">
        <v>29</v>
      </c>
      <c r="AI58" s="13" t="str">
        <f>IF(OR(B58="",Results!B16=""),"",IF(AND(B58=Results!B16,Results!B16&lt;&gt;Games!$C$148),1,0))</f>
        <v/>
      </c>
      <c r="AJ58" s="13" t="str">
        <f>IF(OR(C58="",Results!C16=""),"",IF(AND(C58=Results!C16,Results!C16&lt;&gt;Games!$C$149),1,0))</f>
        <v/>
      </c>
      <c r="AK58" s="13" t="str">
        <f>IF(OR(D58="",Results!D16=""),"",IF(AND(D58=Results!D16,Results!D16&lt;&gt;Games!$C$150),1,0))</f>
        <v/>
      </c>
      <c r="AL58" s="13" t="str">
        <f>IF(OR(E58="",Results!E16=""),"",IF(AND(E58=Results!E16,Results!E16&lt;&gt;Games!$C$151),1,0))</f>
        <v/>
      </c>
      <c r="AM58" s="13" t="str">
        <f>IF(OR(F58="",Results!F16=""),"",IF(AND(F58=Results!F16,Results!F16&lt;&gt;Games!$C$152),1,0))</f>
        <v/>
      </c>
      <c r="AN58" s="13" t="str">
        <f>IF(OR(G58="",Results!G16=""),"",IF(AND(G58=Results!G16,Results!G16&lt;&gt;Games!$C$153),1,0))</f>
        <v/>
      </c>
      <c r="AO58" s="13" t="str">
        <f>IF(OR(H58="",Results!H16=""),"",IF(AND(H58=Results!H16,Results!H16&lt;&gt;Games!$C$154),1,0))</f>
        <v/>
      </c>
      <c r="AP58" s="13" t="str">
        <f>IF(OR(I58="",Results!I16=""),"",IF(AND(I58=Results!I16,Results!I16&lt;&gt;Games!$C$155),1,0))</f>
        <v/>
      </c>
      <c r="AQ58" s="13" t="str">
        <f>IF(OR(J58="",Results!J16=""),"",IF(AND(J58=Results!J16,Results!J16&lt;&gt;Games!$C$156),1,0))</f>
        <v/>
      </c>
      <c r="AR58" s="13" t="str">
        <f>IF(OR(K58="",Results!K16=""),"",IF(AND(K58=Results!K16,Results!K16&lt;&gt;Games!$C$157),1,0))</f>
        <v/>
      </c>
      <c r="AS58" s="13" t="str">
        <f>IF(OR(L58="",Results!L16=""),"",IF(AND(L58=Results!L16,Results!L16&lt;&gt;Games!$C$158),1,0))</f>
        <v/>
      </c>
      <c r="AT58" s="13" t="str">
        <f>IF(OR(M58="",Results!M16=""),"",IF(AND(M58=Results!M16,Results!M16&lt;&gt;Games!$C$159),1,0))</f>
        <v/>
      </c>
      <c r="AU58" s="13" t="str">
        <f>IF(OR(N58="",Results!N16=""),"",IF(AND(N58=Results!N16,Results!N16&lt;&gt;Games!$C$160),1,0))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IF(OR(B59="",Results!B16=""),"",IF(B59=Results!B16,1+IF(OR($O59=1,$P59=1,$Q59=1),1,0),0))</f>
        <v/>
      </c>
      <c r="T59" s="4" t="str">
        <f>IF(OR(C59="",Results!C16=""),"",IF(C59=Results!C16,1+IF(OR($O59=2,$P59=2,$Q59=2),1,0),0))</f>
        <v/>
      </c>
      <c r="U59" s="4" t="str">
        <f>IF(OR(D59="",Results!D16=""),"",IF(D59=Results!D16,1+IF(OR($O59=3,$P59=3,$Q59=3),1,0),0))</f>
        <v/>
      </c>
      <c r="V59" s="4" t="str">
        <f>IF(OR(E59="",Results!E16=""),"",IF(E59=Results!E16,1+IF(OR($O59=4,$P59=4,$Q59=4),1,0),0))</f>
        <v/>
      </c>
      <c r="W59" s="4" t="str">
        <f>IF(OR(F59="",Results!F16=""),"",IF(F59=Results!F16,1+IF(OR($O59=5,$P59=5,$Q59=5),1,0),0))</f>
        <v/>
      </c>
      <c r="X59" s="4" t="str">
        <f>IF(OR(G59="",Results!G16=""),"",IF(G59=Results!G16,1+IF(OR($O59=6,$P59=6,$Q59=6),1,0),0))</f>
        <v/>
      </c>
      <c r="Y59" s="4" t="str">
        <f>IF(OR(H59="",Results!H16=""),"",IF(H59=Results!H16,1+IF(OR($O59=7,$P59=7,$Q59=7),1,0),0))</f>
        <v/>
      </c>
      <c r="Z59" s="4" t="str">
        <f>IF(OR(I59="",Results!I16=""),"",IF(I59=Results!I16,1+IF(OR($O59=8,$P59=8,$Q59=8),1,0),0))</f>
        <v/>
      </c>
      <c r="AA59" s="4" t="str">
        <f>IF(OR(J59="",Results!J16=""),"",IF(J59=Results!J16,1+IF(OR($O59=9,$P59=9,$Q59=9),1,0),0))</f>
        <v/>
      </c>
      <c r="AB59" s="4" t="str">
        <f>IF(OR(K59="",Results!K16=""),"",IF(K59=Results!K16,1+IF(OR($O59=10,$P59=10,$Q59=10),1,0),0))</f>
        <v/>
      </c>
      <c r="AC59" s="4" t="str">
        <f>IF(OR(L59="",Results!L16=""),"",IF(L59=Results!L16,1+IF(OR($O59=11,$P59=11,$Q59=11),1,0),0))</f>
        <v/>
      </c>
      <c r="AD59" s="4" t="str">
        <f>IF(OR(M59="",Results!M16=""),"",IF(M59=Results!M16,1+IF(OR($O59=12,$P59=12,$Q59=12),1,0),0))</f>
        <v/>
      </c>
      <c r="AE59" s="4" t="str">
        <f>IF(OR(N59="",Results!N16=""),"",IF(N59=Results!N16,1+IF(OR($O59=13,$P59=13,$Q59=13),1,0),0))</f>
        <v/>
      </c>
      <c r="AF59" s="11">
        <f t="shared" si="2"/>
        <v>0</v>
      </c>
      <c r="AG59" s="4" t="str">
        <f>IF(OR($R59="",Results!O16=""),"",ABS($R59-Results!O16))</f>
        <v/>
      </c>
      <c r="AH59" s="12">
        <v>51</v>
      </c>
      <c r="AI59" s="13" t="str">
        <f>IF(OR(B59="",Results!B16=""),"",IF(AND(B59=Results!B16,Results!B16&lt;&gt;Games!$C$148),1,0))</f>
        <v/>
      </c>
      <c r="AJ59" s="13" t="str">
        <f>IF(OR(C59="",Results!C16=""),"",IF(AND(C59=Results!C16,Results!C16&lt;&gt;Games!$C$149),1,0))</f>
        <v/>
      </c>
      <c r="AK59" s="13" t="str">
        <f>IF(OR(D59="",Results!D16=""),"",IF(AND(D59=Results!D16,Results!D16&lt;&gt;Games!$C$150),1,0))</f>
        <v/>
      </c>
      <c r="AL59" s="13" t="str">
        <f>IF(OR(E59="",Results!E16=""),"",IF(AND(E59=Results!E16,Results!E16&lt;&gt;Games!$C$151),1,0))</f>
        <v/>
      </c>
      <c r="AM59" s="13" t="str">
        <f>IF(OR(F59="",Results!F16=""),"",IF(AND(F59=Results!F16,Results!F16&lt;&gt;Games!$C$152),1,0))</f>
        <v/>
      </c>
      <c r="AN59" s="13" t="str">
        <f>IF(OR(G59="",Results!G16=""),"",IF(AND(G59=Results!G16,Results!G16&lt;&gt;Games!$C$153),1,0))</f>
        <v/>
      </c>
      <c r="AO59" s="13" t="str">
        <f>IF(OR(H59="",Results!H16=""),"",IF(AND(H59=Results!H16,Results!H16&lt;&gt;Games!$C$154),1,0))</f>
        <v/>
      </c>
      <c r="AP59" s="13" t="str">
        <f>IF(OR(I59="",Results!I16=""),"",IF(AND(I59=Results!I16,Results!I16&lt;&gt;Games!$C$155),1,0))</f>
        <v/>
      </c>
      <c r="AQ59" s="13" t="str">
        <f>IF(OR(J59="",Results!J16=""),"",IF(AND(J59=Results!J16,Results!J16&lt;&gt;Games!$C$156),1,0))</f>
        <v/>
      </c>
      <c r="AR59" s="13" t="str">
        <f>IF(OR(K59="",Results!K16=""),"",IF(AND(K59=Results!K16,Results!K16&lt;&gt;Games!$C$157),1,0))</f>
        <v/>
      </c>
      <c r="AS59" s="13" t="str">
        <f>IF(OR(L59="",Results!L16=""),"",IF(AND(L59=Results!L16,Results!L16&lt;&gt;Games!$C$158),1,0))</f>
        <v/>
      </c>
      <c r="AT59" s="13" t="str">
        <f>IF(OR(M59="",Results!M16=""),"",IF(AND(M59=Results!M16,Results!M16&lt;&gt;Games!$C$159),1,0))</f>
        <v/>
      </c>
      <c r="AU59" s="13" t="str">
        <f>IF(OR(N59="",Results!N16=""),"",IF(AND(N59=Results!N16,Results!N16&lt;&gt;Games!$C$160),1,0))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IF(OR(B60="",Results!B16=""),"",IF(B60=Results!B16,1+IF(OR($O60=1,$P60=1,$Q60=1),1,0),0))</f>
        <v/>
      </c>
      <c r="T60" s="4" t="str">
        <f>IF(OR(C60="",Results!C16=""),"",IF(C60=Results!C16,1+IF(OR($O60=2,$P60=2,$Q60=2),1,0),0))</f>
        <v/>
      </c>
      <c r="U60" s="4" t="str">
        <f>IF(OR(D60="",Results!D16=""),"",IF(D60=Results!D16,1+IF(OR($O60=3,$P60=3,$Q60=3),1,0),0))</f>
        <v/>
      </c>
      <c r="V60" s="4" t="str">
        <f>IF(OR(E60="",Results!E16=""),"",IF(E60=Results!E16,1+IF(OR($O60=4,$P60=4,$Q60=4),1,0),0))</f>
        <v/>
      </c>
      <c r="W60" s="4" t="str">
        <f>IF(OR(F60="",Results!F16=""),"",IF(F60=Results!F16,1+IF(OR($O60=5,$P60=5,$Q60=5),1,0),0))</f>
        <v/>
      </c>
      <c r="X60" s="4" t="str">
        <f>IF(OR(G60="",Results!G16=""),"",IF(G60=Results!G16,1+IF(OR($O60=6,$P60=6,$Q60=6),1,0),0))</f>
        <v/>
      </c>
      <c r="Y60" s="4" t="str">
        <f>IF(OR(H60="",Results!H16=""),"",IF(H60=Results!H16,1+IF(OR($O60=7,$P60=7,$Q60=7),1,0),0))</f>
        <v/>
      </c>
      <c r="Z60" s="4" t="str">
        <f>IF(OR(I60="",Results!I16=""),"",IF(I60=Results!I16,1+IF(OR($O60=8,$P60=8,$Q60=8),1,0),0))</f>
        <v/>
      </c>
      <c r="AA60" s="4" t="str">
        <f>IF(OR(J60="",Results!J16=""),"",IF(J60=Results!J16,1+IF(OR($O60=9,$P60=9,$Q60=9),1,0),0))</f>
        <v/>
      </c>
      <c r="AB60" s="4" t="str">
        <f>IF(OR(K60="",Results!K16=""),"",IF(K60=Results!K16,1+IF(OR($O60=10,$P60=10,$Q60=10),1,0),0))</f>
        <v/>
      </c>
      <c r="AC60" s="4" t="str">
        <f>IF(OR(L60="",Results!L16=""),"",IF(L60=Results!L16,1+IF(OR($O60=11,$P60=11,$Q60=11),1,0),0))</f>
        <v/>
      </c>
      <c r="AD60" s="4" t="str">
        <f>IF(OR(M60="",Results!M16=""),"",IF(M60=Results!M16,1+IF(OR($O60=12,$P60=12,$Q60=12),1,0),0))</f>
        <v/>
      </c>
      <c r="AE60" s="4" t="str">
        <f>IF(OR(N60="",Results!N16=""),"",IF(N60=Results!N16,1+IF(OR($O60=13,$P60=13,$Q60=13),1,0),0))</f>
        <v/>
      </c>
      <c r="AF60" s="11">
        <f t="shared" si="2"/>
        <v>0</v>
      </c>
      <c r="AG60" s="4" t="str">
        <f>IF(OR($R60="",Results!O16=""),"",ABS($R60-Results!O16))</f>
        <v/>
      </c>
      <c r="AH60" s="12">
        <v>45</v>
      </c>
      <c r="AI60" s="13" t="str">
        <f>IF(OR(B60="",Results!B16=""),"",IF(AND(B60=Results!B16,Results!B16&lt;&gt;Games!$C$148),1,0))</f>
        <v/>
      </c>
      <c r="AJ60" s="13" t="str">
        <f>IF(OR(C60="",Results!C16=""),"",IF(AND(C60=Results!C16,Results!C16&lt;&gt;Games!$C$149),1,0))</f>
        <v/>
      </c>
      <c r="AK60" s="13" t="str">
        <f>IF(OR(D60="",Results!D16=""),"",IF(AND(D60=Results!D16,Results!D16&lt;&gt;Games!$C$150),1,0))</f>
        <v/>
      </c>
      <c r="AL60" s="13" t="str">
        <f>IF(OR(E60="",Results!E16=""),"",IF(AND(E60=Results!E16,Results!E16&lt;&gt;Games!$C$151),1,0))</f>
        <v/>
      </c>
      <c r="AM60" s="13" t="str">
        <f>IF(OR(F60="",Results!F16=""),"",IF(AND(F60=Results!F16,Results!F16&lt;&gt;Games!$C$152),1,0))</f>
        <v/>
      </c>
      <c r="AN60" s="13" t="str">
        <f>IF(OR(G60="",Results!G16=""),"",IF(AND(G60=Results!G16,Results!G16&lt;&gt;Games!$C$153),1,0))</f>
        <v/>
      </c>
      <c r="AO60" s="13" t="str">
        <f>IF(OR(H60="",Results!H16=""),"",IF(AND(H60=Results!H16,Results!H16&lt;&gt;Games!$C$154),1,0))</f>
        <v/>
      </c>
      <c r="AP60" s="13" t="str">
        <f>IF(OR(I60="",Results!I16=""),"",IF(AND(I60=Results!I16,Results!I16&lt;&gt;Games!$C$155),1,0))</f>
        <v/>
      </c>
      <c r="AQ60" s="13" t="str">
        <f>IF(OR(J60="",Results!J16=""),"",IF(AND(J60=Results!J16,Results!J16&lt;&gt;Games!$C$156),1,0))</f>
        <v/>
      </c>
      <c r="AR60" s="13" t="str">
        <f>IF(OR(K60="",Results!K16=""),"",IF(AND(K60=Results!K16,Results!K16&lt;&gt;Games!$C$157),1,0))</f>
        <v/>
      </c>
      <c r="AS60" s="13" t="str">
        <f>IF(OR(L60="",Results!L16=""),"",IF(AND(L60=Results!L16,Results!L16&lt;&gt;Games!$C$158),1,0))</f>
        <v/>
      </c>
      <c r="AT60" s="13" t="str">
        <f>IF(OR(M60="",Results!M16=""),"",IF(AND(M60=Results!M16,Results!M16&lt;&gt;Games!$C$159),1,0))</f>
        <v/>
      </c>
      <c r="AU60" s="13" t="str">
        <f>IF(OR(N60="",Results!N16=""),"",IF(AND(N60=Results!N16,Results!N16&lt;&gt;Games!$C$160),1,0))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 t="str">
        <f>IF(OR(B61="",Results!B16=""),"",IF(B61=Results!B16,1+IF(OR($O61=1,$P61=1,$Q61=1),1,0),0))</f>
        <v/>
      </c>
      <c r="T61" s="4" t="str">
        <f>IF(OR(C61="",Results!C16=""),"",IF(C61=Results!C16,1+IF(OR($O61=2,$P61=2,$Q61=2),1,0),0))</f>
        <v/>
      </c>
      <c r="U61" s="4" t="str">
        <f>IF(OR(D61="",Results!D16=""),"",IF(D61=Results!D16,1+IF(OR($O61=3,$P61=3,$Q61=3),1,0),0))</f>
        <v/>
      </c>
      <c r="V61" s="4" t="str">
        <f>IF(OR(E61="",Results!E16=""),"",IF(E61=Results!E16,1+IF(OR($O61=4,$P61=4,$Q61=4),1,0),0))</f>
        <v/>
      </c>
      <c r="W61" s="4" t="str">
        <f>IF(OR(F61="",Results!F16=""),"",IF(F61=Results!F16,1+IF(OR($O61=5,$P61=5,$Q61=5),1,0),0))</f>
        <v/>
      </c>
      <c r="X61" s="4" t="str">
        <f>IF(OR(G61="",Results!G16=""),"",IF(G61=Results!G16,1+IF(OR($O61=6,$P61=6,$Q61=6),1,0),0))</f>
        <v/>
      </c>
      <c r="Y61" s="4" t="str">
        <f>IF(OR(H61="",Results!H16=""),"",IF(H61=Results!H16,1+IF(OR($O61=7,$P61=7,$Q61=7),1,0),0))</f>
        <v/>
      </c>
      <c r="Z61" s="4" t="str">
        <f>IF(OR(I61="",Results!I16=""),"",IF(I61=Results!I16,1+IF(OR($O61=8,$P61=8,$Q61=8),1,0),0))</f>
        <v/>
      </c>
      <c r="AA61" s="4" t="str">
        <f>IF(OR(J61="",Results!J16=""),"",IF(J61=Results!J16,1+IF(OR($O61=9,$P61=9,$Q61=9),1,0),0))</f>
        <v/>
      </c>
      <c r="AB61" s="4" t="str">
        <f>IF(OR(K61="",Results!K16=""),"",IF(K61=Results!K16,1+IF(OR($O61=10,$P61=10,$Q61=10),1,0),0))</f>
        <v/>
      </c>
      <c r="AC61" s="4" t="str">
        <f>IF(OR(L61="",Results!L16=""),"",IF(L61=Results!L16,1+IF(OR($O61=11,$P61=11,$Q61=11),1,0),0))</f>
        <v/>
      </c>
      <c r="AD61" s="4" t="str">
        <f>IF(OR(M61="",Results!M16=""),"",IF(M61=Results!M16,1+IF(OR($O61=12,$P61=12,$Q61=12),1,0),0))</f>
        <v/>
      </c>
      <c r="AE61" s="4" t="str">
        <f>IF(OR(N61="",Results!N16=""),"",IF(N61=Results!N16,1+IF(OR($O61=13,$P61=13,$Q61=13),1,0),0))</f>
        <v/>
      </c>
      <c r="AF61" s="11">
        <f t="shared" si="2"/>
        <v>0</v>
      </c>
      <c r="AG61" s="4" t="str">
        <f>IF(OR($R61="",Results!O16=""),"",ABS($R61-Results!O16))</f>
        <v/>
      </c>
      <c r="AH61" s="12">
        <v>30</v>
      </c>
      <c r="AI61" s="13" t="str">
        <f>IF(OR(B61="",Results!B16=""),"",IF(AND(B61=Results!B16,Results!B16&lt;&gt;Games!$C$148),1,0))</f>
        <v/>
      </c>
      <c r="AJ61" s="13" t="str">
        <f>IF(OR(C61="",Results!C16=""),"",IF(AND(C61=Results!C16,Results!C16&lt;&gt;Games!$C$149),1,0))</f>
        <v/>
      </c>
      <c r="AK61" s="13" t="str">
        <f>IF(OR(D61="",Results!D16=""),"",IF(AND(D61=Results!D16,Results!D16&lt;&gt;Games!$C$150),1,0))</f>
        <v/>
      </c>
      <c r="AL61" s="13" t="str">
        <f>IF(OR(E61="",Results!E16=""),"",IF(AND(E61=Results!E16,Results!E16&lt;&gt;Games!$C$151),1,0))</f>
        <v/>
      </c>
      <c r="AM61" s="13" t="str">
        <f>IF(OR(F61="",Results!F16=""),"",IF(AND(F61=Results!F16,Results!F16&lt;&gt;Games!$C$152),1,0))</f>
        <v/>
      </c>
      <c r="AN61" s="13" t="str">
        <f>IF(OR(G61="",Results!G16=""),"",IF(AND(G61=Results!G16,Results!G16&lt;&gt;Games!$C$153),1,0))</f>
        <v/>
      </c>
      <c r="AO61" s="13" t="str">
        <f>IF(OR(H61="",Results!H16=""),"",IF(AND(H61=Results!H16,Results!H16&lt;&gt;Games!$C$154),1,0))</f>
        <v/>
      </c>
      <c r="AP61" s="13" t="str">
        <f>IF(OR(I61="",Results!I16=""),"",IF(AND(I61=Results!I16,Results!I16&lt;&gt;Games!$C$155),1,0))</f>
        <v/>
      </c>
      <c r="AQ61" s="13" t="str">
        <f>IF(OR(J61="",Results!J16=""),"",IF(AND(J61=Results!J16,Results!J16&lt;&gt;Games!$C$156),1,0))</f>
        <v/>
      </c>
      <c r="AR61" s="13" t="str">
        <f>IF(OR(K61="",Results!K16=""),"",IF(AND(K61=Results!K16,Results!K16&lt;&gt;Games!$C$157),1,0))</f>
        <v/>
      </c>
      <c r="AS61" s="13" t="str">
        <f>IF(OR(L61="",Results!L16=""),"",IF(AND(L61=Results!L16,Results!L16&lt;&gt;Games!$C$158),1,0))</f>
        <v/>
      </c>
      <c r="AT61" s="13" t="str">
        <f>IF(OR(M61="",Results!M16=""),"",IF(AND(M61=Results!M16,Results!M16&lt;&gt;Games!$C$159),1,0))</f>
        <v/>
      </c>
      <c r="AU61" s="13" t="str">
        <f>IF(OR(N61="",Results!N16=""),"",IF(AND(N61=Results!N16,Results!N16&lt;&gt;Games!$C$160),1,0))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IF(OR(B62="",Results!B16=""),"",IF(B62=Results!B16,1+IF(OR($O62=1,$P62=1,$Q62=1),1,0),0))</f>
        <v/>
      </c>
      <c r="T62" s="4" t="str">
        <f>IF(OR(C62="",Results!C16=""),"",IF(C62=Results!C16,1+IF(OR($O62=2,$P62=2,$Q62=2),1,0),0))</f>
        <v/>
      </c>
      <c r="U62" s="4" t="str">
        <f>IF(OR(D62="",Results!D16=""),"",IF(D62=Results!D16,1+IF(OR($O62=3,$P62=3,$Q62=3),1,0),0))</f>
        <v/>
      </c>
      <c r="V62" s="4" t="str">
        <f>IF(OR(E62="",Results!E16=""),"",IF(E62=Results!E16,1+IF(OR($O62=4,$P62=4,$Q62=4),1,0),0))</f>
        <v/>
      </c>
      <c r="W62" s="4" t="str">
        <f>IF(OR(F62="",Results!F16=""),"",IF(F62=Results!F16,1+IF(OR($O62=5,$P62=5,$Q62=5),1,0),0))</f>
        <v/>
      </c>
      <c r="X62" s="4" t="str">
        <f>IF(OR(G62="",Results!G16=""),"",IF(G62=Results!G16,1+IF(OR($O62=6,$P62=6,$Q62=6),1,0),0))</f>
        <v/>
      </c>
      <c r="Y62" s="4" t="str">
        <f>IF(OR(H62="",Results!H16=""),"",IF(H62=Results!H16,1+IF(OR($O62=7,$P62=7,$Q62=7),1,0),0))</f>
        <v/>
      </c>
      <c r="Z62" s="4" t="str">
        <f>IF(OR(I62="",Results!I16=""),"",IF(I62=Results!I16,1+IF(OR($O62=8,$P62=8,$Q62=8),1,0),0))</f>
        <v/>
      </c>
      <c r="AA62" s="4" t="str">
        <f>IF(OR(J62="",Results!J16=""),"",IF(J62=Results!J16,1+IF(OR($O62=9,$P62=9,$Q62=9),1,0),0))</f>
        <v/>
      </c>
      <c r="AB62" s="4" t="str">
        <f>IF(OR(K62="",Results!K16=""),"",IF(K62=Results!K16,1+IF(OR($O62=10,$P62=10,$Q62=10),1,0),0))</f>
        <v/>
      </c>
      <c r="AC62" s="4" t="str">
        <f>IF(OR(L62="",Results!L16=""),"",IF(L62=Results!L16,1+IF(OR($O62=11,$P62=11,$Q62=11),1,0),0))</f>
        <v/>
      </c>
      <c r="AD62" s="4" t="str">
        <f>IF(OR(M62="",Results!M16=""),"",IF(M62=Results!M16,1+IF(OR($O62=12,$P62=12,$Q62=12),1,0),0))</f>
        <v/>
      </c>
      <c r="AE62" s="4" t="str">
        <f>IF(OR(N62="",Results!N16=""),"",IF(N62=Results!N16,1+IF(OR($O62=13,$P62=13,$Q62=13),1,0),0))</f>
        <v/>
      </c>
      <c r="AF62" s="11">
        <f t="shared" si="2"/>
        <v>0</v>
      </c>
      <c r="AG62" s="4" t="str">
        <f>IF(OR($R62="",Results!O16=""),"",ABS($R62-Results!O16))</f>
        <v/>
      </c>
      <c r="AH62" s="12">
        <v>31</v>
      </c>
      <c r="AI62" s="13" t="str">
        <f>IF(OR(B62="",Results!B16=""),"",IF(AND(B62=Results!B16,Results!B16&lt;&gt;Games!$C$148),1,0))</f>
        <v/>
      </c>
      <c r="AJ62" s="13" t="str">
        <f>IF(OR(C62="",Results!C16=""),"",IF(AND(C62=Results!C16,Results!C16&lt;&gt;Games!$C$149),1,0))</f>
        <v/>
      </c>
      <c r="AK62" s="13" t="str">
        <f>IF(OR(D62="",Results!D16=""),"",IF(AND(D62=Results!D16,Results!D16&lt;&gt;Games!$C$150),1,0))</f>
        <v/>
      </c>
      <c r="AL62" s="13" t="str">
        <f>IF(OR(E62="",Results!E16=""),"",IF(AND(E62=Results!E16,Results!E16&lt;&gt;Games!$C$151),1,0))</f>
        <v/>
      </c>
      <c r="AM62" s="13" t="str">
        <f>IF(OR(F62="",Results!F16=""),"",IF(AND(F62=Results!F16,Results!F16&lt;&gt;Games!$C$152),1,0))</f>
        <v/>
      </c>
      <c r="AN62" s="13" t="str">
        <f>IF(OR(G62="",Results!G16=""),"",IF(AND(G62=Results!G16,Results!G16&lt;&gt;Games!$C$153),1,0))</f>
        <v/>
      </c>
      <c r="AO62" s="13" t="str">
        <f>IF(OR(H62="",Results!H16=""),"",IF(AND(H62=Results!H16,Results!H16&lt;&gt;Games!$C$154),1,0))</f>
        <v/>
      </c>
      <c r="AP62" s="13" t="str">
        <f>IF(OR(I62="",Results!I16=""),"",IF(AND(I62=Results!I16,Results!I16&lt;&gt;Games!$C$155),1,0))</f>
        <v/>
      </c>
      <c r="AQ62" s="13" t="str">
        <f>IF(OR(J62="",Results!J16=""),"",IF(AND(J62=Results!J16,Results!J16&lt;&gt;Games!$C$156),1,0))</f>
        <v/>
      </c>
      <c r="AR62" s="13" t="str">
        <f>IF(OR(K62="",Results!K16=""),"",IF(AND(K62=Results!K16,Results!K16&lt;&gt;Games!$C$157),1,0))</f>
        <v/>
      </c>
      <c r="AS62" s="13" t="str">
        <f>IF(OR(L62="",Results!L16=""),"",IF(AND(L62=Results!L16,Results!L16&lt;&gt;Games!$C$158),1,0))</f>
        <v/>
      </c>
      <c r="AT62" s="13" t="str">
        <f>IF(OR(M62="",Results!M16=""),"",IF(AND(M62=Results!M16,Results!M16&lt;&gt;Games!$C$159),1,0))</f>
        <v/>
      </c>
      <c r="AU62" s="13" t="str">
        <f>IF(OR(N62="",Results!N16=""),"",IF(AND(N62=Results!N16,Results!N16&lt;&gt;Games!$C$160),1,0))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 t="str">
        <f>IF(OR(B63="",Results!B16=""),"",IF(B63=Results!B16,1+IF(OR($O63=1,$P63=1,$Q63=1),1,0),0))</f>
        <v/>
      </c>
      <c r="T63" s="4" t="str">
        <f>IF(OR(C63="",Results!C16=""),"",IF(C63=Results!C16,1+IF(OR($O63=2,$P63=2,$Q63=2),1,0),0))</f>
        <v/>
      </c>
      <c r="U63" s="4" t="str">
        <f>IF(OR(D63="",Results!D16=""),"",IF(D63=Results!D16,1+IF(OR($O63=3,$P63=3,$Q63=3),1,0),0))</f>
        <v/>
      </c>
      <c r="V63" s="4" t="str">
        <f>IF(OR(E63="",Results!E16=""),"",IF(E63=Results!E16,1+IF(OR($O63=4,$P63=4,$Q63=4),1,0),0))</f>
        <v/>
      </c>
      <c r="W63" s="4" t="str">
        <f>IF(OR(F63="",Results!F16=""),"",IF(F63=Results!F16,1+IF(OR($O63=5,$P63=5,$Q63=5),1,0),0))</f>
        <v/>
      </c>
      <c r="X63" s="4" t="str">
        <f>IF(OR(G63="",Results!G16=""),"",IF(G63=Results!G16,1+IF(OR($O63=6,$P63=6,$Q63=6),1,0),0))</f>
        <v/>
      </c>
      <c r="Y63" s="4" t="str">
        <f>IF(OR(H63="",Results!H16=""),"",IF(H63=Results!H16,1+IF(OR($O63=7,$P63=7,$Q63=7),1,0),0))</f>
        <v/>
      </c>
      <c r="Z63" s="4" t="str">
        <f>IF(OR(I63="",Results!I16=""),"",IF(I63=Results!I16,1+IF(OR($O63=8,$P63=8,$Q63=8),1,0),0))</f>
        <v/>
      </c>
      <c r="AA63" s="4" t="str">
        <f>IF(OR(J63="",Results!J16=""),"",IF(J63=Results!J16,1+IF(OR($O63=9,$P63=9,$Q63=9),1,0),0))</f>
        <v/>
      </c>
      <c r="AB63" s="4" t="str">
        <f>IF(OR(K63="",Results!K16=""),"",IF(K63=Results!K16,1+IF(OR($O63=10,$P63=10,$Q63=10),1,0),0))</f>
        <v/>
      </c>
      <c r="AC63" s="4" t="str">
        <f>IF(OR(L63="",Results!L16=""),"",IF(L63=Results!L16,1+IF(OR($O63=11,$P63=11,$Q63=11),1,0),0))</f>
        <v/>
      </c>
      <c r="AD63" s="4" t="str">
        <f>IF(OR(M63="",Results!M16=""),"",IF(M63=Results!M16,1+IF(OR($O63=12,$P63=12,$Q63=12),1,0),0))</f>
        <v/>
      </c>
      <c r="AE63" s="4" t="str">
        <f>IF(OR(N63="",Results!N16=""),"",IF(N63=Results!N16,1+IF(OR($O63=13,$P63=13,$Q63=13),1,0),0))</f>
        <v/>
      </c>
      <c r="AF63" s="11">
        <f t="shared" si="2"/>
        <v>0</v>
      </c>
      <c r="AG63" s="4" t="str">
        <f>IF(OR($R63="",Results!O16=""),"",ABS($R63-Results!O16))</f>
        <v/>
      </c>
      <c r="AH63" s="12">
        <v>32</v>
      </c>
      <c r="AI63" s="13" t="str">
        <f>IF(OR(B63="",Results!B16=""),"",IF(AND(B63=Results!B16,Results!B16&lt;&gt;Games!$C$148),1,0))</f>
        <v/>
      </c>
      <c r="AJ63" s="13" t="str">
        <f>IF(OR(C63="",Results!C16=""),"",IF(AND(C63=Results!C16,Results!C16&lt;&gt;Games!$C$149),1,0))</f>
        <v/>
      </c>
      <c r="AK63" s="13" t="str">
        <f>IF(OR(D63="",Results!D16=""),"",IF(AND(D63=Results!D16,Results!D16&lt;&gt;Games!$C$150),1,0))</f>
        <v/>
      </c>
      <c r="AL63" s="13" t="str">
        <f>IF(OR(E63="",Results!E16=""),"",IF(AND(E63=Results!E16,Results!E16&lt;&gt;Games!$C$151),1,0))</f>
        <v/>
      </c>
      <c r="AM63" s="13" t="str">
        <f>IF(OR(F63="",Results!F16=""),"",IF(AND(F63=Results!F16,Results!F16&lt;&gt;Games!$C$152),1,0))</f>
        <v/>
      </c>
      <c r="AN63" s="13" t="str">
        <f>IF(OR(G63="",Results!G16=""),"",IF(AND(G63=Results!G16,Results!G16&lt;&gt;Games!$C$153),1,0))</f>
        <v/>
      </c>
      <c r="AO63" s="13" t="str">
        <f>IF(OR(H63="",Results!H16=""),"",IF(AND(H63=Results!H16,Results!H16&lt;&gt;Games!$C$154),1,0))</f>
        <v/>
      </c>
      <c r="AP63" s="13" t="str">
        <f>IF(OR(I63="",Results!I16=""),"",IF(AND(I63=Results!I16,Results!I16&lt;&gt;Games!$C$155),1,0))</f>
        <v/>
      </c>
      <c r="AQ63" s="13" t="str">
        <f>IF(OR(J63="",Results!J16=""),"",IF(AND(J63=Results!J16,Results!J16&lt;&gt;Games!$C$156),1,0))</f>
        <v/>
      </c>
      <c r="AR63" s="13" t="str">
        <f>IF(OR(K63="",Results!K16=""),"",IF(AND(K63=Results!K16,Results!K16&lt;&gt;Games!$C$157),1,0))</f>
        <v/>
      </c>
      <c r="AS63" s="13" t="str">
        <f>IF(OR(L63="",Results!L16=""),"",IF(AND(L63=Results!L16,Results!L16&lt;&gt;Games!$C$158),1,0))</f>
        <v/>
      </c>
      <c r="AT63" s="13" t="str">
        <f>IF(OR(M63="",Results!M16=""),"",IF(AND(M63=Results!M16,Results!M16&lt;&gt;Games!$C$159),1,0))</f>
        <v/>
      </c>
      <c r="AU63" s="13" t="str">
        <f>IF(OR(N63="",Results!N16=""),"",IF(AND(N63=Results!N16,Results!N16&lt;&gt;Games!$C$160),1,0))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 t="str">
        <f>IF(OR(B64="",Results!B16=""),"",IF(B64=Results!B16,1+IF(OR($O64=1,$P64=1,$Q64=1),1,0),0))</f>
        <v/>
      </c>
      <c r="T64" s="4" t="str">
        <f>IF(OR(C64="",Results!C16=""),"",IF(C64=Results!C16,1+IF(OR($O64=2,$P64=2,$Q64=2),1,0),0))</f>
        <v/>
      </c>
      <c r="U64" s="4" t="str">
        <f>IF(OR(D64="",Results!D16=""),"",IF(D64=Results!D16,1+IF(OR($O64=3,$P64=3,$Q64=3),1,0),0))</f>
        <v/>
      </c>
      <c r="V64" s="4" t="str">
        <f>IF(OR(E64="",Results!E16=""),"",IF(E64=Results!E16,1+IF(OR($O64=4,$P64=4,$Q64=4),1,0),0))</f>
        <v/>
      </c>
      <c r="W64" s="4" t="str">
        <f>IF(OR(F64="",Results!F16=""),"",IF(F64=Results!F16,1+IF(OR($O64=5,$P64=5,$Q64=5),1,0),0))</f>
        <v/>
      </c>
      <c r="X64" s="4" t="str">
        <f>IF(OR(G64="",Results!G16=""),"",IF(G64=Results!G16,1+IF(OR($O64=6,$P64=6,$Q64=6),1,0),0))</f>
        <v/>
      </c>
      <c r="Y64" s="4" t="str">
        <f>IF(OR(H64="",Results!H16=""),"",IF(H64=Results!H16,1+IF(OR($O64=7,$P64=7,$Q64=7),1,0),0))</f>
        <v/>
      </c>
      <c r="Z64" s="4" t="str">
        <f>IF(OR(I64="",Results!I16=""),"",IF(I64=Results!I16,1+IF(OR($O64=8,$P64=8,$Q64=8),1,0),0))</f>
        <v/>
      </c>
      <c r="AA64" s="4" t="str">
        <f>IF(OR(J64="",Results!J16=""),"",IF(J64=Results!J16,1+IF(OR($O64=9,$P64=9,$Q64=9),1,0),0))</f>
        <v/>
      </c>
      <c r="AB64" s="4" t="str">
        <f>IF(OR(K64="",Results!K16=""),"",IF(K64=Results!K16,1+IF(OR($O64=10,$P64=10,$Q64=10),1,0),0))</f>
        <v/>
      </c>
      <c r="AC64" s="4" t="str">
        <f>IF(OR(L64="",Results!L16=""),"",IF(L64=Results!L16,1+IF(OR($O64=11,$P64=11,$Q64=11),1,0),0))</f>
        <v/>
      </c>
      <c r="AD64" s="4" t="str">
        <f>IF(OR(M64="",Results!M16=""),"",IF(M64=Results!M16,1+IF(OR($O64=12,$P64=12,$Q64=12),1,0),0))</f>
        <v/>
      </c>
      <c r="AE64" s="4" t="str">
        <f>IF(OR(N64="",Results!N16=""),"",IF(N64=Results!N16,1+IF(OR($O64=13,$P64=13,$Q64=13),1,0),0))</f>
        <v/>
      </c>
      <c r="AF64" s="11">
        <f t="shared" si="2"/>
        <v>0</v>
      </c>
      <c r="AG64" s="4" t="str">
        <f>IF(OR($R64="",Results!O16=""),"",ABS($R64-Results!O16))</f>
        <v/>
      </c>
      <c r="AH64" s="12">
        <v>46</v>
      </c>
      <c r="AI64" s="13" t="str">
        <f>IF(OR(B64="",Results!B16=""),"",IF(AND(B64=Results!B16,Results!B16&lt;&gt;Games!$C$148),1,0))</f>
        <v/>
      </c>
      <c r="AJ64" s="13" t="str">
        <f>IF(OR(C64="",Results!C16=""),"",IF(AND(C64=Results!C16,Results!C16&lt;&gt;Games!$C$149),1,0))</f>
        <v/>
      </c>
      <c r="AK64" s="13" t="str">
        <f>IF(OR(D64="",Results!D16=""),"",IF(AND(D64=Results!D16,Results!D16&lt;&gt;Games!$C$150),1,0))</f>
        <v/>
      </c>
      <c r="AL64" s="13" t="str">
        <f>IF(OR(E64="",Results!E16=""),"",IF(AND(E64=Results!E16,Results!E16&lt;&gt;Games!$C$151),1,0))</f>
        <v/>
      </c>
      <c r="AM64" s="13" t="str">
        <f>IF(OR(F64="",Results!F16=""),"",IF(AND(F64=Results!F16,Results!F16&lt;&gt;Games!$C$152),1,0))</f>
        <v/>
      </c>
      <c r="AN64" s="13" t="str">
        <f>IF(OR(G64="",Results!G16=""),"",IF(AND(G64=Results!G16,Results!G16&lt;&gt;Games!$C$153),1,0))</f>
        <v/>
      </c>
      <c r="AO64" s="13" t="str">
        <f>IF(OR(H64="",Results!H16=""),"",IF(AND(H64=Results!H16,Results!H16&lt;&gt;Games!$C$154),1,0))</f>
        <v/>
      </c>
      <c r="AP64" s="13" t="str">
        <f>IF(OR(I64="",Results!I16=""),"",IF(AND(I64=Results!I16,Results!I16&lt;&gt;Games!$C$155),1,0))</f>
        <v/>
      </c>
      <c r="AQ64" s="13" t="str">
        <f>IF(OR(J64="",Results!J16=""),"",IF(AND(J64=Results!J16,Results!J16&lt;&gt;Games!$C$156),1,0))</f>
        <v/>
      </c>
      <c r="AR64" s="13" t="str">
        <f>IF(OR(K64="",Results!K16=""),"",IF(AND(K64=Results!K16,Results!K16&lt;&gt;Games!$C$157),1,0))</f>
        <v/>
      </c>
      <c r="AS64" s="13" t="str">
        <f>IF(OR(L64="",Results!L16=""),"",IF(AND(L64=Results!L16,Results!L16&lt;&gt;Games!$C$158),1,0))</f>
        <v/>
      </c>
      <c r="AT64" s="13" t="str">
        <f>IF(OR(M64="",Results!M16=""),"",IF(AND(M64=Results!M16,Results!M16&lt;&gt;Games!$C$159),1,0))</f>
        <v/>
      </c>
      <c r="AU64" s="13" t="str">
        <f>IF(OR(N64="",Results!N16=""),"",IF(AND(N64=Results!N16,Results!N16&lt;&gt;Games!$C$160),1,0))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IF(OR(B65="",Results!B16=""),"",IF(B65=Results!B16,1+IF(OR($O65=1,$P65=1,$Q65=1),1,0),0))</f>
        <v/>
      </c>
      <c r="T65" s="4" t="str">
        <f>IF(OR(C65="",Results!C16=""),"",IF(C65=Results!C16,1+IF(OR($O65=2,$P65=2,$Q65=2),1,0),0))</f>
        <v/>
      </c>
      <c r="U65" s="4" t="str">
        <f>IF(OR(D65="",Results!D16=""),"",IF(D65=Results!D16,1+IF(OR($O65=3,$P65=3,$Q65=3),1,0),0))</f>
        <v/>
      </c>
      <c r="V65" s="4" t="str">
        <f>IF(OR(E65="",Results!E16=""),"",IF(E65=Results!E16,1+IF(OR($O65=4,$P65=4,$Q65=4),1,0),0))</f>
        <v/>
      </c>
      <c r="W65" s="4" t="str">
        <f>IF(OR(F65="",Results!F16=""),"",IF(F65=Results!F16,1+IF(OR($O65=5,$P65=5,$Q65=5),1,0),0))</f>
        <v/>
      </c>
      <c r="X65" s="4" t="str">
        <f>IF(OR(G65="",Results!G16=""),"",IF(G65=Results!G16,1+IF(OR($O65=6,$P65=6,$Q65=6),1,0),0))</f>
        <v/>
      </c>
      <c r="Y65" s="4" t="str">
        <f>IF(OR(H65="",Results!H16=""),"",IF(H65=Results!H16,1+IF(OR($O65=7,$P65=7,$Q65=7),1,0),0))</f>
        <v/>
      </c>
      <c r="Z65" s="4" t="str">
        <f>IF(OR(I65="",Results!I16=""),"",IF(I65=Results!I16,1+IF(OR($O65=8,$P65=8,$Q65=8),1,0),0))</f>
        <v/>
      </c>
      <c r="AA65" s="4" t="str">
        <f>IF(OR(J65="",Results!J16=""),"",IF(J65=Results!J16,1+IF(OR($O65=9,$P65=9,$Q65=9),1,0),0))</f>
        <v/>
      </c>
      <c r="AB65" s="4" t="str">
        <f>IF(OR(K65="",Results!K16=""),"",IF(K65=Results!K16,1+IF(OR($O65=10,$P65=10,$Q65=10),1,0),0))</f>
        <v/>
      </c>
      <c r="AC65" s="4" t="str">
        <f>IF(OR(L65="",Results!L16=""),"",IF(L65=Results!L16,1+IF(OR($O65=11,$P65=11,$Q65=11),1,0),0))</f>
        <v/>
      </c>
      <c r="AD65" s="4" t="str">
        <f>IF(OR(M65="",Results!M16=""),"",IF(M65=Results!M16,1+IF(OR($O65=12,$P65=12,$Q65=12),1,0),0))</f>
        <v/>
      </c>
      <c r="AE65" s="4" t="str">
        <f>IF(OR(N65="",Results!N16=""),"",IF(N65=Results!N16,1+IF(OR($O65=13,$P65=13,$Q65=13),1,0),0))</f>
        <v/>
      </c>
      <c r="AF65" s="11">
        <f t="shared" si="2"/>
        <v>0</v>
      </c>
      <c r="AG65" s="4" t="str">
        <f>IF(OR($R65="",Results!O16=""),"",ABS($R65-Results!O16))</f>
        <v/>
      </c>
      <c r="AH65" s="12">
        <v>33</v>
      </c>
      <c r="AI65" s="13" t="str">
        <f>IF(OR(B65="",Results!B16=""),"",IF(AND(B65=Results!B16,Results!B16&lt;&gt;Games!$C$148),1,0))</f>
        <v/>
      </c>
      <c r="AJ65" s="13" t="str">
        <f>IF(OR(C65="",Results!C16=""),"",IF(AND(C65=Results!C16,Results!C16&lt;&gt;Games!$C$149),1,0))</f>
        <v/>
      </c>
      <c r="AK65" s="13" t="str">
        <f>IF(OR(D65="",Results!D16=""),"",IF(AND(D65=Results!D16,Results!D16&lt;&gt;Games!$C$150),1,0))</f>
        <v/>
      </c>
      <c r="AL65" s="13" t="str">
        <f>IF(OR(E65="",Results!E16=""),"",IF(AND(E65=Results!E16,Results!E16&lt;&gt;Games!$C$151),1,0))</f>
        <v/>
      </c>
      <c r="AM65" s="13" t="str">
        <f>IF(OR(F65="",Results!F16=""),"",IF(AND(F65=Results!F16,Results!F16&lt;&gt;Games!$C$152),1,0))</f>
        <v/>
      </c>
      <c r="AN65" s="13" t="str">
        <f>IF(OR(G65="",Results!G16=""),"",IF(AND(G65=Results!G16,Results!G16&lt;&gt;Games!$C$153),1,0))</f>
        <v/>
      </c>
      <c r="AO65" s="13" t="str">
        <f>IF(OR(H65="",Results!H16=""),"",IF(AND(H65=Results!H16,Results!H16&lt;&gt;Games!$C$154),1,0))</f>
        <v/>
      </c>
      <c r="AP65" s="13" t="str">
        <f>IF(OR(I65="",Results!I16=""),"",IF(AND(I65=Results!I16,Results!I16&lt;&gt;Games!$C$155),1,0))</f>
        <v/>
      </c>
      <c r="AQ65" s="13" t="str">
        <f>IF(OR(J65="",Results!J16=""),"",IF(AND(J65=Results!J16,Results!J16&lt;&gt;Games!$C$156),1,0))</f>
        <v/>
      </c>
      <c r="AR65" s="13" t="str">
        <f>IF(OR(K65="",Results!K16=""),"",IF(AND(K65=Results!K16,Results!K16&lt;&gt;Games!$C$157),1,0))</f>
        <v/>
      </c>
      <c r="AS65" s="13" t="str">
        <f>IF(OR(L65="",Results!L16=""),"",IF(AND(L65=Results!L16,Results!L16&lt;&gt;Games!$C$158),1,0))</f>
        <v/>
      </c>
      <c r="AT65" s="13" t="str">
        <f>IF(OR(M65="",Results!M16=""),"",IF(AND(M65=Results!M16,Results!M16&lt;&gt;Games!$C$159),1,0))</f>
        <v/>
      </c>
      <c r="AU65" s="13" t="str">
        <f>IF(OR(N65="",Results!N16=""),"",IF(AND(N65=Results!N16,Results!N16&lt;&gt;Games!$C$160),1,0))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D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D00-000001000000}">
          <x14:formula1>
            <xm:f>Games!$C$148:$D$148</xm:f>
          </x14:formula1>
          <x14:formula2>
            <xm:f>0</xm:f>
          </x14:formula2>
          <xm:sqref>B6:B65</xm:sqref>
        </x14:dataValidation>
        <x14:dataValidation type="list" allowBlank="1" xr:uid="{00000000-0002-0000-0D00-000002000000}">
          <x14:formula1>
            <xm:f>Games!$C$149:$D$149</xm:f>
          </x14:formula1>
          <x14:formula2>
            <xm:f>0</xm:f>
          </x14:formula2>
          <xm:sqref>C6:C65</xm:sqref>
        </x14:dataValidation>
        <x14:dataValidation type="list" allowBlank="1" xr:uid="{00000000-0002-0000-0D00-000003000000}">
          <x14:formula1>
            <xm:f>Games!$C$150:$D$150</xm:f>
          </x14:formula1>
          <x14:formula2>
            <xm:f>0</xm:f>
          </x14:formula2>
          <xm:sqref>D6:D65</xm:sqref>
        </x14:dataValidation>
        <x14:dataValidation type="list" allowBlank="1" xr:uid="{00000000-0002-0000-0D00-000004000000}">
          <x14:formula1>
            <xm:f>Games!$C$151:$D$151</xm:f>
          </x14:formula1>
          <x14:formula2>
            <xm:f>0</xm:f>
          </x14:formula2>
          <xm:sqref>E6:E65</xm:sqref>
        </x14:dataValidation>
        <x14:dataValidation type="list" allowBlank="1" xr:uid="{00000000-0002-0000-0D00-000005000000}">
          <x14:formula1>
            <xm:f>Games!$C$152:$D$152</xm:f>
          </x14:formula1>
          <x14:formula2>
            <xm:f>0</xm:f>
          </x14:formula2>
          <xm:sqref>F6:F65</xm:sqref>
        </x14:dataValidation>
        <x14:dataValidation type="list" allowBlank="1" xr:uid="{00000000-0002-0000-0D00-000006000000}">
          <x14:formula1>
            <xm:f>Games!$C$153:$D$153</xm:f>
          </x14:formula1>
          <x14:formula2>
            <xm:f>0</xm:f>
          </x14:formula2>
          <xm:sqref>G6:G65</xm:sqref>
        </x14:dataValidation>
        <x14:dataValidation type="list" allowBlank="1" xr:uid="{00000000-0002-0000-0D00-000007000000}">
          <x14:formula1>
            <xm:f>Games!$C$154:$D$154</xm:f>
          </x14:formula1>
          <x14:formula2>
            <xm:f>0</xm:f>
          </x14:formula2>
          <xm:sqref>H6:H65</xm:sqref>
        </x14:dataValidation>
        <x14:dataValidation type="list" allowBlank="1" xr:uid="{00000000-0002-0000-0D00-000008000000}">
          <x14:formula1>
            <xm:f>Games!$C$155:$D$155</xm:f>
          </x14:formula1>
          <x14:formula2>
            <xm:f>0</xm:f>
          </x14:formula2>
          <xm:sqref>I6:I65</xm:sqref>
        </x14:dataValidation>
        <x14:dataValidation type="list" allowBlank="1" xr:uid="{00000000-0002-0000-0D00-000009000000}">
          <x14:formula1>
            <xm:f>Games!$C$156:$D$156</xm:f>
          </x14:formula1>
          <x14:formula2>
            <xm:f>0</xm:f>
          </x14:formula2>
          <xm:sqref>J6:J65</xm:sqref>
        </x14:dataValidation>
        <x14:dataValidation type="list" allowBlank="1" xr:uid="{00000000-0002-0000-0D00-00000A000000}">
          <x14:formula1>
            <xm:f>Games!$C$157:$D$157</xm:f>
          </x14:formula1>
          <x14:formula2>
            <xm:f>0</xm:f>
          </x14:formula2>
          <xm:sqref>K6:K65</xm:sqref>
        </x14:dataValidation>
        <x14:dataValidation type="list" allowBlank="1" xr:uid="{00000000-0002-0000-0D00-00000B000000}">
          <x14:formula1>
            <xm:f>Games!$C$158:$D$158</xm:f>
          </x14:formula1>
          <x14:formula2>
            <xm:f>0</xm:f>
          </x14:formula2>
          <xm:sqref>L6:L65</xm:sqref>
        </x14:dataValidation>
        <x14:dataValidation type="list" allowBlank="1" xr:uid="{00000000-0002-0000-0D00-00000C000000}">
          <x14:formula1>
            <xm:f>Games!$C$159:$D$159</xm:f>
          </x14:formula1>
          <x14:formula2>
            <xm:f>0</xm:f>
          </x14:formula2>
          <xm:sqref>M6:M65</xm:sqref>
        </x14:dataValidation>
        <x14:dataValidation type="list" allowBlank="1" xr:uid="{00000000-0002-0000-0D00-00000D000000}">
          <x14:formula1>
            <xm:f>Games!$C$160:$D$160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V6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20" customWidth="1"/>
    <col min="15" max="17" width="10" customWidth="1"/>
    <col min="18" max="18" width="14" customWidth="1"/>
    <col min="19" max="31" width="9" customWidth="1"/>
    <col min="32" max="32" width="11" customWidth="1"/>
    <col min="33" max="33" width="13" customWidth="1"/>
    <col min="34" max="34" width="12" customWidth="1"/>
    <col min="35" max="47" width="9" customWidth="1"/>
    <col min="48" max="48" width="13" customWidth="1"/>
  </cols>
  <sheetData>
    <row r="1" spans="1:48" ht="17.25" customHeight="1" x14ac:dyDescent="0.25">
      <c r="A1" s="2" t="s">
        <v>326</v>
      </c>
    </row>
    <row r="2" spans="1:48" ht="15" customHeight="1" x14ac:dyDescent="0.25">
      <c r="A2" s="19" t="s">
        <v>278</v>
      </c>
      <c r="B2" s="19"/>
      <c r="C2" s="19"/>
      <c r="D2" s="19"/>
      <c r="E2" s="19"/>
      <c r="F2" s="19"/>
      <c r="G2" s="19"/>
      <c r="H2" s="19"/>
    </row>
    <row r="4" spans="1:48" ht="30" customHeight="1" x14ac:dyDescent="0.25">
      <c r="A4" s="10" t="s">
        <v>279</v>
      </c>
      <c r="B4" s="10" t="str">
        <f>1&amp;CHAR(10)&amp;Games!C161&amp;" vs "&amp;Games!D161</f>
        <v xml:space="preserve">1
 vs </v>
      </c>
      <c r="C4" s="10" t="str">
        <f>2&amp;CHAR(10)&amp;Games!C162&amp;" vs "&amp;Games!D162</f>
        <v xml:space="preserve">2
 vs </v>
      </c>
      <c r="D4" s="10" t="str">
        <f>3&amp;CHAR(10)&amp;Games!C163&amp;" vs "&amp;Games!D163</f>
        <v xml:space="preserve">3
 vs </v>
      </c>
      <c r="E4" s="10" t="str">
        <f>4&amp;CHAR(10)&amp;Games!C164&amp;" vs "&amp;Games!D164</f>
        <v xml:space="preserve">4
 vs </v>
      </c>
      <c r="F4" s="10" t="str">
        <f>5&amp;CHAR(10)&amp;Games!C165&amp;" vs "&amp;Games!D165</f>
        <v xml:space="preserve">5
 vs </v>
      </c>
      <c r="G4" s="10" t="str">
        <f>6&amp;CHAR(10)&amp;Games!C166&amp;" vs "&amp;Games!D166</f>
        <v xml:space="preserve">6
 vs </v>
      </c>
      <c r="H4" s="10" t="str">
        <f>7&amp;CHAR(10)&amp;Games!C167&amp;" vs "&amp;Games!D167</f>
        <v xml:space="preserve">7
 vs </v>
      </c>
      <c r="I4" s="10" t="str">
        <f>8&amp;CHAR(10)&amp;Games!C168&amp;" vs "&amp;Games!D168</f>
        <v xml:space="preserve">8
 vs </v>
      </c>
      <c r="J4" s="10" t="str">
        <f>9&amp;CHAR(10)&amp;Games!C169&amp;" vs "&amp;Games!D169</f>
        <v xml:space="preserve">9
 vs </v>
      </c>
      <c r="K4" s="10" t="str">
        <f>10&amp;CHAR(10)&amp;Games!C170&amp;" vs "&amp;Games!D170</f>
        <v xml:space="preserve">10
 vs </v>
      </c>
      <c r="L4" s="10" t="str">
        <f>11&amp;CHAR(10)&amp;Games!C171&amp;" vs "&amp;Games!D171</f>
        <v xml:space="preserve">11
 vs </v>
      </c>
      <c r="M4" s="10" t="str">
        <f>12&amp;CHAR(10)&amp;Games!C172&amp;" vs "&amp;Games!D172</f>
        <v xml:space="preserve">12
 vs </v>
      </c>
      <c r="N4" s="10" t="str">
        <f>13&amp;CHAR(10)&amp;Games!C173&amp;" vs "&amp;Games!D173</f>
        <v xml:space="preserve">13
 vs </v>
      </c>
      <c r="O4" s="10" t="s">
        <v>280</v>
      </c>
      <c r="P4" s="10" t="s">
        <v>281</v>
      </c>
      <c r="Q4" s="10" t="s">
        <v>282</v>
      </c>
      <c r="R4" s="10" t="s">
        <v>283</v>
      </c>
      <c r="S4" s="10" t="s">
        <v>284</v>
      </c>
      <c r="T4" s="10" t="s">
        <v>285</v>
      </c>
      <c r="U4" s="10" t="s">
        <v>286</v>
      </c>
      <c r="V4" s="10" t="s">
        <v>287</v>
      </c>
      <c r="W4" s="10" t="s">
        <v>288</v>
      </c>
      <c r="X4" s="10" t="s">
        <v>289</v>
      </c>
      <c r="Y4" s="10" t="s">
        <v>290</v>
      </c>
      <c r="Z4" s="10" t="s">
        <v>291</v>
      </c>
      <c r="AA4" s="10" t="s">
        <v>292</v>
      </c>
      <c r="AB4" s="10" t="s">
        <v>293</v>
      </c>
      <c r="AC4" s="10" t="s">
        <v>294</v>
      </c>
      <c r="AD4" s="10" t="s">
        <v>295</v>
      </c>
      <c r="AE4" s="10" t="s">
        <v>296</v>
      </c>
      <c r="AF4" s="10" t="s">
        <v>297</v>
      </c>
      <c r="AG4" s="10" t="s">
        <v>298</v>
      </c>
      <c r="AH4" s="10" t="s">
        <v>299</v>
      </c>
      <c r="AI4" s="10" t="s">
        <v>300</v>
      </c>
      <c r="AJ4" s="10" t="s">
        <v>301</v>
      </c>
      <c r="AK4" s="10" t="s">
        <v>302</v>
      </c>
      <c r="AL4" s="10" t="s">
        <v>303</v>
      </c>
      <c r="AM4" s="10" t="s">
        <v>304</v>
      </c>
      <c r="AN4" s="10" t="s">
        <v>305</v>
      </c>
      <c r="AO4" s="10" t="s">
        <v>306</v>
      </c>
      <c r="AP4" s="10" t="s">
        <v>307</v>
      </c>
      <c r="AQ4" s="10" t="s">
        <v>308</v>
      </c>
      <c r="AR4" s="10" t="s">
        <v>309</v>
      </c>
      <c r="AS4" s="10" t="s">
        <v>310</v>
      </c>
      <c r="AT4" s="10" t="s">
        <v>311</v>
      </c>
      <c r="AU4" s="10" t="s">
        <v>312</v>
      </c>
      <c r="AV4" s="10" t="s">
        <v>313</v>
      </c>
    </row>
    <row r="6" spans="1:48" ht="15" customHeight="1" x14ac:dyDescent="0.25">
      <c r="A6" s="4" t="str">
        <f>INDEX(Players!$D$6:$D$69,MATCH(2,Players!$A$6:$A$69,0))</f>
        <v>Amie M.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4" t="str">
        <f>IF(OR(B6="",Results!B17=""),"",IF(B6=Results!B17,1+IF(OR($O6=1,$P6=1,$Q6=1),1,0),0))</f>
        <v/>
      </c>
      <c r="T6" s="4" t="str">
        <f>IF(OR(C6="",Results!C17=""),"",IF(C6=Results!C17,1+IF(OR($O6=2,$P6=2,$Q6=2),1,0),0))</f>
        <v/>
      </c>
      <c r="U6" s="4" t="str">
        <f>IF(OR(D6="",Results!D17=""),"",IF(D6=Results!D17,1+IF(OR($O6=3,$P6=3,$Q6=3),1,0),0))</f>
        <v/>
      </c>
      <c r="V6" s="4" t="str">
        <f>IF(OR(E6="",Results!E17=""),"",IF(E6=Results!E17,1+IF(OR($O6=4,$P6=4,$Q6=4),1,0),0))</f>
        <v/>
      </c>
      <c r="W6" s="4" t="str">
        <f>IF(OR(F6="",Results!F17=""),"",IF(F6=Results!F17,1+IF(OR($O6=5,$P6=5,$Q6=5),1,0),0))</f>
        <v/>
      </c>
      <c r="X6" s="4" t="str">
        <f>IF(OR(G6="",Results!G17=""),"",IF(G6=Results!G17,1+IF(OR($O6=6,$P6=6,$Q6=6),1,0),0))</f>
        <v/>
      </c>
      <c r="Y6" s="4" t="str">
        <f>IF(OR(H6="",Results!H17=""),"",IF(H6=Results!H17,1+IF(OR($O6=7,$P6=7,$Q6=7),1,0),0))</f>
        <v/>
      </c>
      <c r="Z6" s="4" t="str">
        <f>IF(OR(I6="",Results!I17=""),"",IF(I6=Results!I17,1+IF(OR($O6=8,$P6=8,$Q6=8),1,0),0))</f>
        <v/>
      </c>
      <c r="AA6" s="4" t="str">
        <f>IF(OR(J6="",Results!J17=""),"",IF(J6=Results!J17,1+IF(OR($O6=9,$P6=9,$Q6=9),1,0),0))</f>
        <v/>
      </c>
      <c r="AB6" s="4" t="str">
        <f>IF(OR(K6="",Results!K17=""),"",IF(K6=Results!K17,1+IF(OR($O6=10,$P6=10,$Q6=10),1,0),0))</f>
        <v/>
      </c>
      <c r="AC6" s="4" t="str">
        <f>IF(OR(L6="",Results!L17=""),"",IF(L6=Results!L17,1+IF(OR($O6=11,$P6=11,$Q6=11),1,0),0))</f>
        <v/>
      </c>
      <c r="AD6" s="4" t="str">
        <f>IF(OR(M6="",Results!M17=""),"",IF(M6=Results!M17,1+IF(OR($O6=12,$P6=12,$Q6=12),1,0),0))</f>
        <v/>
      </c>
      <c r="AE6" s="4" t="str">
        <f>IF(OR(N6="",Results!N17=""),"",IF(N6=Results!N17,1+IF(OR($O6=13,$P6=13,$Q6=13),1,0),0))</f>
        <v/>
      </c>
      <c r="AF6" s="11">
        <f t="shared" ref="AF6:AF37" si="0">SUM(S6:AE6)</f>
        <v>0</v>
      </c>
      <c r="AG6" s="4" t="str">
        <f>IF(OR($R6="",Results!O17=""),"",ABS($R6-Results!O17))</f>
        <v/>
      </c>
      <c r="AH6" s="12">
        <v>2</v>
      </c>
      <c r="AI6" s="13" t="str">
        <f>IF(OR(B6="",Results!B17=""),"",IF(AND(B6=Results!B17,Results!B17&lt;&gt;Games!$C$161),1,0))</f>
        <v/>
      </c>
      <c r="AJ6" s="13" t="str">
        <f>IF(OR(C6="",Results!C17=""),"",IF(AND(C6=Results!C17,Results!C17&lt;&gt;Games!$C$162),1,0))</f>
        <v/>
      </c>
      <c r="AK6" s="13" t="str">
        <f>IF(OR(D6="",Results!D17=""),"",IF(AND(D6=Results!D17,Results!D17&lt;&gt;Games!$C$163),1,0))</f>
        <v/>
      </c>
      <c r="AL6" s="13" t="str">
        <f>IF(OR(E6="",Results!E17=""),"",IF(AND(E6=Results!E17,Results!E17&lt;&gt;Games!$C$164),1,0))</f>
        <v/>
      </c>
      <c r="AM6" s="13" t="str">
        <f>IF(OR(F6="",Results!F17=""),"",IF(AND(F6=Results!F17,Results!F17&lt;&gt;Games!$C$165),1,0))</f>
        <v/>
      </c>
      <c r="AN6" s="13" t="str">
        <f>IF(OR(G6="",Results!G17=""),"",IF(AND(G6=Results!G17,Results!G17&lt;&gt;Games!$C$166),1,0))</f>
        <v/>
      </c>
      <c r="AO6" s="13" t="str">
        <f>IF(OR(H6="",Results!H17=""),"",IF(AND(H6=Results!H17,Results!H17&lt;&gt;Games!$C$167),1,0))</f>
        <v/>
      </c>
      <c r="AP6" s="13" t="str">
        <f>IF(OR(I6="",Results!I17=""),"",IF(AND(I6=Results!I17,Results!I17&lt;&gt;Games!$C$168),1,0))</f>
        <v/>
      </c>
      <c r="AQ6" s="13" t="str">
        <f>IF(OR(J6="",Results!J17=""),"",IF(AND(J6=Results!J17,Results!J17&lt;&gt;Games!$C$169),1,0))</f>
        <v/>
      </c>
      <c r="AR6" s="13" t="str">
        <f>IF(OR(K6="",Results!K17=""),"",IF(AND(K6=Results!K17,Results!K17&lt;&gt;Games!$C$170),1,0))</f>
        <v/>
      </c>
      <c r="AS6" s="13" t="str">
        <f>IF(OR(L6="",Results!L17=""),"",IF(AND(L6=Results!L17,Results!L17&lt;&gt;Games!$C$171),1,0))</f>
        <v/>
      </c>
      <c r="AT6" s="13" t="str">
        <f>IF(OR(M6="",Results!M17=""),"",IF(AND(M6=Results!M17,Results!M17&lt;&gt;Games!$C$172),1,0))</f>
        <v/>
      </c>
      <c r="AU6" s="13" t="str">
        <f>IF(OR(N6="",Results!N17=""),"",IF(AND(N6=Results!N17,Results!N17&lt;&gt;Games!$C$173),1,0))</f>
        <v/>
      </c>
      <c r="AV6" s="14">
        <f t="shared" ref="AV6:AV37" si="1">SUM(AI6:AU6)</f>
        <v>0</v>
      </c>
    </row>
    <row r="7" spans="1:48" ht="15" customHeight="1" x14ac:dyDescent="0.25">
      <c r="A7" s="4" t="str">
        <f>INDEX(Players!$D$6:$D$69,MATCH(53,Players!$A$6:$A$69,0))</f>
        <v>Andy K.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4" t="str">
        <f>IF(OR(B7="",Results!B17=""),"",IF(B7=Results!B17,1+IF(OR($O7=1,$P7=1,$Q7=1),1,0),0))</f>
        <v/>
      </c>
      <c r="T7" s="4" t="str">
        <f>IF(OR(C7="",Results!C17=""),"",IF(C7=Results!C17,1+IF(OR($O7=2,$P7=2,$Q7=2),1,0),0))</f>
        <v/>
      </c>
      <c r="U7" s="4" t="str">
        <f>IF(OR(D7="",Results!D17=""),"",IF(D7=Results!D17,1+IF(OR($O7=3,$P7=3,$Q7=3),1,0),0))</f>
        <v/>
      </c>
      <c r="V7" s="4" t="str">
        <f>IF(OR(E7="",Results!E17=""),"",IF(E7=Results!E17,1+IF(OR($O7=4,$P7=4,$Q7=4),1,0),0))</f>
        <v/>
      </c>
      <c r="W7" s="4" t="str">
        <f>IF(OR(F7="",Results!F17=""),"",IF(F7=Results!F17,1+IF(OR($O7=5,$P7=5,$Q7=5),1,0),0))</f>
        <v/>
      </c>
      <c r="X7" s="4" t="str">
        <f>IF(OR(G7="",Results!G17=""),"",IF(G7=Results!G17,1+IF(OR($O7=6,$P7=6,$Q7=6),1,0),0))</f>
        <v/>
      </c>
      <c r="Y7" s="4" t="str">
        <f>IF(OR(H7="",Results!H17=""),"",IF(H7=Results!H17,1+IF(OR($O7=7,$P7=7,$Q7=7),1,0),0))</f>
        <v/>
      </c>
      <c r="Z7" s="4" t="str">
        <f>IF(OR(I7="",Results!I17=""),"",IF(I7=Results!I17,1+IF(OR($O7=8,$P7=8,$Q7=8),1,0),0))</f>
        <v/>
      </c>
      <c r="AA7" s="4" t="str">
        <f>IF(OR(J7="",Results!J17=""),"",IF(J7=Results!J17,1+IF(OR($O7=9,$P7=9,$Q7=9),1,0),0))</f>
        <v/>
      </c>
      <c r="AB7" s="4" t="str">
        <f>IF(OR(K7="",Results!K17=""),"",IF(K7=Results!K17,1+IF(OR($O7=10,$P7=10,$Q7=10),1,0),0))</f>
        <v/>
      </c>
      <c r="AC7" s="4" t="str">
        <f>IF(OR(L7="",Results!L17=""),"",IF(L7=Results!L17,1+IF(OR($O7=11,$P7=11,$Q7=11),1,0),0))</f>
        <v/>
      </c>
      <c r="AD7" s="4" t="str">
        <f>IF(OR(M7="",Results!M17=""),"",IF(M7=Results!M17,1+IF(OR($O7=12,$P7=12,$Q7=12),1,0),0))</f>
        <v/>
      </c>
      <c r="AE7" s="4" t="str">
        <f>IF(OR(N7="",Results!N17=""),"",IF(N7=Results!N17,1+IF(OR($O7=13,$P7=13,$Q7=13),1,0),0))</f>
        <v/>
      </c>
      <c r="AF7" s="11">
        <f t="shared" si="0"/>
        <v>0</v>
      </c>
      <c r="AG7" s="4" t="str">
        <f>IF(OR($R7="",Results!O17=""),"",ABS($R7-Results!O17))</f>
        <v/>
      </c>
      <c r="AH7" s="12">
        <v>53</v>
      </c>
      <c r="AI7" s="13" t="str">
        <f>IF(OR(B7="",Results!B17=""),"",IF(AND(B7=Results!B17,Results!B17&lt;&gt;Games!$C$161),1,0))</f>
        <v/>
      </c>
      <c r="AJ7" s="13" t="str">
        <f>IF(OR(C7="",Results!C17=""),"",IF(AND(C7=Results!C17,Results!C17&lt;&gt;Games!$C$162),1,0))</f>
        <v/>
      </c>
      <c r="AK7" s="13" t="str">
        <f>IF(OR(D7="",Results!D17=""),"",IF(AND(D7=Results!D17,Results!D17&lt;&gt;Games!$C$163),1,0))</f>
        <v/>
      </c>
      <c r="AL7" s="13" t="str">
        <f>IF(OR(E7="",Results!E17=""),"",IF(AND(E7=Results!E17,Results!E17&lt;&gt;Games!$C$164),1,0))</f>
        <v/>
      </c>
      <c r="AM7" s="13" t="str">
        <f>IF(OR(F7="",Results!F17=""),"",IF(AND(F7=Results!F17,Results!F17&lt;&gt;Games!$C$165),1,0))</f>
        <v/>
      </c>
      <c r="AN7" s="13" t="str">
        <f>IF(OR(G7="",Results!G17=""),"",IF(AND(G7=Results!G17,Results!G17&lt;&gt;Games!$C$166),1,0))</f>
        <v/>
      </c>
      <c r="AO7" s="13" t="str">
        <f>IF(OR(H7="",Results!H17=""),"",IF(AND(H7=Results!H17,Results!H17&lt;&gt;Games!$C$167),1,0))</f>
        <v/>
      </c>
      <c r="AP7" s="13" t="str">
        <f>IF(OR(I7="",Results!I17=""),"",IF(AND(I7=Results!I17,Results!I17&lt;&gt;Games!$C$168),1,0))</f>
        <v/>
      </c>
      <c r="AQ7" s="13" t="str">
        <f>IF(OR(J7="",Results!J17=""),"",IF(AND(J7=Results!J17,Results!J17&lt;&gt;Games!$C$169),1,0))</f>
        <v/>
      </c>
      <c r="AR7" s="13" t="str">
        <f>IF(OR(K7="",Results!K17=""),"",IF(AND(K7=Results!K17,Results!K17&lt;&gt;Games!$C$170),1,0))</f>
        <v/>
      </c>
      <c r="AS7" s="13" t="str">
        <f>IF(OR(L7="",Results!L17=""),"",IF(AND(L7=Results!L17,Results!L17&lt;&gt;Games!$C$171),1,0))</f>
        <v/>
      </c>
      <c r="AT7" s="13" t="str">
        <f>IF(OR(M7="",Results!M17=""),"",IF(AND(M7=Results!M17,Results!M17&lt;&gt;Games!$C$172),1,0))</f>
        <v/>
      </c>
      <c r="AU7" s="13" t="str">
        <f>IF(OR(N7="",Results!N17=""),"",IF(AND(N7=Results!N17,Results!N17&lt;&gt;Games!$C$173),1,0))</f>
        <v/>
      </c>
      <c r="AV7" s="14">
        <f t="shared" si="1"/>
        <v>0</v>
      </c>
    </row>
    <row r="8" spans="1:48" ht="15" customHeight="1" x14ac:dyDescent="0.25">
      <c r="A8" s="4" t="str">
        <f>INDEX(Players!$D$6:$D$69,MATCH(61,Players!$A$6:$A$69,0))</f>
        <v>Bryan C.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4" t="str">
        <f>IF(OR(B8="",Results!B17=""),"",IF(B8=Results!B17,1+IF(OR($O8=1,$P8=1,$Q8=1),1,0),0))</f>
        <v/>
      </c>
      <c r="T8" s="4" t="str">
        <f>IF(OR(C8="",Results!C17=""),"",IF(C8=Results!C17,1+IF(OR($O8=2,$P8=2,$Q8=2),1,0),0))</f>
        <v/>
      </c>
      <c r="U8" s="4" t="str">
        <f>IF(OR(D8="",Results!D17=""),"",IF(D8=Results!D17,1+IF(OR($O8=3,$P8=3,$Q8=3),1,0),0))</f>
        <v/>
      </c>
      <c r="V8" s="4" t="str">
        <f>IF(OR(E8="",Results!E17=""),"",IF(E8=Results!E17,1+IF(OR($O8=4,$P8=4,$Q8=4),1,0),0))</f>
        <v/>
      </c>
      <c r="W8" s="4" t="str">
        <f>IF(OR(F8="",Results!F17=""),"",IF(F8=Results!F17,1+IF(OR($O8=5,$P8=5,$Q8=5),1,0),0))</f>
        <v/>
      </c>
      <c r="X8" s="4" t="str">
        <f>IF(OR(G8="",Results!G17=""),"",IF(G8=Results!G17,1+IF(OR($O8=6,$P8=6,$Q8=6),1,0),0))</f>
        <v/>
      </c>
      <c r="Y8" s="4" t="str">
        <f>IF(OR(H8="",Results!H17=""),"",IF(H8=Results!H17,1+IF(OR($O8=7,$P8=7,$Q8=7),1,0),0))</f>
        <v/>
      </c>
      <c r="Z8" s="4" t="str">
        <f>IF(OR(I8="",Results!I17=""),"",IF(I8=Results!I17,1+IF(OR($O8=8,$P8=8,$Q8=8),1,0),0))</f>
        <v/>
      </c>
      <c r="AA8" s="4" t="str">
        <f>IF(OR(J8="",Results!J17=""),"",IF(J8=Results!J17,1+IF(OR($O8=9,$P8=9,$Q8=9),1,0),0))</f>
        <v/>
      </c>
      <c r="AB8" s="4" t="str">
        <f>IF(OR(K8="",Results!K17=""),"",IF(K8=Results!K17,1+IF(OR($O8=10,$P8=10,$Q8=10),1,0),0))</f>
        <v/>
      </c>
      <c r="AC8" s="4" t="str">
        <f>IF(OR(L8="",Results!L17=""),"",IF(L8=Results!L17,1+IF(OR($O8=11,$P8=11,$Q8=11),1,0),0))</f>
        <v/>
      </c>
      <c r="AD8" s="4" t="str">
        <f>IF(OR(M8="",Results!M17=""),"",IF(M8=Results!M17,1+IF(OR($O8=12,$P8=12,$Q8=12),1,0),0))</f>
        <v/>
      </c>
      <c r="AE8" s="4" t="str">
        <f>IF(OR(N8="",Results!N17=""),"",IF(N8=Results!N17,1+IF(OR($O8=13,$P8=13,$Q8=13),1,0),0))</f>
        <v/>
      </c>
      <c r="AF8" s="11">
        <f t="shared" si="0"/>
        <v>0</v>
      </c>
      <c r="AG8" s="4" t="str">
        <f>IF(OR($R8="",Results!O17=""),"",ABS($R8-Results!O17))</f>
        <v/>
      </c>
      <c r="AH8" s="12">
        <v>61</v>
      </c>
      <c r="AI8" s="13" t="str">
        <f>IF(OR(B8="",Results!B17=""),"",IF(AND(B8=Results!B17,Results!B17&lt;&gt;Games!$C$161),1,0))</f>
        <v/>
      </c>
      <c r="AJ8" s="13" t="str">
        <f>IF(OR(C8="",Results!C17=""),"",IF(AND(C8=Results!C17,Results!C17&lt;&gt;Games!$C$162),1,0))</f>
        <v/>
      </c>
      <c r="AK8" s="13" t="str">
        <f>IF(OR(D8="",Results!D17=""),"",IF(AND(D8=Results!D17,Results!D17&lt;&gt;Games!$C$163),1,0))</f>
        <v/>
      </c>
      <c r="AL8" s="13" t="str">
        <f>IF(OR(E8="",Results!E17=""),"",IF(AND(E8=Results!E17,Results!E17&lt;&gt;Games!$C$164),1,0))</f>
        <v/>
      </c>
      <c r="AM8" s="13" t="str">
        <f>IF(OR(F8="",Results!F17=""),"",IF(AND(F8=Results!F17,Results!F17&lt;&gt;Games!$C$165),1,0))</f>
        <v/>
      </c>
      <c r="AN8" s="13" t="str">
        <f>IF(OR(G8="",Results!G17=""),"",IF(AND(G8=Results!G17,Results!G17&lt;&gt;Games!$C$166),1,0))</f>
        <v/>
      </c>
      <c r="AO8" s="13" t="str">
        <f>IF(OR(H8="",Results!H17=""),"",IF(AND(H8=Results!H17,Results!H17&lt;&gt;Games!$C$167),1,0))</f>
        <v/>
      </c>
      <c r="AP8" s="13" t="str">
        <f>IF(OR(I8="",Results!I17=""),"",IF(AND(I8=Results!I17,Results!I17&lt;&gt;Games!$C$168),1,0))</f>
        <v/>
      </c>
      <c r="AQ8" s="13" t="str">
        <f>IF(OR(J8="",Results!J17=""),"",IF(AND(J8=Results!J17,Results!J17&lt;&gt;Games!$C$169),1,0))</f>
        <v/>
      </c>
      <c r="AR8" s="13" t="str">
        <f>IF(OR(K8="",Results!K17=""),"",IF(AND(K8=Results!K17,Results!K17&lt;&gt;Games!$C$170),1,0))</f>
        <v/>
      </c>
      <c r="AS8" s="13" t="str">
        <f>IF(OR(L8="",Results!L17=""),"",IF(AND(L8=Results!L17,Results!L17&lt;&gt;Games!$C$171),1,0))</f>
        <v/>
      </c>
      <c r="AT8" s="13" t="str">
        <f>IF(OR(M8="",Results!M17=""),"",IF(AND(M8=Results!M17,Results!M17&lt;&gt;Games!$C$172),1,0))</f>
        <v/>
      </c>
      <c r="AU8" s="13" t="str">
        <f>IF(OR(N8="",Results!N17=""),"",IF(AND(N8=Results!N17,Results!N17&lt;&gt;Games!$C$173),1,0))</f>
        <v/>
      </c>
      <c r="AV8" s="14">
        <f t="shared" si="1"/>
        <v>0</v>
      </c>
    </row>
    <row r="9" spans="1:48" ht="15" customHeight="1" x14ac:dyDescent="0.25">
      <c r="A9" s="4" t="str">
        <f>INDEX(Players!$D$6:$D$69,MATCH(41,Players!$A$6:$A$69,0))</f>
        <v>Bryan M.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4" t="str">
        <f>IF(OR(B9="",Results!B17=""),"",IF(B9=Results!B17,1+IF(OR($O9=1,$P9=1,$Q9=1),1,0),0))</f>
        <v/>
      </c>
      <c r="T9" s="4" t="str">
        <f>IF(OR(C9="",Results!C17=""),"",IF(C9=Results!C17,1+IF(OR($O9=2,$P9=2,$Q9=2),1,0),0))</f>
        <v/>
      </c>
      <c r="U9" s="4" t="str">
        <f>IF(OR(D9="",Results!D17=""),"",IF(D9=Results!D17,1+IF(OR($O9=3,$P9=3,$Q9=3),1,0),0))</f>
        <v/>
      </c>
      <c r="V9" s="4" t="str">
        <f>IF(OR(E9="",Results!E17=""),"",IF(E9=Results!E17,1+IF(OR($O9=4,$P9=4,$Q9=4),1,0),0))</f>
        <v/>
      </c>
      <c r="W9" s="4" t="str">
        <f>IF(OR(F9="",Results!F17=""),"",IF(F9=Results!F17,1+IF(OR($O9=5,$P9=5,$Q9=5),1,0),0))</f>
        <v/>
      </c>
      <c r="X9" s="4" t="str">
        <f>IF(OR(G9="",Results!G17=""),"",IF(G9=Results!G17,1+IF(OR($O9=6,$P9=6,$Q9=6),1,0),0))</f>
        <v/>
      </c>
      <c r="Y9" s="4" t="str">
        <f>IF(OR(H9="",Results!H17=""),"",IF(H9=Results!H17,1+IF(OR($O9=7,$P9=7,$Q9=7),1,0),0))</f>
        <v/>
      </c>
      <c r="Z9" s="4" t="str">
        <f>IF(OR(I9="",Results!I17=""),"",IF(I9=Results!I17,1+IF(OR($O9=8,$P9=8,$Q9=8),1,0),0))</f>
        <v/>
      </c>
      <c r="AA9" s="4" t="str">
        <f>IF(OR(J9="",Results!J17=""),"",IF(J9=Results!J17,1+IF(OR($O9=9,$P9=9,$Q9=9),1,0),0))</f>
        <v/>
      </c>
      <c r="AB9" s="4" t="str">
        <f>IF(OR(K9="",Results!K17=""),"",IF(K9=Results!K17,1+IF(OR($O9=10,$P9=10,$Q9=10),1,0),0))</f>
        <v/>
      </c>
      <c r="AC9" s="4" t="str">
        <f>IF(OR(L9="",Results!L17=""),"",IF(L9=Results!L17,1+IF(OR($O9=11,$P9=11,$Q9=11),1,0),0))</f>
        <v/>
      </c>
      <c r="AD9" s="4" t="str">
        <f>IF(OR(M9="",Results!M17=""),"",IF(M9=Results!M17,1+IF(OR($O9=12,$P9=12,$Q9=12),1,0),0))</f>
        <v/>
      </c>
      <c r="AE9" s="4" t="str">
        <f>IF(OR(N9="",Results!N17=""),"",IF(N9=Results!N17,1+IF(OR($O9=13,$P9=13,$Q9=13),1,0),0))</f>
        <v/>
      </c>
      <c r="AF9" s="11">
        <f t="shared" si="0"/>
        <v>0</v>
      </c>
      <c r="AG9" s="4" t="str">
        <f>IF(OR($R9="",Results!O17=""),"",ABS($R9-Results!O17))</f>
        <v/>
      </c>
      <c r="AH9" s="12">
        <v>41</v>
      </c>
      <c r="AI9" s="13" t="str">
        <f>IF(OR(B9="",Results!B17=""),"",IF(AND(B9=Results!B17,Results!B17&lt;&gt;Games!$C$161),1,0))</f>
        <v/>
      </c>
      <c r="AJ9" s="13" t="str">
        <f>IF(OR(C9="",Results!C17=""),"",IF(AND(C9=Results!C17,Results!C17&lt;&gt;Games!$C$162),1,0))</f>
        <v/>
      </c>
      <c r="AK9" s="13" t="str">
        <f>IF(OR(D9="",Results!D17=""),"",IF(AND(D9=Results!D17,Results!D17&lt;&gt;Games!$C$163),1,0))</f>
        <v/>
      </c>
      <c r="AL9" s="13" t="str">
        <f>IF(OR(E9="",Results!E17=""),"",IF(AND(E9=Results!E17,Results!E17&lt;&gt;Games!$C$164),1,0))</f>
        <v/>
      </c>
      <c r="AM9" s="13" t="str">
        <f>IF(OR(F9="",Results!F17=""),"",IF(AND(F9=Results!F17,Results!F17&lt;&gt;Games!$C$165),1,0))</f>
        <v/>
      </c>
      <c r="AN9" s="13" t="str">
        <f>IF(OR(G9="",Results!G17=""),"",IF(AND(G9=Results!G17,Results!G17&lt;&gt;Games!$C$166),1,0))</f>
        <v/>
      </c>
      <c r="AO9" s="13" t="str">
        <f>IF(OR(H9="",Results!H17=""),"",IF(AND(H9=Results!H17,Results!H17&lt;&gt;Games!$C$167),1,0))</f>
        <v/>
      </c>
      <c r="AP9" s="13" t="str">
        <f>IF(OR(I9="",Results!I17=""),"",IF(AND(I9=Results!I17,Results!I17&lt;&gt;Games!$C$168),1,0))</f>
        <v/>
      </c>
      <c r="AQ9" s="13" t="str">
        <f>IF(OR(J9="",Results!J17=""),"",IF(AND(J9=Results!J17,Results!J17&lt;&gt;Games!$C$169),1,0))</f>
        <v/>
      </c>
      <c r="AR9" s="13" t="str">
        <f>IF(OR(K9="",Results!K17=""),"",IF(AND(K9=Results!K17,Results!K17&lt;&gt;Games!$C$170),1,0))</f>
        <v/>
      </c>
      <c r="AS9" s="13" t="str">
        <f>IF(OR(L9="",Results!L17=""),"",IF(AND(L9=Results!L17,Results!L17&lt;&gt;Games!$C$171),1,0))</f>
        <v/>
      </c>
      <c r="AT9" s="13" t="str">
        <f>IF(OR(M9="",Results!M17=""),"",IF(AND(M9=Results!M17,Results!M17&lt;&gt;Games!$C$172),1,0))</f>
        <v/>
      </c>
      <c r="AU9" s="13" t="str">
        <f>IF(OR(N9="",Results!N17=""),"",IF(AND(N9=Results!N17,Results!N17&lt;&gt;Games!$C$173),1,0))</f>
        <v/>
      </c>
      <c r="AV9" s="14">
        <f t="shared" si="1"/>
        <v>0</v>
      </c>
    </row>
    <row r="10" spans="1:48" ht="15" customHeight="1" x14ac:dyDescent="0.25">
      <c r="A10" s="4" t="str">
        <f>INDEX(Players!$D$6:$D$69,MATCH(3,Players!$A$6:$A$69,0))</f>
        <v>Charlie F.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4" t="str">
        <f>IF(OR(B10="",Results!B17=""),"",IF(B10=Results!B17,1+IF(OR($O10=1,$P10=1,$Q10=1),1,0),0))</f>
        <v/>
      </c>
      <c r="T10" s="4" t="str">
        <f>IF(OR(C10="",Results!C17=""),"",IF(C10=Results!C17,1+IF(OR($O10=2,$P10=2,$Q10=2),1,0),0))</f>
        <v/>
      </c>
      <c r="U10" s="4" t="str">
        <f>IF(OR(D10="",Results!D17=""),"",IF(D10=Results!D17,1+IF(OR($O10=3,$P10=3,$Q10=3),1,0),0))</f>
        <v/>
      </c>
      <c r="V10" s="4" t="str">
        <f>IF(OR(E10="",Results!E17=""),"",IF(E10=Results!E17,1+IF(OR($O10=4,$P10=4,$Q10=4),1,0),0))</f>
        <v/>
      </c>
      <c r="W10" s="4" t="str">
        <f>IF(OR(F10="",Results!F17=""),"",IF(F10=Results!F17,1+IF(OR($O10=5,$P10=5,$Q10=5),1,0),0))</f>
        <v/>
      </c>
      <c r="X10" s="4" t="str">
        <f>IF(OR(G10="",Results!G17=""),"",IF(G10=Results!G17,1+IF(OR($O10=6,$P10=6,$Q10=6),1,0),0))</f>
        <v/>
      </c>
      <c r="Y10" s="4" t="str">
        <f>IF(OR(H10="",Results!H17=""),"",IF(H10=Results!H17,1+IF(OR($O10=7,$P10=7,$Q10=7),1,0),0))</f>
        <v/>
      </c>
      <c r="Z10" s="4" t="str">
        <f>IF(OR(I10="",Results!I17=""),"",IF(I10=Results!I17,1+IF(OR($O10=8,$P10=8,$Q10=8),1,0),0))</f>
        <v/>
      </c>
      <c r="AA10" s="4" t="str">
        <f>IF(OR(J10="",Results!J17=""),"",IF(J10=Results!J17,1+IF(OR($O10=9,$P10=9,$Q10=9),1,0),0))</f>
        <v/>
      </c>
      <c r="AB10" s="4" t="str">
        <f>IF(OR(K10="",Results!K17=""),"",IF(K10=Results!K17,1+IF(OR($O10=10,$P10=10,$Q10=10),1,0),0))</f>
        <v/>
      </c>
      <c r="AC10" s="4" t="str">
        <f>IF(OR(L10="",Results!L17=""),"",IF(L10=Results!L17,1+IF(OR($O10=11,$P10=11,$Q10=11),1,0),0))</f>
        <v/>
      </c>
      <c r="AD10" s="4" t="str">
        <f>IF(OR(M10="",Results!M17=""),"",IF(M10=Results!M17,1+IF(OR($O10=12,$P10=12,$Q10=12),1,0),0))</f>
        <v/>
      </c>
      <c r="AE10" s="4" t="str">
        <f>IF(OR(N10="",Results!N17=""),"",IF(N10=Results!N17,1+IF(OR($O10=13,$P10=13,$Q10=13),1,0),0))</f>
        <v/>
      </c>
      <c r="AF10" s="11">
        <f t="shared" si="0"/>
        <v>0</v>
      </c>
      <c r="AG10" s="4" t="str">
        <f>IF(OR($R10="",Results!O17=""),"",ABS($R10-Results!O17))</f>
        <v/>
      </c>
      <c r="AH10" s="12">
        <v>3</v>
      </c>
      <c r="AI10" s="13" t="str">
        <f>IF(OR(B10="",Results!B17=""),"",IF(AND(B10=Results!B17,Results!B17&lt;&gt;Games!$C$161),1,0))</f>
        <v/>
      </c>
      <c r="AJ10" s="13" t="str">
        <f>IF(OR(C10="",Results!C17=""),"",IF(AND(C10=Results!C17,Results!C17&lt;&gt;Games!$C$162),1,0))</f>
        <v/>
      </c>
      <c r="AK10" s="13" t="str">
        <f>IF(OR(D10="",Results!D17=""),"",IF(AND(D10=Results!D17,Results!D17&lt;&gt;Games!$C$163),1,0))</f>
        <v/>
      </c>
      <c r="AL10" s="13" t="str">
        <f>IF(OR(E10="",Results!E17=""),"",IF(AND(E10=Results!E17,Results!E17&lt;&gt;Games!$C$164),1,0))</f>
        <v/>
      </c>
      <c r="AM10" s="13" t="str">
        <f>IF(OR(F10="",Results!F17=""),"",IF(AND(F10=Results!F17,Results!F17&lt;&gt;Games!$C$165),1,0))</f>
        <v/>
      </c>
      <c r="AN10" s="13" t="str">
        <f>IF(OR(G10="",Results!G17=""),"",IF(AND(G10=Results!G17,Results!G17&lt;&gt;Games!$C$166),1,0))</f>
        <v/>
      </c>
      <c r="AO10" s="13" t="str">
        <f>IF(OR(H10="",Results!H17=""),"",IF(AND(H10=Results!H17,Results!H17&lt;&gt;Games!$C$167),1,0))</f>
        <v/>
      </c>
      <c r="AP10" s="13" t="str">
        <f>IF(OR(I10="",Results!I17=""),"",IF(AND(I10=Results!I17,Results!I17&lt;&gt;Games!$C$168),1,0))</f>
        <v/>
      </c>
      <c r="AQ10" s="13" t="str">
        <f>IF(OR(J10="",Results!J17=""),"",IF(AND(J10=Results!J17,Results!J17&lt;&gt;Games!$C$169),1,0))</f>
        <v/>
      </c>
      <c r="AR10" s="13" t="str">
        <f>IF(OR(K10="",Results!K17=""),"",IF(AND(K10=Results!K17,Results!K17&lt;&gt;Games!$C$170),1,0))</f>
        <v/>
      </c>
      <c r="AS10" s="13" t="str">
        <f>IF(OR(L10="",Results!L17=""),"",IF(AND(L10=Results!L17,Results!L17&lt;&gt;Games!$C$171),1,0))</f>
        <v/>
      </c>
      <c r="AT10" s="13" t="str">
        <f>IF(OR(M10="",Results!M17=""),"",IF(AND(M10=Results!M17,Results!M17&lt;&gt;Games!$C$172),1,0))</f>
        <v/>
      </c>
      <c r="AU10" s="13" t="str">
        <f>IF(OR(N10="",Results!N17=""),"",IF(AND(N10=Results!N17,Results!N17&lt;&gt;Games!$C$173),1,0))</f>
        <v/>
      </c>
      <c r="AV10" s="14">
        <f t="shared" si="1"/>
        <v>0</v>
      </c>
    </row>
    <row r="11" spans="1:48" ht="15" customHeight="1" x14ac:dyDescent="0.25">
      <c r="A11" s="4" t="str">
        <f>INDEX(Players!$D$6:$D$69,MATCH(58,Players!$A$6:$A$69,0))</f>
        <v>Chris P.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4" t="str">
        <f>IF(OR(B11="",Results!B17=""),"",IF(B11=Results!B17,1+IF(OR($O11=1,$P11=1,$Q11=1),1,0),0))</f>
        <v/>
      </c>
      <c r="T11" s="4" t="str">
        <f>IF(OR(C11="",Results!C17=""),"",IF(C11=Results!C17,1+IF(OR($O11=2,$P11=2,$Q11=2),1,0),0))</f>
        <v/>
      </c>
      <c r="U11" s="4" t="str">
        <f>IF(OR(D11="",Results!D17=""),"",IF(D11=Results!D17,1+IF(OR($O11=3,$P11=3,$Q11=3),1,0),0))</f>
        <v/>
      </c>
      <c r="V11" s="4" t="str">
        <f>IF(OR(E11="",Results!E17=""),"",IF(E11=Results!E17,1+IF(OR($O11=4,$P11=4,$Q11=4),1,0),0))</f>
        <v/>
      </c>
      <c r="W11" s="4" t="str">
        <f>IF(OR(F11="",Results!F17=""),"",IF(F11=Results!F17,1+IF(OR($O11=5,$P11=5,$Q11=5),1,0),0))</f>
        <v/>
      </c>
      <c r="X11" s="4" t="str">
        <f>IF(OR(G11="",Results!G17=""),"",IF(G11=Results!G17,1+IF(OR($O11=6,$P11=6,$Q11=6),1,0),0))</f>
        <v/>
      </c>
      <c r="Y11" s="4" t="str">
        <f>IF(OR(H11="",Results!H17=""),"",IF(H11=Results!H17,1+IF(OR($O11=7,$P11=7,$Q11=7),1,0),0))</f>
        <v/>
      </c>
      <c r="Z11" s="4" t="str">
        <f>IF(OR(I11="",Results!I17=""),"",IF(I11=Results!I17,1+IF(OR($O11=8,$P11=8,$Q11=8),1,0),0))</f>
        <v/>
      </c>
      <c r="AA11" s="4" t="str">
        <f>IF(OR(J11="",Results!J17=""),"",IF(J11=Results!J17,1+IF(OR($O11=9,$P11=9,$Q11=9),1,0),0))</f>
        <v/>
      </c>
      <c r="AB11" s="4" t="str">
        <f>IF(OR(K11="",Results!K17=""),"",IF(K11=Results!K17,1+IF(OR($O11=10,$P11=10,$Q11=10),1,0),0))</f>
        <v/>
      </c>
      <c r="AC11" s="4" t="str">
        <f>IF(OR(L11="",Results!L17=""),"",IF(L11=Results!L17,1+IF(OR($O11=11,$P11=11,$Q11=11),1,0),0))</f>
        <v/>
      </c>
      <c r="AD11" s="4" t="str">
        <f>IF(OR(M11="",Results!M17=""),"",IF(M11=Results!M17,1+IF(OR($O11=12,$P11=12,$Q11=12),1,0),0))</f>
        <v/>
      </c>
      <c r="AE11" s="4" t="str">
        <f>IF(OR(N11="",Results!N17=""),"",IF(N11=Results!N17,1+IF(OR($O11=13,$P11=13,$Q11=13),1,0),0))</f>
        <v/>
      </c>
      <c r="AF11" s="11">
        <f t="shared" si="0"/>
        <v>0</v>
      </c>
      <c r="AG11" s="4" t="str">
        <f>IF(OR($R11="",Results!O17=""),"",ABS($R11-Results!O17))</f>
        <v/>
      </c>
      <c r="AH11" s="12">
        <v>58</v>
      </c>
      <c r="AI11" s="13" t="str">
        <f>IF(OR(B11="",Results!B17=""),"",IF(AND(B11=Results!B17,Results!B17&lt;&gt;Games!$C$161),1,0))</f>
        <v/>
      </c>
      <c r="AJ11" s="13" t="str">
        <f>IF(OR(C11="",Results!C17=""),"",IF(AND(C11=Results!C17,Results!C17&lt;&gt;Games!$C$162),1,0))</f>
        <v/>
      </c>
      <c r="AK11" s="13" t="str">
        <f>IF(OR(D11="",Results!D17=""),"",IF(AND(D11=Results!D17,Results!D17&lt;&gt;Games!$C$163),1,0))</f>
        <v/>
      </c>
      <c r="AL11" s="13" t="str">
        <f>IF(OR(E11="",Results!E17=""),"",IF(AND(E11=Results!E17,Results!E17&lt;&gt;Games!$C$164),1,0))</f>
        <v/>
      </c>
      <c r="AM11" s="13" t="str">
        <f>IF(OR(F11="",Results!F17=""),"",IF(AND(F11=Results!F17,Results!F17&lt;&gt;Games!$C$165),1,0))</f>
        <v/>
      </c>
      <c r="AN11" s="13" t="str">
        <f>IF(OR(G11="",Results!G17=""),"",IF(AND(G11=Results!G17,Results!G17&lt;&gt;Games!$C$166),1,0))</f>
        <v/>
      </c>
      <c r="AO11" s="13" t="str">
        <f>IF(OR(H11="",Results!H17=""),"",IF(AND(H11=Results!H17,Results!H17&lt;&gt;Games!$C$167),1,0))</f>
        <v/>
      </c>
      <c r="AP11" s="13" t="str">
        <f>IF(OR(I11="",Results!I17=""),"",IF(AND(I11=Results!I17,Results!I17&lt;&gt;Games!$C$168),1,0))</f>
        <v/>
      </c>
      <c r="AQ11" s="13" t="str">
        <f>IF(OR(J11="",Results!J17=""),"",IF(AND(J11=Results!J17,Results!J17&lt;&gt;Games!$C$169),1,0))</f>
        <v/>
      </c>
      <c r="AR11" s="13" t="str">
        <f>IF(OR(K11="",Results!K17=""),"",IF(AND(K11=Results!K17,Results!K17&lt;&gt;Games!$C$170),1,0))</f>
        <v/>
      </c>
      <c r="AS11" s="13" t="str">
        <f>IF(OR(L11="",Results!L17=""),"",IF(AND(L11=Results!L17,Results!L17&lt;&gt;Games!$C$171),1,0))</f>
        <v/>
      </c>
      <c r="AT11" s="13" t="str">
        <f>IF(OR(M11="",Results!M17=""),"",IF(AND(M11=Results!M17,Results!M17&lt;&gt;Games!$C$172),1,0))</f>
        <v/>
      </c>
      <c r="AU11" s="13" t="str">
        <f>IF(OR(N11="",Results!N17=""),"",IF(AND(N11=Results!N17,Results!N17&lt;&gt;Games!$C$173),1,0))</f>
        <v/>
      </c>
      <c r="AV11" s="14">
        <f t="shared" si="1"/>
        <v>0</v>
      </c>
    </row>
    <row r="12" spans="1:48" ht="15" customHeight="1" x14ac:dyDescent="0.25">
      <c r="A12" s="4" t="str">
        <f>INDEX(Players!$D$6:$D$69,MATCH(4,Players!$A$6:$A$69,0))</f>
        <v>Corey H.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4" t="str">
        <f>IF(OR(B12="",Results!B17=""),"",IF(B12=Results!B17,1+IF(OR($O12=1,$P12=1,$Q12=1),1,0),0))</f>
        <v/>
      </c>
      <c r="T12" s="4" t="str">
        <f>IF(OR(C12="",Results!C17=""),"",IF(C12=Results!C17,1+IF(OR($O12=2,$P12=2,$Q12=2),1,0),0))</f>
        <v/>
      </c>
      <c r="U12" s="4" t="str">
        <f>IF(OR(D12="",Results!D17=""),"",IF(D12=Results!D17,1+IF(OR($O12=3,$P12=3,$Q12=3),1,0),0))</f>
        <v/>
      </c>
      <c r="V12" s="4" t="str">
        <f>IF(OR(E12="",Results!E17=""),"",IF(E12=Results!E17,1+IF(OR($O12=4,$P12=4,$Q12=4),1,0),0))</f>
        <v/>
      </c>
      <c r="W12" s="4" t="str">
        <f>IF(OR(F12="",Results!F17=""),"",IF(F12=Results!F17,1+IF(OR($O12=5,$P12=5,$Q12=5),1,0),0))</f>
        <v/>
      </c>
      <c r="X12" s="4" t="str">
        <f>IF(OR(G12="",Results!G17=""),"",IF(G12=Results!G17,1+IF(OR($O12=6,$P12=6,$Q12=6),1,0),0))</f>
        <v/>
      </c>
      <c r="Y12" s="4" t="str">
        <f>IF(OR(H12="",Results!H17=""),"",IF(H12=Results!H17,1+IF(OR($O12=7,$P12=7,$Q12=7),1,0),0))</f>
        <v/>
      </c>
      <c r="Z12" s="4" t="str">
        <f>IF(OR(I12="",Results!I17=""),"",IF(I12=Results!I17,1+IF(OR($O12=8,$P12=8,$Q12=8),1,0),0))</f>
        <v/>
      </c>
      <c r="AA12" s="4" t="str">
        <f>IF(OR(J12="",Results!J17=""),"",IF(J12=Results!J17,1+IF(OR($O12=9,$P12=9,$Q12=9),1,0),0))</f>
        <v/>
      </c>
      <c r="AB12" s="4" t="str">
        <f>IF(OR(K12="",Results!K17=""),"",IF(K12=Results!K17,1+IF(OR($O12=10,$P12=10,$Q12=10),1,0),0))</f>
        <v/>
      </c>
      <c r="AC12" s="4" t="str">
        <f>IF(OR(L12="",Results!L17=""),"",IF(L12=Results!L17,1+IF(OR($O12=11,$P12=11,$Q12=11),1,0),0))</f>
        <v/>
      </c>
      <c r="AD12" s="4" t="str">
        <f>IF(OR(M12="",Results!M17=""),"",IF(M12=Results!M17,1+IF(OR($O12=12,$P12=12,$Q12=12),1,0),0))</f>
        <v/>
      </c>
      <c r="AE12" s="4" t="str">
        <f>IF(OR(N12="",Results!N17=""),"",IF(N12=Results!N17,1+IF(OR($O12=13,$P12=13,$Q12=13),1,0),0))</f>
        <v/>
      </c>
      <c r="AF12" s="11">
        <f t="shared" si="0"/>
        <v>0</v>
      </c>
      <c r="AG12" s="4" t="str">
        <f>IF(OR($R12="",Results!O17=""),"",ABS($R12-Results!O17))</f>
        <v/>
      </c>
      <c r="AH12" s="12">
        <v>4</v>
      </c>
      <c r="AI12" s="13" t="str">
        <f>IF(OR(B12="",Results!B17=""),"",IF(AND(B12=Results!B17,Results!B17&lt;&gt;Games!$C$161),1,0))</f>
        <v/>
      </c>
      <c r="AJ12" s="13" t="str">
        <f>IF(OR(C12="",Results!C17=""),"",IF(AND(C12=Results!C17,Results!C17&lt;&gt;Games!$C$162),1,0))</f>
        <v/>
      </c>
      <c r="AK12" s="13" t="str">
        <f>IF(OR(D12="",Results!D17=""),"",IF(AND(D12=Results!D17,Results!D17&lt;&gt;Games!$C$163),1,0))</f>
        <v/>
      </c>
      <c r="AL12" s="13" t="str">
        <f>IF(OR(E12="",Results!E17=""),"",IF(AND(E12=Results!E17,Results!E17&lt;&gt;Games!$C$164),1,0))</f>
        <v/>
      </c>
      <c r="AM12" s="13" t="str">
        <f>IF(OR(F12="",Results!F17=""),"",IF(AND(F12=Results!F17,Results!F17&lt;&gt;Games!$C$165),1,0))</f>
        <v/>
      </c>
      <c r="AN12" s="13" t="str">
        <f>IF(OR(G12="",Results!G17=""),"",IF(AND(G12=Results!G17,Results!G17&lt;&gt;Games!$C$166),1,0))</f>
        <v/>
      </c>
      <c r="AO12" s="13" t="str">
        <f>IF(OR(H12="",Results!H17=""),"",IF(AND(H12=Results!H17,Results!H17&lt;&gt;Games!$C$167),1,0))</f>
        <v/>
      </c>
      <c r="AP12" s="13" t="str">
        <f>IF(OR(I12="",Results!I17=""),"",IF(AND(I12=Results!I17,Results!I17&lt;&gt;Games!$C$168),1,0))</f>
        <v/>
      </c>
      <c r="AQ12" s="13" t="str">
        <f>IF(OR(J12="",Results!J17=""),"",IF(AND(J12=Results!J17,Results!J17&lt;&gt;Games!$C$169),1,0))</f>
        <v/>
      </c>
      <c r="AR12" s="13" t="str">
        <f>IF(OR(K12="",Results!K17=""),"",IF(AND(K12=Results!K17,Results!K17&lt;&gt;Games!$C$170),1,0))</f>
        <v/>
      </c>
      <c r="AS12" s="13" t="str">
        <f>IF(OR(L12="",Results!L17=""),"",IF(AND(L12=Results!L17,Results!L17&lt;&gt;Games!$C$171),1,0))</f>
        <v/>
      </c>
      <c r="AT12" s="13" t="str">
        <f>IF(OR(M12="",Results!M17=""),"",IF(AND(M12=Results!M17,Results!M17&lt;&gt;Games!$C$172),1,0))</f>
        <v/>
      </c>
      <c r="AU12" s="13" t="str">
        <f>IF(OR(N12="",Results!N17=""),"",IF(AND(N12=Results!N17,Results!N17&lt;&gt;Games!$C$173),1,0))</f>
        <v/>
      </c>
      <c r="AV12" s="14">
        <f t="shared" si="1"/>
        <v>0</v>
      </c>
    </row>
    <row r="13" spans="1:48" ht="15" customHeight="1" x14ac:dyDescent="0.25">
      <c r="A13" s="4" t="str">
        <f>INDEX(Players!$D$6:$D$69,MATCH(57,Players!$A$6:$A$69,0))</f>
        <v>Cori P.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4" t="str">
        <f>IF(OR(B13="",Results!B17=""),"",IF(B13=Results!B17,1+IF(OR($O13=1,$P13=1,$Q13=1),1,0),0))</f>
        <v/>
      </c>
      <c r="T13" s="4" t="str">
        <f>IF(OR(C13="",Results!C17=""),"",IF(C13=Results!C17,1+IF(OR($O13=2,$P13=2,$Q13=2),1,0),0))</f>
        <v/>
      </c>
      <c r="U13" s="4" t="str">
        <f>IF(OR(D13="",Results!D17=""),"",IF(D13=Results!D17,1+IF(OR($O13=3,$P13=3,$Q13=3),1,0),0))</f>
        <v/>
      </c>
      <c r="V13" s="4" t="str">
        <f>IF(OR(E13="",Results!E17=""),"",IF(E13=Results!E17,1+IF(OR($O13=4,$P13=4,$Q13=4),1,0),0))</f>
        <v/>
      </c>
      <c r="W13" s="4" t="str">
        <f>IF(OR(F13="",Results!F17=""),"",IF(F13=Results!F17,1+IF(OR($O13=5,$P13=5,$Q13=5),1,0),0))</f>
        <v/>
      </c>
      <c r="X13" s="4" t="str">
        <f>IF(OR(G13="",Results!G17=""),"",IF(G13=Results!G17,1+IF(OR($O13=6,$P13=6,$Q13=6),1,0),0))</f>
        <v/>
      </c>
      <c r="Y13" s="4" t="str">
        <f>IF(OR(H13="",Results!H17=""),"",IF(H13=Results!H17,1+IF(OR($O13=7,$P13=7,$Q13=7),1,0),0))</f>
        <v/>
      </c>
      <c r="Z13" s="4" t="str">
        <f>IF(OR(I13="",Results!I17=""),"",IF(I13=Results!I17,1+IF(OR($O13=8,$P13=8,$Q13=8),1,0),0))</f>
        <v/>
      </c>
      <c r="AA13" s="4" t="str">
        <f>IF(OR(J13="",Results!J17=""),"",IF(J13=Results!J17,1+IF(OR($O13=9,$P13=9,$Q13=9),1,0),0))</f>
        <v/>
      </c>
      <c r="AB13" s="4" t="str">
        <f>IF(OR(K13="",Results!K17=""),"",IF(K13=Results!K17,1+IF(OR($O13=10,$P13=10,$Q13=10),1,0),0))</f>
        <v/>
      </c>
      <c r="AC13" s="4" t="str">
        <f>IF(OR(L13="",Results!L17=""),"",IF(L13=Results!L17,1+IF(OR($O13=11,$P13=11,$Q13=11),1,0),0))</f>
        <v/>
      </c>
      <c r="AD13" s="4" t="str">
        <f>IF(OR(M13="",Results!M17=""),"",IF(M13=Results!M17,1+IF(OR($O13=12,$P13=12,$Q13=12),1,0),0))</f>
        <v/>
      </c>
      <c r="AE13" s="4" t="str">
        <f>IF(OR(N13="",Results!N17=""),"",IF(N13=Results!N17,1+IF(OR($O13=13,$P13=13,$Q13=13),1,0),0))</f>
        <v/>
      </c>
      <c r="AF13" s="11">
        <f t="shared" si="0"/>
        <v>0</v>
      </c>
      <c r="AG13" s="4" t="str">
        <f>IF(OR($R13="",Results!O17=""),"",ABS($R13-Results!O17))</f>
        <v/>
      </c>
      <c r="AH13" s="12">
        <v>57</v>
      </c>
      <c r="AI13" s="13" t="str">
        <f>IF(OR(B13="",Results!B17=""),"",IF(AND(B13=Results!B17,Results!B17&lt;&gt;Games!$C$161),1,0))</f>
        <v/>
      </c>
      <c r="AJ13" s="13" t="str">
        <f>IF(OR(C13="",Results!C17=""),"",IF(AND(C13=Results!C17,Results!C17&lt;&gt;Games!$C$162),1,0))</f>
        <v/>
      </c>
      <c r="AK13" s="13" t="str">
        <f>IF(OR(D13="",Results!D17=""),"",IF(AND(D13=Results!D17,Results!D17&lt;&gt;Games!$C$163),1,0))</f>
        <v/>
      </c>
      <c r="AL13" s="13" t="str">
        <f>IF(OR(E13="",Results!E17=""),"",IF(AND(E13=Results!E17,Results!E17&lt;&gt;Games!$C$164),1,0))</f>
        <v/>
      </c>
      <c r="AM13" s="13" t="str">
        <f>IF(OR(F13="",Results!F17=""),"",IF(AND(F13=Results!F17,Results!F17&lt;&gt;Games!$C$165),1,0))</f>
        <v/>
      </c>
      <c r="AN13" s="13" t="str">
        <f>IF(OR(G13="",Results!G17=""),"",IF(AND(G13=Results!G17,Results!G17&lt;&gt;Games!$C$166),1,0))</f>
        <v/>
      </c>
      <c r="AO13" s="13" t="str">
        <f>IF(OR(H13="",Results!H17=""),"",IF(AND(H13=Results!H17,Results!H17&lt;&gt;Games!$C$167),1,0))</f>
        <v/>
      </c>
      <c r="AP13" s="13" t="str">
        <f>IF(OR(I13="",Results!I17=""),"",IF(AND(I13=Results!I17,Results!I17&lt;&gt;Games!$C$168),1,0))</f>
        <v/>
      </c>
      <c r="AQ13" s="13" t="str">
        <f>IF(OR(J13="",Results!J17=""),"",IF(AND(J13=Results!J17,Results!J17&lt;&gt;Games!$C$169),1,0))</f>
        <v/>
      </c>
      <c r="AR13" s="13" t="str">
        <f>IF(OR(K13="",Results!K17=""),"",IF(AND(K13=Results!K17,Results!K17&lt;&gt;Games!$C$170),1,0))</f>
        <v/>
      </c>
      <c r="AS13" s="13" t="str">
        <f>IF(OR(L13="",Results!L17=""),"",IF(AND(L13=Results!L17,Results!L17&lt;&gt;Games!$C$171),1,0))</f>
        <v/>
      </c>
      <c r="AT13" s="13" t="str">
        <f>IF(OR(M13="",Results!M17=""),"",IF(AND(M13=Results!M17,Results!M17&lt;&gt;Games!$C$172),1,0))</f>
        <v/>
      </c>
      <c r="AU13" s="13" t="str">
        <f>IF(OR(N13="",Results!N17=""),"",IF(AND(N13=Results!N17,Results!N17&lt;&gt;Games!$C$173),1,0))</f>
        <v/>
      </c>
      <c r="AV13" s="14">
        <f t="shared" si="1"/>
        <v>0</v>
      </c>
    </row>
    <row r="14" spans="1:48" ht="15" customHeight="1" x14ac:dyDescent="0.25">
      <c r="A14" s="4" t="str">
        <f>INDEX(Players!$D$6:$D$69,MATCH(6,Players!$A$6:$A$69,0))</f>
        <v>Dan B.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4" t="str">
        <f>IF(OR(B14="",Results!B17=""),"",IF(B14=Results!B17,1+IF(OR($O14=1,$P14=1,$Q14=1),1,0),0))</f>
        <v/>
      </c>
      <c r="T14" s="4" t="str">
        <f>IF(OR(C14="",Results!C17=""),"",IF(C14=Results!C17,1+IF(OR($O14=2,$P14=2,$Q14=2),1,0),0))</f>
        <v/>
      </c>
      <c r="U14" s="4" t="str">
        <f>IF(OR(D14="",Results!D17=""),"",IF(D14=Results!D17,1+IF(OR($O14=3,$P14=3,$Q14=3),1,0),0))</f>
        <v/>
      </c>
      <c r="V14" s="4" t="str">
        <f>IF(OR(E14="",Results!E17=""),"",IF(E14=Results!E17,1+IF(OR($O14=4,$P14=4,$Q14=4),1,0),0))</f>
        <v/>
      </c>
      <c r="W14" s="4" t="str">
        <f>IF(OR(F14="",Results!F17=""),"",IF(F14=Results!F17,1+IF(OR($O14=5,$P14=5,$Q14=5),1,0),0))</f>
        <v/>
      </c>
      <c r="X14" s="4" t="str">
        <f>IF(OR(G14="",Results!G17=""),"",IF(G14=Results!G17,1+IF(OR($O14=6,$P14=6,$Q14=6),1,0),0))</f>
        <v/>
      </c>
      <c r="Y14" s="4" t="str">
        <f>IF(OR(H14="",Results!H17=""),"",IF(H14=Results!H17,1+IF(OR($O14=7,$P14=7,$Q14=7),1,0),0))</f>
        <v/>
      </c>
      <c r="Z14" s="4" t="str">
        <f>IF(OR(I14="",Results!I17=""),"",IF(I14=Results!I17,1+IF(OR($O14=8,$P14=8,$Q14=8),1,0),0))</f>
        <v/>
      </c>
      <c r="AA14" s="4" t="str">
        <f>IF(OR(J14="",Results!J17=""),"",IF(J14=Results!J17,1+IF(OR($O14=9,$P14=9,$Q14=9),1,0),0))</f>
        <v/>
      </c>
      <c r="AB14" s="4" t="str">
        <f>IF(OR(K14="",Results!K17=""),"",IF(K14=Results!K17,1+IF(OR($O14=10,$P14=10,$Q14=10),1,0),0))</f>
        <v/>
      </c>
      <c r="AC14" s="4" t="str">
        <f>IF(OR(L14="",Results!L17=""),"",IF(L14=Results!L17,1+IF(OR($O14=11,$P14=11,$Q14=11),1,0),0))</f>
        <v/>
      </c>
      <c r="AD14" s="4" t="str">
        <f>IF(OR(M14="",Results!M17=""),"",IF(M14=Results!M17,1+IF(OR($O14=12,$P14=12,$Q14=12),1,0),0))</f>
        <v/>
      </c>
      <c r="AE14" s="4" t="str">
        <f>IF(OR(N14="",Results!N17=""),"",IF(N14=Results!N17,1+IF(OR($O14=13,$P14=13,$Q14=13),1,0),0))</f>
        <v/>
      </c>
      <c r="AF14" s="11">
        <f t="shared" si="0"/>
        <v>0</v>
      </c>
      <c r="AG14" s="4" t="str">
        <f>IF(OR($R14="",Results!O17=""),"",ABS($R14-Results!O17))</f>
        <v/>
      </c>
      <c r="AH14" s="12">
        <v>6</v>
      </c>
      <c r="AI14" s="13" t="str">
        <f>IF(OR(B14="",Results!B17=""),"",IF(AND(B14=Results!B17,Results!B17&lt;&gt;Games!$C$161),1,0))</f>
        <v/>
      </c>
      <c r="AJ14" s="13" t="str">
        <f>IF(OR(C14="",Results!C17=""),"",IF(AND(C14=Results!C17,Results!C17&lt;&gt;Games!$C$162),1,0))</f>
        <v/>
      </c>
      <c r="AK14" s="13" t="str">
        <f>IF(OR(D14="",Results!D17=""),"",IF(AND(D14=Results!D17,Results!D17&lt;&gt;Games!$C$163),1,0))</f>
        <v/>
      </c>
      <c r="AL14" s="13" t="str">
        <f>IF(OR(E14="",Results!E17=""),"",IF(AND(E14=Results!E17,Results!E17&lt;&gt;Games!$C$164),1,0))</f>
        <v/>
      </c>
      <c r="AM14" s="13" t="str">
        <f>IF(OR(F14="",Results!F17=""),"",IF(AND(F14=Results!F17,Results!F17&lt;&gt;Games!$C$165),1,0))</f>
        <v/>
      </c>
      <c r="AN14" s="13" t="str">
        <f>IF(OR(G14="",Results!G17=""),"",IF(AND(G14=Results!G17,Results!G17&lt;&gt;Games!$C$166),1,0))</f>
        <v/>
      </c>
      <c r="AO14" s="13" t="str">
        <f>IF(OR(H14="",Results!H17=""),"",IF(AND(H14=Results!H17,Results!H17&lt;&gt;Games!$C$167),1,0))</f>
        <v/>
      </c>
      <c r="AP14" s="13" t="str">
        <f>IF(OR(I14="",Results!I17=""),"",IF(AND(I14=Results!I17,Results!I17&lt;&gt;Games!$C$168),1,0))</f>
        <v/>
      </c>
      <c r="AQ14" s="13" t="str">
        <f>IF(OR(J14="",Results!J17=""),"",IF(AND(J14=Results!J17,Results!J17&lt;&gt;Games!$C$169),1,0))</f>
        <v/>
      </c>
      <c r="AR14" s="13" t="str">
        <f>IF(OR(K14="",Results!K17=""),"",IF(AND(K14=Results!K17,Results!K17&lt;&gt;Games!$C$170),1,0))</f>
        <v/>
      </c>
      <c r="AS14" s="13" t="str">
        <f>IF(OR(L14="",Results!L17=""),"",IF(AND(L14=Results!L17,Results!L17&lt;&gt;Games!$C$171),1,0))</f>
        <v/>
      </c>
      <c r="AT14" s="13" t="str">
        <f>IF(OR(M14="",Results!M17=""),"",IF(AND(M14=Results!M17,Results!M17&lt;&gt;Games!$C$172),1,0))</f>
        <v/>
      </c>
      <c r="AU14" s="13" t="str">
        <f>IF(OR(N14="",Results!N17=""),"",IF(AND(N14=Results!N17,Results!N17&lt;&gt;Games!$C$173),1,0))</f>
        <v/>
      </c>
      <c r="AV14" s="14">
        <f t="shared" si="1"/>
        <v>0</v>
      </c>
    </row>
    <row r="15" spans="1:48" ht="15" customHeight="1" x14ac:dyDescent="0.25">
      <c r="A15" s="4" t="str">
        <f>INDEX(Players!$D$6:$D$69,MATCH(5,Players!$A$6:$A$69,0))</f>
        <v>Dan L.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4" t="str">
        <f>IF(OR(B15="",Results!B17=""),"",IF(B15=Results!B17,1+IF(OR($O15=1,$P15=1,$Q15=1),1,0),0))</f>
        <v/>
      </c>
      <c r="T15" s="4" t="str">
        <f>IF(OR(C15="",Results!C17=""),"",IF(C15=Results!C17,1+IF(OR($O15=2,$P15=2,$Q15=2),1,0),0))</f>
        <v/>
      </c>
      <c r="U15" s="4" t="str">
        <f>IF(OR(D15="",Results!D17=""),"",IF(D15=Results!D17,1+IF(OR($O15=3,$P15=3,$Q15=3),1,0),0))</f>
        <v/>
      </c>
      <c r="V15" s="4" t="str">
        <f>IF(OR(E15="",Results!E17=""),"",IF(E15=Results!E17,1+IF(OR($O15=4,$P15=4,$Q15=4),1,0),0))</f>
        <v/>
      </c>
      <c r="W15" s="4" t="str">
        <f>IF(OR(F15="",Results!F17=""),"",IF(F15=Results!F17,1+IF(OR($O15=5,$P15=5,$Q15=5),1,0),0))</f>
        <v/>
      </c>
      <c r="X15" s="4" t="str">
        <f>IF(OR(G15="",Results!G17=""),"",IF(G15=Results!G17,1+IF(OR($O15=6,$P15=6,$Q15=6),1,0),0))</f>
        <v/>
      </c>
      <c r="Y15" s="4" t="str">
        <f>IF(OR(H15="",Results!H17=""),"",IF(H15=Results!H17,1+IF(OR($O15=7,$P15=7,$Q15=7),1,0),0))</f>
        <v/>
      </c>
      <c r="Z15" s="4" t="str">
        <f>IF(OR(I15="",Results!I17=""),"",IF(I15=Results!I17,1+IF(OR($O15=8,$P15=8,$Q15=8),1,0),0))</f>
        <v/>
      </c>
      <c r="AA15" s="4" t="str">
        <f>IF(OR(J15="",Results!J17=""),"",IF(J15=Results!J17,1+IF(OR($O15=9,$P15=9,$Q15=9),1,0),0))</f>
        <v/>
      </c>
      <c r="AB15" s="4" t="str">
        <f>IF(OR(K15="",Results!K17=""),"",IF(K15=Results!K17,1+IF(OR($O15=10,$P15=10,$Q15=10),1,0),0))</f>
        <v/>
      </c>
      <c r="AC15" s="4" t="str">
        <f>IF(OR(L15="",Results!L17=""),"",IF(L15=Results!L17,1+IF(OR($O15=11,$P15=11,$Q15=11),1,0),0))</f>
        <v/>
      </c>
      <c r="AD15" s="4" t="str">
        <f>IF(OR(M15="",Results!M17=""),"",IF(M15=Results!M17,1+IF(OR($O15=12,$P15=12,$Q15=12),1,0),0))</f>
        <v/>
      </c>
      <c r="AE15" s="4" t="str">
        <f>IF(OR(N15="",Results!N17=""),"",IF(N15=Results!N17,1+IF(OR($O15=13,$P15=13,$Q15=13),1,0),0))</f>
        <v/>
      </c>
      <c r="AF15" s="11">
        <f t="shared" si="0"/>
        <v>0</v>
      </c>
      <c r="AG15" s="4" t="str">
        <f>IF(OR($R15="",Results!O17=""),"",ABS($R15-Results!O17))</f>
        <v/>
      </c>
      <c r="AH15" s="12">
        <v>5</v>
      </c>
      <c r="AI15" s="13" t="str">
        <f>IF(OR(B15="",Results!B17=""),"",IF(AND(B15=Results!B17,Results!B17&lt;&gt;Games!$C$161),1,0))</f>
        <v/>
      </c>
      <c r="AJ15" s="13" t="str">
        <f>IF(OR(C15="",Results!C17=""),"",IF(AND(C15=Results!C17,Results!C17&lt;&gt;Games!$C$162),1,0))</f>
        <v/>
      </c>
      <c r="AK15" s="13" t="str">
        <f>IF(OR(D15="",Results!D17=""),"",IF(AND(D15=Results!D17,Results!D17&lt;&gt;Games!$C$163),1,0))</f>
        <v/>
      </c>
      <c r="AL15" s="13" t="str">
        <f>IF(OR(E15="",Results!E17=""),"",IF(AND(E15=Results!E17,Results!E17&lt;&gt;Games!$C$164),1,0))</f>
        <v/>
      </c>
      <c r="AM15" s="13" t="str">
        <f>IF(OR(F15="",Results!F17=""),"",IF(AND(F15=Results!F17,Results!F17&lt;&gt;Games!$C$165),1,0))</f>
        <v/>
      </c>
      <c r="AN15" s="13" t="str">
        <f>IF(OR(G15="",Results!G17=""),"",IF(AND(G15=Results!G17,Results!G17&lt;&gt;Games!$C$166),1,0))</f>
        <v/>
      </c>
      <c r="AO15" s="13" t="str">
        <f>IF(OR(H15="",Results!H17=""),"",IF(AND(H15=Results!H17,Results!H17&lt;&gt;Games!$C$167),1,0))</f>
        <v/>
      </c>
      <c r="AP15" s="13" t="str">
        <f>IF(OR(I15="",Results!I17=""),"",IF(AND(I15=Results!I17,Results!I17&lt;&gt;Games!$C$168),1,0))</f>
        <v/>
      </c>
      <c r="AQ15" s="13" t="str">
        <f>IF(OR(J15="",Results!J17=""),"",IF(AND(J15=Results!J17,Results!J17&lt;&gt;Games!$C$169),1,0))</f>
        <v/>
      </c>
      <c r="AR15" s="13" t="str">
        <f>IF(OR(K15="",Results!K17=""),"",IF(AND(K15=Results!K17,Results!K17&lt;&gt;Games!$C$170),1,0))</f>
        <v/>
      </c>
      <c r="AS15" s="13" t="str">
        <f>IF(OR(L15="",Results!L17=""),"",IF(AND(L15=Results!L17,Results!L17&lt;&gt;Games!$C$171),1,0))</f>
        <v/>
      </c>
      <c r="AT15" s="13" t="str">
        <f>IF(OR(M15="",Results!M17=""),"",IF(AND(M15=Results!M17,Results!M17&lt;&gt;Games!$C$172),1,0))</f>
        <v/>
      </c>
      <c r="AU15" s="13" t="str">
        <f>IF(OR(N15="",Results!N17=""),"",IF(AND(N15=Results!N17,Results!N17&lt;&gt;Games!$C$173),1,0))</f>
        <v/>
      </c>
      <c r="AV15" s="14">
        <f t="shared" si="1"/>
        <v>0</v>
      </c>
    </row>
    <row r="16" spans="1:48" ht="15" customHeight="1" x14ac:dyDescent="0.25">
      <c r="A16" s="4" t="str">
        <f>INDEX(Players!$D$6:$D$69,MATCH(8,Players!$A$6:$A$69,0))</f>
        <v>Dave H.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4" t="str">
        <f>IF(OR(B16="",Results!B17=""),"",IF(B16=Results!B17,1+IF(OR($O16=1,$P16=1,$Q16=1),1,0),0))</f>
        <v/>
      </c>
      <c r="T16" s="4" t="str">
        <f>IF(OR(C16="",Results!C17=""),"",IF(C16=Results!C17,1+IF(OR($O16=2,$P16=2,$Q16=2),1,0),0))</f>
        <v/>
      </c>
      <c r="U16" s="4" t="str">
        <f>IF(OR(D16="",Results!D17=""),"",IF(D16=Results!D17,1+IF(OR($O16=3,$P16=3,$Q16=3),1,0),0))</f>
        <v/>
      </c>
      <c r="V16" s="4" t="str">
        <f>IF(OR(E16="",Results!E17=""),"",IF(E16=Results!E17,1+IF(OR($O16=4,$P16=4,$Q16=4),1,0),0))</f>
        <v/>
      </c>
      <c r="W16" s="4" t="str">
        <f>IF(OR(F16="",Results!F17=""),"",IF(F16=Results!F17,1+IF(OR($O16=5,$P16=5,$Q16=5),1,0),0))</f>
        <v/>
      </c>
      <c r="X16" s="4" t="str">
        <f>IF(OR(G16="",Results!G17=""),"",IF(G16=Results!G17,1+IF(OR($O16=6,$P16=6,$Q16=6),1,0),0))</f>
        <v/>
      </c>
      <c r="Y16" s="4" t="str">
        <f>IF(OR(H16="",Results!H17=""),"",IF(H16=Results!H17,1+IF(OR($O16=7,$P16=7,$Q16=7),1,0),0))</f>
        <v/>
      </c>
      <c r="Z16" s="4" t="str">
        <f>IF(OR(I16="",Results!I17=""),"",IF(I16=Results!I17,1+IF(OR($O16=8,$P16=8,$Q16=8),1,0),0))</f>
        <v/>
      </c>
      <c r="AA16" s="4" t="str">
        <f>IF(OR(J16="",Results!J17=""),"",IF(J16=Results!J17,1+IF(OR($O16=9,$P16=9,$Q16=9),1,0),0))</f>
        <v/>
      </c>
      <c r="AB16" s="4" t="str">
        <f>IF(OR(K16="",Results!K17=""),"",IF(K16=Results!K17,1+IF(OR($O16=10,$P16=10,$Q16=10),1,0),0))</f>
        <v/>
      </c>
      <c r="AC16" s="4" t="str">
        <f>IF(OR(L16="",Results!L17=""),"",IF(L16=Results!L17,1+IF(OR($O16=11,$P16=11,$Q16=11),1,0),0))</f>
        <v/>
      </c>
      <c r="AD16" s="4" t="str">
        <f>IF(OR(M16="",Results!M17=""),"",IF(M16=Results!M17,1+IF(OR($O16=12,$P16=12,$Q16=12),1,0),0))</f>
        <v/>
      </c>
      <c r="AE16" s="4" t="str">
        <f>IF(OR(N16="",Results!N17=""),"",IF(N16=Results!N17,1+IF(OR($O16=13,$P16=13,$Q16=13),1,0),0))</f>
        <v/>
      </c>
      <c r="AF16" s="11">
        <f t="shared" si="0"/>
        <v>0</v>
      </c>
      <c r="AG16" s="4" t="str">
        <f>IF(OR($R16="",Results!O17=""),"",ABS($R16-Results!O17))</f>
        <v/>
      </c>
      <c r="AH16" s="12">
        <v>8</v>
      </c>
      <c r="AI16" s="13" t="str">
        <f>IF(OR(B16="",Results!B17=""),"",IF(AND(B16=Results!B17,Results!B17&lt;&gt;Games!$C$161),1,0))</f>
        <v/>
      </c>
      <c r="AJ16" s="13" t="str">
        <f>IF(OR(C16="",Results!C17=""),"",IF(AND(C16=Results!C17,Results!C17&lt;&gt;Games!$C$162),1,0))</f>
        <v/>
      </c>
      <c r="AK16" s="13" t="str">
        <f>IF(OR(D16="",Results!D17=""),"",IF(AND(D16=Results!D17,Results!D17&lt;&gt;Games!$C$163),1,0))</f>
        <v/>
      </c>
      <c r="AL16" s="13" t="str">
        <f>IF(OR(E16="",Results!E17=""),"",IF(AND(E16=Results!E17,Results!E17&lt;&gt;Games!$C$164),1,0))</f>
        <v/>
      </c>
      <c r="AM16" s="13" t="str">
        <f>IF(OR(F16="",Results!F17=""),"",IF(AND(F16=Results!F17,Results!F17&lt;&gt;Games!$C$165),1,0))</f>
        <v/>
      </c>
      <c r="AN16" s="13" t="str">
        <f>IF(OR(G16="",Results!G17=""),"",IF(AND(G16=Results!G17,Results!G17&lt;&gt;Games!$C$166),1,0))</f>
        <v/>
      </c>
      <c r="AO16" s="13" t="str">
        <f>IF(OR(H16="",Results!H17=""),"",IF(AND(H16=Results!H17,Results!H17&lt;&gt;Games!$C$167),1,0))</f>
        <v/>
      </c>
      <c r="AP16" s="13" t="str">
        <f>IF(OR(I16="",Results!I17=""),"",IF(AND(I16=Results!I17,Results!I17&lt;&gt;Games!$C$168),1,0))</f>
        <v/>
      </c>
      <c r="AQ16" s="13" t="str">
        <f>IF(OR(J16="",Results!J17=""),"",IF(AND(J16=Results!J17,Results!J17&lt;&gt;Games!$C$169),1,0))</f>
        <v/>
      </c>
      <c r="AR16" s="13" t="str">
        <f>IF(OR(K16="",Results!K17=""),"",IF(AND(K16=Results!K17,Results!K17&lt;&gt;Games!$C$170),1,0))</f>
        <v/>
      </c>
      <c r="AS16" s="13" t="str">
        <f>IF(OR(L16="",Results!L17=""),"",IF(AND(L16=Results!L17,Results!L17&lt;&gt;Games!$C$171),1,0))</f>
        <v/>
      </c>
      <c r="AT16" s="13" t="str">
        <f>IF(OR(M16="",Results!M17=""),"",IF(AND(M16=Results!M17,Results!M17&lt;&gt;Games!$C$172),1,0))</f>
        <v/>
      </c>
      <c r="AU16" s="13" t="str">
        <f>IF(OR(N16="",Results!N17=""),"",IF(AND(N16=Results!N17,Results!N17&lt;&gt;Games!$C$173),1,0))</f>
        <v/>
      </c>
      <c r="AV16" s="14">
        <f t="shared" si="1"/>
        <v>0</v>
      </c>
    </row>
    <row r="17" spans="1:48" ht="15" customHeight="1" x14ac:dyDescent="0.25">
      <c r="A17" s="4" t="str">
        <f>INDEX(Players!$D$6:$D$69,MATCH(7,Players!$A$6:$A$69,0))</f>
        <v>David Y.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4" t="str">
        <f>IF(OR(B17="",Results!B17=""),"",IF(B17=Results!B17,1+IF(OR($O17=1,$P17=1,$Q17=1),1,0),0))</f>
        <v/>
      </c>
      <c r="T17" s="4" t="str">
        <f>IF(OR(C17="",Results!C17=""),"",IF(C17=Results!C17,1+IF(OR($O17=2,$P17=2,$Q17=2),1,0),0))</f>
        <v/>
      </c>
      <c r="U17" s="4" t="str">
        <f>IF(OR(D17="",Results!D17=""),"",IF(D17=Results!D17,1+IF(OR($O17=3,$P17=3,$Q17=3),1,0),0))</f>
        <v/>
      </c>
      <c r="V17" s="4" t="str">
        <f>IF(OR(E17="",Results!E17=""),"",IF(E17=Results!E17,1+IF(OR($O17=4,$P17=4,$Q17=4),1,0),0))</f>
        <v/>
      </c>
      <c r="W17" s="4" t="str">
        <f>IF(OR(F17="",Results!F17=""),"",IF(F17=Results!F17,1+IF(OR($O17=5,$P17=5,$Q17=5),1,0),0))</f>
        <v/>
      </c>
      <c r="X17" s="4" t="str">
        <f>IF(OR(G17="",Results!G17=""),"",IF(G17=Results!G17,1+IF(OR($O17=6,$P17=6,$Q17=6),1,0),0))</f>
        <v/>
      </c>
      <c r="Y17" s="4" t="str">
        <f>IF(OR(H17="",Results!H17=""),"",IF(H17=Results!H17,1+IF(OR($O17=7,$P17=7,$Q17=7),1,0),0))</f>
        <v/>
      </c>
      <c r="Z17" s="4" t="str">
        <f>IF(OR(I17="",Results!I17=""),"",IF(I17=Results!I17,1+IF(OR($O17=8,$P17=8,$Q17=8),1,0),0))</f>
        <v/>
      </c>
      <c r="AA17" s="4" t="str">
        <f>IF(OR(J17="",Results!J17=""),"",IF(J17=Results!J17,1+IF(OR($O17=9,$P17=9,$Q17=9),1,0),0))</f>
        <v/>
      </c>
      <c r="AB17" s="4" t="str">
        <f>IF(OR(K17="",Results!K17=""),"",IF(K17=Results!K17,1+IF(OR($O17=10,$P17=10,$Q17=10),1,0),0))</f>
        <v/>
      </c>
      <c r="AC17" s="4" t="str">
        <f>IF(OR(L17="",Results!L17=""),"",IF(L17=Results!L17,1+IF(OR($O17=11,$P17=11,$Q17=11),1,0),0))</f>
        <v/>
      </c>
      <c r="AD17" s="4" t="str">
        <f>IF(OR(M17="",Results!M17=""),"",IF(M17=Results!M17,1+IF(OR($O17=12,$P17=12,$Q17=12),1,0),0))</f>
        <v/>
      </c>
      <c r="AE17" s="4" t="str">
        <f>IF(OR(N17="",Results!N17=""),"",IF(N17=Results!N17,1+IF(OR($O17=13,$P17=13,$Q17=13),1,0),0))</f>
        <v/>
      </c>
      <c r="AF17" s="11">
        <f t="shared" si="0"/>
        <v>0</v>
      </c>
      <c r="AG17" s="4" t="str">
        <f>IF(OR($R17="",Results!O17=""),"",ABS($R17-Results!O17))</f>
        <v/>
      </c>
      <c r="AH17" s="12">
        <v>7</v>
      </c>
      <c r="AI17" s="13" t="str">
        <f>IF(OR(B17="",Results!B17=""),"",IF(AND(B17=Results!B17,Results!B17&lt;&gt;Games!$C$161),1,0))</f>
        <v/>
      </c>
      <c r="AJ17" s="13" t="str">
        <f>IF(OR(C17="",Results!C17=""),"",IF(AND(C17=Results!C17,Results!C17&lt;&gt;Games!$C$162),1,0))</f>
        <v/>
      </c>
      <c r="AK17" s="13" t="str">
        <f>IF(OR(D17="",Results!D17=""),"",IF(AND(D17=Results!D17,Results!D17&lt;&gt;Games!$C$163),1,0))</f>
        <v/>
      </c>
      <c r="AL17" s="13" t="str">
        <f>IF(OR(E17="",Results!E17=""),"",IF(AND(E17=Results!E17,Results!E17&lt;&gt;Games!$C$164),1,0))</f>
        <v/>
      </c>
      <c r="AM17" s="13" t="str">
        <f>IF(OR(F17="",Results!F17=""),"",IF(AND(F17=Results!F17,Results!F17&lt;&gt;Games!$C$165),1,0))</f>
        <v/>
      </c>
      <c r="AN17" s="13" t="str">
        <f>IF(OR(G17="",Results!G17=""),"",IF(AND(G17=Results!G17,Results!G17&lt;&gt;Games!$C$166),1,0))</f>
        <v/>
      </c>
      <c r="AO17" s="13" t="str">
        <f>IF(OR(H17="",Results!H17=""),"",IF(AND(H17=Results!H17,Results!H17&lt;&gt;Games!$C$167),1,0))</f>
        <v/>
      </c>
      <c r="AP17" s="13" t="str">
        <f>IF(OR(I17="",Results!I17=""),"",IF(AND(I17=Results!I17,Results!I17&lt;&gt;Games!$C$168),1,0))</f>
        <v/>
      </c>
      <c r="AQ17" s="13" t="str">
        <f>IF(OR(J17="",Results!J17=""),"",IF(AND(J17=Results!J17,Results!J17&lt;&gt;Games!$C$169),1,0))</f>
        <v/>
      </c>
      <c r="AR17" s="13" t="str">
        <f>IF(OR(K17="",Results!K17=""),"",IF(AND(K17=Results!K17,Results!K17&lt;&gt;Games!$C$170),1,0))</f>
        <v/>
      </c>
      <c r="AS17" s="13" t="str">
        <f>IF(OR(L17="",Results!L17=""),"",IF(AND(L17=Results!L17,Results!L17&lt;&gt;Games!$C$171),1,0))</f>
        <v/>
      </c>
      <c r="AT17" s="13" t="str">
        <f>IF(OR(M17="",Results!M17=""),"",IF(AND(M17=Results!M17,Results!M17&lt;&gt;Games!$C$172),1,0))</f>
        <v/>
      </c>
      <c r="AU17" s="13" t="str">
        <f>IF(OR(N17="",Results!N17=""),"",IF(AND(N17=Results!N17,Results!N17&lt;&gt;Games!$C$173),1,0))</f>
        <v/>
      </c>
      <c r="AV17" s="14">
        <f t="shared" si="1"/>
        <v>0</v>
      </c>
    </row>
    <row r="18" spans="1:48" ht="15" customHeight="1" x14ac:dyDescent="0.25">
      <c r="A18" s="4" t="str">
        <f>INDEX(Players!$D$6:$D$69,MATCH(37,Players!$A$6:$A$69,0))</f>
        <v>Dino C.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4" t="str">
        <f>IF(OR(B18="",Results!B17=""),"",IF(B18=Results!B17,1+IF(OR($O18=1,$P18=1,$Q18=1),1,0),0))</f>
        <v/>
      </c>
      <c r="T18" s="4" t="str">
        <f>IF(OR(C18="",Results!C17=""),"",IF(C18=Results!C17,1+IF(OR($O18=2,$P18=2,$Q18=2),1,0),0))</f>
        <v/>
      </c>
      <c r="U18" s="4" t="str">
        <f>IF(OR(D18="",Results!D17=""),"",IF(D18=Results!D17,1+IF(OR($O18=3,$P18=3,$Q18=3),1,0),0))</f>
        <v/>
      </c>
      <c r="V18" s="4" t="str">
        <f>IF(OR(E18="",Results!E17=""),"",IF(E18=Results!E17,1+IF(OR($O18=4,$P18=4,$Q18=4),1,0),0))</f>
        <v/>
      </c>
      <c r="W18" s="4" t="str">
        <f>IF(OR(F18="",Results!F17=""),"",IF(F18=Results!F17,1+IF(OR($O18=5,$P18=5,$Q18=5),1,0),0))</f>
        <v/>
      </c>
      <c r="X18" s="4" t="str">
        <f>IF(OR(G18="",Results!G17=""),"",IF(G18=Results!G17,1+IF(OR($O18=6,$P18=6,$Q18=6),1,0),0))</f>
        <v/>
      </c>
      <c r="Y18" s="4" t="str">
        <f>IF(OR(H18="",Results!H17=""),"",IF(H18=Results!H17,1+IF(OR($O18=7,$P18=7,$Q18=7),1,0),0))</f>
        <v/>
      </c>
      <c r="Z18" s="4" t="str">
        <f>IF(OR(I18="",Results!I17=""),"",IF(I18=Results!I17,1+IF(OR($O18=8,$P18=8,$Q18=8),1,0),0))</f>
        <v/>
      </c>
      <c r="AA18" s="4" t="str">
        <f>IF(OR(J18="",Results!J17=""),"",IF(J18=Results!J17,1+IF(OR($O18=9,$P18=9,$Q18=9),1,0),0))</f>
        <v/>
      </c>
      <c r="AB18" s="4" t="str">
        <f>IF(OR(K18="",Results!K17=""),"",IF(K18=Results!K17,1+IF(OR($O18=10,$P18=10,$Q18=10),1,0),0))</f>
        <v/>
      </c>
      <c r="AC18" s="4" t="str">
        <f>IF(OR(L18="",Results!L17=""),"",IF(L18=Results!L17,1+IF(OR($O18=11,$P18=11,$Q18=11),1,0),0))</f>
        <v/>
      </c>
      <c r="AD18" s="4" t="str">
        <f>IF(OR(M18="",Results!M17=""),"",IF(M18=Results!M17,1+IF(OR($O18=12,$P18=12,$Q18=12),1,0),0))</f>
        <v/>
      </c>
      <c r="AE18" s="4" t="str">
        <f>IF(OR(N18="",Results!N17=""),"",IF(N18=Results!N17,1+IF(OR($O18=13,$P18=13,$Q18=13),1,0),0))</f>
        <v/>
      </c>
      <c r="AF18" s="11">
        <f t="shared" si="0"/>
        <v>0</v>
      </c>
      <c r="AG18" s="4" t="str">
        <f>IF(OR($R18="",Results!O17=""),"",ABS($R18-Results!O17))</f>
        <v/>
      </c>
      <c r="AH18" s="12">
        <v>37</v>
      </c>
      <c r="AI18" s="13" t="str">
        <f>IF(OR(B18="",Results!B17=""),"",IF(AND(B18=Results!B17,Results!B17&lt;&gt;Games!$C$161),1,0))</f>
        <v/>
      </c>
      <c r="AJ18" s="13" t="str">
        <f>IF(OR(C18="",Results!C17=""),"",IF(AND(C18=Results!C17,Results!C17&lt;&gt;Games!$C$162),1,0))</f>
        <v/>
      </c>
      <c r="AK18" s="13" t="str">
        <f>IF(OR(D18="",Results!D17=""),"",IF(AND(D18=Results!D17,Results!D17&lt;&gt;Games!$C$163),1,0))</f>
        <v/>
      </c>
      <c r="AL18" s="13" t="str">
        <f>IF(OR(E18="",Results!E17=""),"",IF(AND(E18=Results!E17,Results!E17&lt;&gt;Games!$C$164),1,0))</f>
        <v/>
      </c>
      <c r="AM18" s="13" t="str">
        <f>IF(OR(F18="",Results!F17=""),"",IF(AND(F18=Results!F17,Results!F17&lt;&gt;Games!$C$165),1,0))</f>
        <v/>
      </c>
      <c r="AN18" s="13" t="str">
        <f>IF(OR(G18="",Results!G17=""),"",IF(AND(G18=Results!G17,Results!G17&lt;&gt;Games!$C$166),1,0))</f>
        <v/>
      </c>
      <c r="AO18" s="13" t="str">
        <f>IF(OR(H18="",Results!H17=""),"",IF(AND(H18=Results!H17,Results!H17&lt;&gt;Games!$C$167),1,0))</f>
        <v/>
      </c>
      <c r="AP18" s="13" t="str">
        <f>IF(OR(I18="",Results!I17=""),"",IF(AND(I18=Results!I17,Results!I17&lt;&gt;Games!$C$168),1,0))</f>
        <v/>
      </c>
      <c r="AQ18" s="13" t="str">
        <f>IF(OR(J18="",Results!J17=""),"",IF(AND(J18=Results!J17,Results!J17&lt;&gt;Games!$C$169),1,0))</f>
        <v/>
      </c>
      <c r="AR18" s="13" t="str">
        <f>IF(OR(K18="",Results!K17=""),"",IF(AND(K18=Results!K17,Results!K17&lt;&gt;Games!$C$170),1,0))</f>
        <v/>
      </c>
      <c r="AS18" s="13" t="str">
        <f>IF(OR(L18="",Results!L17=""),"",IF(AND(L18=Results!L17,Results!L17&lt;&gt;Games!$C$171),1,0))</f>
        <v/>
      </c>
      <c r="AT18" s="13" t="str">
        <f>IF(OR(M18="",Results!M17=""),"",IF(AND(M18=Results!M17,Results!M17&lt;&gt;Games!$C$172),1,0))</f>
        <v/>
      </c>
      <c r="AU18" s="13" t="str">
        <f>IF(OR(N18="",Results!N17=""),"",IF(AND(N18=Results!N17,Results!N17&lt;&gt;Games!$C$173),1,0))</f>
        <v/>
      </c>
      <c r="AV18" s="14">
        <f t="shared" si="1"/>
        <v>0</v>
      </c>
    </row>
    <row r="19" spans="1:48" ht="15" customHeight="1" x14ac:dyDescent="0.25">
      <c r="A19" s="4" t="str">
        <f>INDEX(Players!$D$6:$D$69,MATCH(26,Players!$A$6:$A$69,0))</f>
        <v>Dona B.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4" t="str">
        <f>IF(OR(B19="",Results!B17=""),"",IF(B19=Results!B17,1+IF(OR($O19=1,$P19=1,$Q19=1),1,0),0))</f>
        <v/>
      </c>
      <c r="T19" s="4" t="str">
        <f>IF(OR(C19="",Results!C17=""),"",IF(C19=Results!C17,1+IF(OR($O19=2,$P19=2,$Q19=2),1,0),0))</f>
        <v/>
      </c>
      <c r="U19" s="4" t="str">
        <f>IF(OR(D19="",Results!D17=""),"",IF(D19=Results!D17,1+IF(OR($O19=3,$P19=3,$Q19=3),1,0),0))</f>
        <v/>
      </c>
      <c r="V19" s="4" t="str">
        <f>IF(OR(E19="",Results!E17=""),"",IF(E19=Results!E17,1+IF(OR($O19=4,$P19=4,$Q19=4),1,0),0))</f>
        <v/>
      </c>
      <c r="W19" s="4" t="str">
        <f>IF(OR(F19="",Results!F17=""),"",IF(F19=Results!F17,1+IF(OR($O19=5,$P19=5,$Q19=5),1,0),0))</f>
        <v/>
      </c>
      <c r="X19" s="4" t="str">
        <f>IF(OR(G19="",Results!G17=""),"",IF(G19=Results!G17,1+IF(OR($O19=6,$P19=6,$Q19=6),1,0),0))</f>
        <v/>
      </c>
      <c r="Y19" s="4" t="str">
        <f>IF(OR(H19="",Results!H17=""),"",IF(H19=Results!H17,1+IF(OR($O19=7,$P19=7,$Q19=7),1,0),0))</f>
        <v/>
      </c>
      <c r="Z19" s="4" t="str">
        <f>IF(OR(I19="",Results!I17=""),"",IF(I19=Results!I17,1+IF(OR($O19=8,$P19=8,$Q19=8),1,0),0))</f>
        <v/>
      </c>
      <c r="AA19" s="4" t="str">
        <f>IF(OR(J19="",Results!J17=""),"",IF(J19=Results!J17,1+IF(OR($O19=9,$P19=9,$Q19=9),1,0),0))</f>
        <v/>
      </c>
      <c r="AB19" s="4" t="str">
        <f>IF(OR(K19="",Results!K17=""),"",IF(K19=Results!K17,1+IF(OR($O19=10,$P19=10,$Q19=10),1,0),0))</f>
        <v/>
      </c>
      <c r="AC19" s="4" t="str">
        <f>IF(OR(L19="",Results!L17=""),"",IF(L19=Results!L17,1+IF(OR($O19=11,$P19=11,$Q19=11),1,0),0))</f>
        <v/>
      </c>
      <c r="AD19" s="4" t="str">
        <f>IF(OR(M19="",Results!M17=""),"",IF(M19=Results!M17,1+IF(OR($O19=12,$P19=12,$Q19=12),1,0),0))</f>
        <v/>
      </c>
      <c r="AE19" s="4" t="str">
        <f>IF(OR(N19="",Results!N17=""),"",IF(N19=Results!N17,1+IF(OR($O19=13,$P19=13,$Q19=13),1,0),0))</f>
        <v/>
      </c>
      <c r="AF19" s="11">
        <f t="shared" si="0"/>
        <v>0</v>
      </c>
      <c r="AG19" s="4" t="str">
        <f>IF(OR($R19="",Results!O17=""),"",ABS($R19-Results!O17))</f>
        <v/>
      </c>
      <c r="AH19" s="12">
        <v>26</v>
      </c>
      <c r="AI19" s="13" t="str">
        <f>IF(OR(B19="",Results!B17=""),"",IF(AND(B19=Results!B17,Results!B17&lt;&gt;Games!$C$161),1,0))</f>
        <v/>
      </c>
      <c r="AJ19" s="13" t="str">
        <f>IF(OR(C19="",Results!C17=""),"",IF(AND(C19=Results!C17,Results!C17&lt;&gt;Games!$C$162),1,0))</f>
        <v/>
      </c>
      <c r="AK19" s="13" t="str">
        <f>IF(OR(D19="",Results!D17=""),"",IF(AND(D19=Results!D17,Results!D17&lt;&gt;Games!$C$163),1,0))</f>
        <v/>
      </c>
      <c r="AL19" s="13" t="str">
        <f>IF(OR(E19="",Results!E17=""),"",IF(AND(E19=Results!E17,Results!E17&lt;&gt;Games!$C$164),1,0))</f>
        <v/>
      </c>
      <c r="AM19" s="13" t="str">
        <f>IF(OR(F19="",Results!F17=""),"",IF(AND(F19=Results!F17,Results!F17&lt;&gt;Games!$C$165),1,0))</f>
        <v/>
      </c>
      <c r="AN19" s="13" t="str">
        <f>IF(OR(G19="",Results!G17=""),"",IF(AND(G19=Results!G17,Results!G17&lt;&gt;Games!$C$166),1,0))</f>
        <v/>
      </c>
      <c r="AO19" s="13" t="str">
        <f>IF(OR(H19="",Results!H17=""),"",IF(AND(H19=Results!H17,Results!H17&lt;&gt;Games!$C$167),1,0))</f>
        <v/>
      </c>
      <c r="AP19" s="13" t="str">
        <f>IF(OR(I19="",Results!I17=""),"",IF(AND(I19=Results!I17,Results!I17&lt;&gt;Games!$C$168),1,0))</f>
        <v/>
      </c>
      <c r="AQ19" s="13" t="str">
        <f>IF(OR(J19="",Results!J17=""),"",IF(AND(J19=Results!J17,Results!J17&lt;&gt;Games!$C$169),1,0))</f>
        <v/>
      </c>
      <c r="AR19" s="13" t="str">
        <f>IF(OR(K19="",Results!K17=""),"",IF(AND(K19=Results!K17,Results!K17&lt;&gt;Games!$C$170),1,0))</f>
        <v/>
      </c>
      <c r="AS19" s="13" t="str">
        <f>IF(OR(L19="",Results!L17=""),"",IF(AND(L19=Results!L17,Results!L17&lt;&gt;Games!$C$171),1,0))</f>
        <v/>
      </c>
      <c r="AT19" s="13" t="str">
        <f>IF(OR(M19="",Results!M17=""),"",IF(AND(M19=Results!M17,Results!M17&lt;&gt;Games!$C$172),1,0))</f>
        <v/>
      </c>
      <c r="AU19" s="13" t="str">
        <f>IF(OR(N19="",Results!N17=""),"",IF(AND(N19=Results!N17,Results!N17&lt;&gt;Games!$C$173),1,0))</f>
        <v/>
      </c>
      <c r="AV19" s="14">
        <f t="shared" si="1"/>
        <v>0</v>
      </c>
    </row>
    <row r="20" spans="1:48" ht="15" customHeight="1" x14ac:dyDescent="0.25">
      <c r="A20" s="4" t="str">
        <f>INDEX(Players!$D$6:$D$69,MATCH(52,Players!$A$6:$A$69,0))</f>
        <v>Dylan G.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4" t="str">
        <f>IF(OR(B20="",Results!B17=""),"",IF(B20=Results!B17,1+IF(OR($O20=1,$P20=1,$Q20=1),1,0),0))</f>
        <v/>
      </c>
      <c r="T20" s="4" t="str">
        <f>IF(OR(C20="",Results!C17=""),"",IF(C20=Results!C17,1+IF(OR($O20=2,$P20=2,$Q20=2),1,0),0))</f>
        <v/>
      </c>
      <c r="U20" s="4" t="str">
        <f>IF(OR(D20="",Results!D17=""),"",IF(D20=Results!D17,1+IF(OR($O20=3,$P20=3,$Q20=3),1,0),0))</f>
        <v/>
      </c>
      <c r="V20" s="4" t="str">
        <f>IF(OR(E20="",Results!E17=""),"",IF(E20=Results!E17,1+IF(OR($O20=4,$P20=4,$Q20=4),1,0),0))</f>
        <v/>
      </c>
      <c r="W20" s="4" t="str">
        <f>IF(OR(F20="",Results!F17=""),"",IF(F20=Results!F17,1+IF(OR($O20=5,$P20=5,$Q20=5),1,0),0))</f>
        <v/>
      </c>
      <c r="X20" s="4" t="str">
        <f>IF(OR(G20="",Results!G17=""),"",IF(G20=Results!G17,1+IF(OR($O20=6,$P20=6,$Q20=6),1,0),0))</f>
        <v/>
      </c>
      <c r="Y20" s="4" t="str">
        <f>IF(OR(H20="",Results!H17=""),"",IF(H20=Results!H17,1+IF(OR($O20=7,$P20=7,$Q20=7),1,0),0))</f>
        <v/>
      </c>
      <c r="Z20" s="4" t="str">
        <f>IF(OR(I20="",Results!I17=""),"",IF(I20=Results!I17,1+IF(OR($O20=8,$P20=8,$Q20=8),1,0),0))</f>
        <v/>
      </c>
      <c r="AA20" s="4" t="str">
        <f>IF(OR(J20="",Results!J17=""),"",IF(J20=Results!J17,1+IF(OR($O20=9,$P20=9,$Q20=9),1,0),0))</f>
        <v/>
      </c>
      <c r="AB20" s="4" t="str">
        <f>IF(OR(K20="",Results!K17=""),"",IF(K20=Results!K17,1+IF(OR($O20=10,$P20=10,$Q20=10),1,0),0))</f>
        <v/>
      </c>
      <c r="AC20" s="4" t="str">
        <f>IF(OR(L20="",Results!L17=""),"",IF(L20=Results!L17,1+IF(OR($O20=11,$P20=11,$Q20=11),1,0),0))</f>
        <v/>
      </c>
      <c r="AD20" s="4" t="str">
        <f>IF(OR(M20="",Results!M17=""),"",IF(M20=Results!M17,1+IF(OR($O20=12,$P20=12,$Q20=12),1,0),0))</f>
        <v/>
      </c>
      <c r="AE20" s="4" t="str">
        <f>IF(OR(N20="",Results!N17=""),"",IF(N20=Results!N17,1+IF(OR($O20=13,$P20=13,$Q20=13),1,0),0))</f>
        <v/>
      </c>
      <c r="AF20" s="11">
        <f t="shared" si="0"/>
        <v>0</v>
      </c>
      <c r="AG20" s="4" t="str">
        <f>IF(OR($R20="",Results!O17=""),"",ABS($R20-Results!O17))</f>
        <v/>
      </c>
      <c r="AH20" s="12">
        <v>52</v>
      </c>
      <c r="AI20" s="13" t="str">
        <f>IF(OR(B20="",Results!B17=""),"",IF(AND(B20=Results!B17,Results!B17&lt;&gt;Games!$C$161),1,0))</f>
        <v/>
      </c>
      <c r="AJ20" s="13" t="str">
        <f>IF(OR(C20="",Results!C17=""),"",IF(AND(C20=Results!C17,Results!C17&lt;&gt;Games!$C$162),1,0))</f>
        <v/>
      </c>
      <c r="AK20" s="13" t="str">
        <f>IF(OR(D20="",Results!D17=""),"",IF(AND(D20=Results!D17,Results!D17&lt;&gt;Games!$C$163),1,0))</f>
        <v/>
      </c>
      <c r="AL20" s="13" t="str">
        <f>IF(OR(E20="",Results!E17=""),"",IF(AND(E20=Results!E17,Results!E17&lt;&gt;Games!$C$164),1,0))</f>
        <v/>
      </c>
      <c r="AM20" s="13" t="str">
        <f>IF(OR(F20="",Results!F17=""),"",IF(AND(F20=Results!F17,Results!F17&lt;&gt;Games!$C$165),1,0))</f>
        <v/>
      </c>
      <c r="AN20" s="13" t="str">
        <f>IF(OR(G20="",Results!G17=""),"",IF(AND(G20=Results!G17,Results!G17&lt;&gt;Games!$C$166),1,0))</f>
        <v/>
      </c>
      <c r="AO20" s="13" t="str">
        <f>IF(OR(H20="",Results!H17=""),"",IF(AND(H20=Results!H17,Results!H17&lt;&gt;Games!$C$167),1,0))</f>
        <v/>
      </c>
      <c r="AP20" s="13" t="str">
        <f>IF(OR(I20="",Results!I17=""),"",IF(AND(I20=Results!I17,Results!I17&lt;&gt;Games!$C$168),1,0))</f>
        <v/>
      </c>
      <c r="AQ20" s="13" t="str">
        <f>IF(OR(J20="",Results!J17=""),"",IF(AND(J20=Results!J17,Results!J17&lt;&gt;Games!$C$169),1,0))</f>
        <v/>
      </c>
      <c r="AR20" s="13" t="str">
        <f>IF(OR(K20="",Results!K17=""),"",IF(AND(K20=Results!K17,Results!K17&lt;&gt;Games!$C$170),1,0))</f>
        <v/>
      </c>
      <c r="AS20" s="13" t="str">
        <f>IF(OR(L20="",Results!L17=""),"",IF(AND(L20=Results!L17,Results!L17&lt;&gt;Games!$C$171),1,0))</f>
        <v/>
      </c>
      <c r="AT20" s="13" t="str">
        <f>IF(OR(M20="",Results!M17=""),"",IF(AND(M20=Results!M17,Results!M17&lt;&gt;Games!$C$172),1,0))</f>
        <v/>
      </c>
      <c r="AU20" s="13" t="str">
        <f>IF(OR(N20="",Results!N17=""),"",IF(AND(N20=Results!N17,Results!N17&lt;&gt;Games!$C$173),1,0))</f>
        <v/>
      </c>
      <c r="AV20" s="14">
        <f t="shared" si="1"/>
        <v>0</v>
      </c>
    </row>
    <row r="21" spans="1:48" ht="15" customHeight="1" x14ac:dyDescent="0.25">
      <c r="A21" s="4" t="str">
        <f>INDEX(Players!$D$6:$D$69,MATCH(9,Players!$A$6:$A$69,0))</f>
        <v>Evan H.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4" t="str">
        <f>IF(OR(B21="",Results!B17=""),"",IF(B21=Results!B17,1+IF(OR($O21=1,$P21=1,$Q21=1),1,0),0))</f>
        <v/>
      </c>
      <c r="T21" s="4" t="str">
        <f>IF(OR(C21="",Results!C17=""),"",IF(C21=Results!C17,1+IF(OR($O21=2,$P21=2,$Q21=2),1,0),0))</f>
        <v/>
      </c>
      <c r="U21" s="4" t="str">
        <f>IF(OR(D21="",Results!D17=""),"",IF(D21=Results!D17,1+IF(OR($O21=3,$P21=3,$Q21=3),1,0),0))</f>
        <v/>
      </c>
      <c r="V21" s="4" t="str">
        <f>IF(OR(E21="",Results!E17=""),"",IF(E21=Results!E17,1+IF(OR($O21=4,$P21=4,$Q21=4),1,0),0))</f>
        <v/>
      </c>
      <c r="W21" s="4" t="str">
        <f>IF(OR(F21="",Results!F17=""),"",IF(F21=Results!F17,1+IF(OR($O21=5,$P21=5,$Q21=5),1,0),0))</f>
        <v/>
      </c>
      <c r="X21" s="4" t="str">
        <f>IF(OR(G21="",Results!G17=""),"",IF(G21=Results!G17,1+IF(OR($O21=6,$P21=6,$Q21=6),1,0),0))</f>
        <v/>
      </c>
      <c r="Y21" s="4" t="str">
        <f>IF(OR(H21="",Results!H17=""),"",IF(H21=Results!H17,1+IF(OR($O21=7,$P21=7,$Q21=7),1,0),0))</f>
        <v/>
      </c>
      <c r="Z21" s="4" t="str">
        <f>IF(OR(I21="",Results!I17=""),"",IF(I21=Results!I17,1+IF(OR($O21=8,$P21=8,$Q21=8),1,0),0))</f>
        <v/>
      </c>
      <c r="AA21" s="4" t="str">
        <f>IF(OR(J21="",Results!J17=""),"",IF(J21=Results!J17,1+IF(OR($O21=9,$P21=9,$Q21=9),1,0),0))</f>
        <v/>
      </c>
      <c r="AB21" s="4" t="str">
        <f>IF(OR(K21="",Results!K17=""),"",IF(K21=Results!K17,1+IF(OR($O21=10,$P21=10,$Q21=10),1,0),0))</f>
        <v/>
      </c>
      <c r="AC21" s="4" t="str">
        <f>IF(OR(L21="",Results!L17=""),"",IF(L21=Results!L17,1+IF(OR($O21=11,$P21=11,$Q21=11),1,0),0))</f>
        <v/>
      </c>
      <c r="AD21" s="4" t="str">
        <f>IF(OR(M21="",Results!M17=""),"",IF(M21=Results!M17,1+IF(OR($O21=12,$P21=12,$Q21=12),1,0),0))</f>
        <v/>
      </c>
      <c r="AE21" s="4" t="str">
        <f>IF(OR(N21="",Results!N17=""),"",IF(N21=Results!N17,1+IF(OR($O21=13,$P21=13,$Q21=13),1,0),0))</f>
        <v/>
      </c>
      <c r="AF21" s="11">
        <f t="shared" si="0"/>
        <v>0</v>
      </c>
      <c r="AG21" s="4" t="str">
        <f>IF(OR($R21="",Results!O17=""),"",ABS($R21-Results!O17))</f>
        <v/>
      </c>
      <c r="AH21" s="12">
        <v>9</v>
      </c>
      <c r="AI21" s="13" t="str">
        <f>IF(OR(B21="",Results!B17=""),"",IF(AND(B21=Results!B17,Results!B17&lt;&gt;Games!$C$161),1,0))</f>
        <v/>
      </c>
      <c r="AJ21" s="13" t="str">
        <f>IF(OR(C21="",Results!C17=""),"",IF(AND(C21=Results!C17,Results!C17&lt;&gt;Games!$C$162),1,0))</f>
        <v/>
      </c>
      <c r="AK21" s="13" t="str">
        <f>IF(OR(D21="",Results!D17=""),"",IF(AND(D21=Results!D17,Results!D17&lt;&gt;Games!$C$163),1,0))</f>
        <v/>
      </c>
      <c r="AL21" s="13" t="str">
        <f>IF(OR(E21="",Results!E17=""),"",IF(AND(E21=Results!E17,Results!E17&lt;&gt;Games!$C$164),1,0))</f>
        <v/>
      </c>
      <c r="AM21" s="13" t="str">
        <f>IF(OR(F21="",Results!F17=""),"",IF(AND(F21=Results!F17,Results!F17&lt;&gt;Games!$C$165),1,0))</f>
        <v/>
      </c>
      <c r="AN21" s="13" t="str">
        <f>IF(OR(G21="",Results!G17=""),"",IF(AND(G21=Results!G17,Results!G17&lt;&gt;Games!$C$166),1,0))</f>
        <v/>
      </c>
      <c r="AO21" s="13" t="str">
        <f>IF(OR(H21="",Results!H17=""),"",IF(AND(H21=Results!H17,Results!H17&lt;&gt;Games!$C$167),1,0))</f>
        <v/>
      </c>
      <c r="AP21" s="13" t="str">
        <f>IF(OR(I21="",Results!I17=""),"",IF(AND(I21=Results!I17,Results!I17&lt;&gt;Games!$C$168),1,0))</f>
        <v/>
      </c>
      <c r="AQ21" s="13" t="str">
        <f>IF(OR(J21="",Results!J17=""),"",IF(AND(J21=Results!J17,Results!J17&lt;&gt;Games!$C$169),1,0))</f>
        <v/>
      </c>
      <c r="AR21" s="13" t="str">
        <f>IF(OR(K21="",Results!K17=""),"",IF(AND(K21=Results!K17,Results!K17&lt;&gt;Games!$C$170),1,0))</f>
        <v/>
      </c>
      <c r="AS21" s="13" t="str">
        <f>IF(OR(L21="",Results!L17=""),"",IF(AND(L21=Results!L17,Results!L17&lt;&gt;Games!$C$171),1,0))</f>
        <v/>
      </c>
      <c r="AT21" s="13" t="str">
        <f>IF(OR(M21="",Results!M17=""),"",IF(AND(M21=Results!M17,Results!M17&lt;&gt;Games!$C$172),1,0))</f>
        <v/>
      </c>
      <c r="AU21" s="13" t="str">
        <f>IF(OR(N21="",Results!N17=""),"",IF(AND(N21=Results!N17,Results!N17&lt;&gt;Games!$C$173),1,0))</f>
        <v/>
      </c>
      <c r="AV21" s="14">
        <f t="shared" si="1"/>
        <v>0</v>
      </c>
    </row>
    <row r="22" spans="1:48" ht="15" customHeight="1" x14ac:dyDescent="0.25">
      <c r="A22" s="4" t="str">
        <f>INDEX(Players!$D$6:$D$69,MATCH(10,Players!$A$6:$A$69,0))</f>
        <v>Gene P.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4" t="str">
        <f>IF(OR(B22="",Results!B17=""),"",IF(B22=Results!B17,1+IF(OR($O22=1,$P22=1,$Q22=1),1,0),0))</f>
        <v/>
      </c>
      <c r="T22" s="4" t="str">
        <f>IF(OR(C22="",Results!C17=""),"",IF(C22=Results!C17,1+IF(OR($O22=2,$P22=2,$Q22=2),1,0),0))</f>
        <v/>
      </c>
      <c r="U22" s="4" t="str">
        <f>IF(OR(D22="",Results!D17=""),"",IF(D22=Results!D17,1+IF(OR($O22=3,$P22=3,$Q22=3),1,0),0))</f>
        <v/>
      </c>
      <c r="V22" s="4" t="str">
        <f>IF(OR(E22="",Results!E17=""),"",IF(E22=Results!E17,1+IF(OR($O22=4,$P22=4,$Q22=4),1,0),0))</f>
        <v/>
      </c>
      <c r="W22" s="4" t="str">
        <f>IF(OR(F22="",Results!F17=""),"",IF(F22=Results!F17,1+IF(OR($O22=5,$P22=5,$Q22=5),1,0),0))</f>
        <v/>
      </c>
      <c r="X22" s="4" t="str">
        <f>IF(OR(G22="",Results!G17=""),"",IF(G22=Results!G17,1+IF(OR($O22=6,$P22=6,$Q22=6),1,0),0))</f>
        <v/>
      </c>
      <c r="Y22" s="4" t="str">
        <f>IF(OR(H22="",Results!H17=""),"",IF(H22=Results!H17,1+IF(OR($O22=7,$P22=7,$Q22=7),1,0),0))</f>
        <v/>
      </c>
      <c r="Z22" s="4" t="str">
        <f>IF(OR(I22="",Results!I17=""),"",IF(I22=Results!I17,1+IF(OR($O22=8,$P22=8,$Q22=8),1,0),0))</f>
        <v/>
      </c>
      <c r="AA22" s="4" t="str">
        <f>IF(OR(J22="",Results!J17=""),"",IF(J22=Results!J17,1+IF(OR($O22=9,$P22=9,$Q22=9),1,0),0))</f>
        <v/>
      </c>
      <c r="AB22" s="4" t="str">
        <f>IF(OR(K22="",Results!K17=""),"",IF(K22=Results!K17,1+IF(OR($O22=10,$P22=10,$Q22=10),1,0),0))</f>
        <v/>
      </c>
      <c r="AC22" s="4" t="str">
        <f>IF(OR(L22="",Results!L17=""),"",IF(L22=Results!L17,1+IF(OR($O22=11,$P22=11,$Q22=11),1,0),0))</f>
        <v/>
      </c>
      <c r="AD22" s="4" t="str">
        <f>IF(OR(M22="",Results!M17=""),"",IF(M22=Results!M17,1+IF(OR($O22=12,$P22=12,$Q22=12),1,0),0))</f>
        <v/>
      </c>
      <c r="AE22" s="4" t="str">
        <f>IF(OR(N22="",Results!N17=""),"",IF(N22=Results!N17,1+IF(OR($O22=13,$P22=13,$Q22=13),1,0),0))</f>
        <v/>
      </c>
      <c r="AF22" s="11">
        <f t="shared" si="0"/>
        <v>0</v>
      </c>
      <c r="AG22" s="4" t="str">
        <f>IF(OR($R22="",Results!O17=""),"",ABS($R22-Results!O17))</f>
        <v/>
      </c>
      <c r="AH22" s="12">
        <v>10</v>
      </c>
      <c r="AI22" s="13" t="str">
        <f>IF(OR(B22="",Results!B17=""),"",IF(AND(B22=Results!B17,Results!B17&lt;&gt;Games!$C$161),1,0))</f>
        <v/>
      </c>
      <c r="AJ22" s="13" t="str">
        <f>IF(OR(C22="",Results!C17=""),"",IF(AND(C22=Results!C17,Results!C17&lt;&gt;Games!$C$162),1,0))</f>
        <v/>
      </c>
      <c r="AK22" s="13" t="str">
        <f>IF(OR(D22="",Results!D17=""),"",IF(AND(D22=Results!D17,Results!D17&lt;&gt;Games!$C$163),1,0))</f>
        <v/>
      </c>
      <c r="AL22" s="13" t="str">
        <f>IF(OR(E22="",Results!E17=""),"",IF(AND(E22=Results!E17,Results!E17&lt;&gt;Games!$C$164),1,0))</f>
        <v/>
      </c>
      <c r="AM22" s="13" t="str">
        <f>IF(OR(F22="",Results!F17=""),"",IF(AND(F22=Results!F17,Results!F17&lt;&gt;Games!$C$165),1,0))</f>
        <v/>
      </c>
      <c r="AN22" s="13" t="str">
        <f>IF(OR(G22="",Results!G17=""),"",IF(AND(G22=Results!G17,Results!G17&lt;&gt;Games!$C$166),1,0))</f>
        <v/>
      </c>
      <c r="AO22" s="13" t="str">
        <f>IF(OR(H22="",Results!H17=""),"",IF(AND(H22=Results!H17,Results!H17&lt;&gt;Games!$C$167),1,0))</f>
        <v/>
      </c>
      <c r="AP22" s="13" t="str">
        <f>IF(OR(I22="",Results!I17=""),"",IF(AND(I22=Results!I17,Results!I17&lt;&gt;Games!$C$168),1,0))</f>
        <v/>
      </c>
      <c r="AQ22" s="13" t="str">
        <f>IF(OR(J22="",Results!J17=""),"",IF(AND(J22=Results!J17,Results!J17&lt;&gt;Games!$C$169),1,0))</f>
        <v/>
      </c>
      <c r="AR22" s="13" t="str">
        <f>IF(OR(K22="",Results!K17=""),"",IF(AND(K22=Results!K17,Results!K17&lt;&gt;Games!$C$170),1,0))</f>
        <v/>
      </c>
      <c r="AS22" s="13" t="str">
        <f>IF(OR(L22="",Results!L17=""),"",IF(AND(L22=Results!L17,Results!L17&lt;&gt;Games!$C$171),1,0))</f>
        <v/>
      </c>
      <c r="AT22" s="13" t="str">
        <f>IF(OR(M22="",Results!M17=""),"",IF(AND(M22=Results!M17,Results!M17&lt;&gt;Games!$C$172),1,0))</f>
        <v/>
      </c>
      <c r="AU22" s="13" t="str">
        <f>IF(OR(N22="",Results!N17=""),"",IF(AND(N22=Results!N17,Results!N17&lt;&gt;Games!$C$173),1,0))</f>
        <v/>
      </c>
      <c r="AV22" s="14">
        <f t="shared" si="1"/>
        <v>0</v>
      </c>
    </row>
    <row r="23" spans="1:48" ht="15" customHeight="1" x14ac:dyDescent="0.25">
      <c r="A23" s="4" t="str">
        <f>INDEX(Players!$D$6:$D$69,MATCH(55,Players!$A$6:$A$69,0))</f>
        <v>Greyson R.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4" t="str">
        <f>IF(OR(B23="",Results!B17=""),"",IF(B23=Results!B17,1+IF(OR($O23=1,$P23=1,$Q23=1),1,0),0))</f>
        <v/>
      </c>
      <c r="T23" s="4" t="str">
        <f>IF(OR(C23="",Results!C17=""),"",IF(C23=Results!C17,1+IF(OR($O23=2,$P23=2,$Q23=2),1,0),0))</f>
        <v/>
      </c>
      <c r="U23" s="4" t="str">
        <f>IF(OR(D23="",Results!D17=""),"",IF(D23=Results!D17,1+IF(OR($O23=3,$P23=3,$Q23=3),1,0),0))</f>
        <v/>
      </c>
      <c r="V23" s="4" t="str">
        <f>IF(OR(E23="",Results!E17=""),"",IF(E23=Results!E17,1+IF(OR($O23=4,$P23=4,$Q23=4),1,0),0))</f>
        <v/>
      </c>
      <c r="W23" s="4" t="str">
        <f>IF(OR(F23="",Results!F17=""),"",IF(F23=Results!F17,1+IF(OR($O23=5,$P23=5,$Q23=5),1,0),0))</f>
        <v/>
      </c>
      <c r="X23" s="4" t="str">
        <f>IF(OR(G23="",Results!G17=""),"",IF(G23=Results!G17,1+IF(OR($O23=6,$P23=6,$Q23=6),1,0),0))</f>
        <v/>
      </c>
      <c r="Y23" s="4" t="str">
        <f>IF(OR(H23="",Results!H17=""),"",IF(H23=Results!H17,1+IF(OR($O23=7,$P23=7,$Q23=7),1,0),0))</f>
        <v/>
      </c>
      <c r="Z23" s="4" t="str">
        <f>IF(OR(I23="",Results!I17=""),"",IF(I23=Results!I17,1+IF(OR($O23=8,$P23=8,$Q23=8),1,0),0))</f>
        <v/>
      </c>
      <c r="AA23" s="4" t="str">
        <f>IF(OR(J23="",Results!J17=""),"",IF(J23=Results!J17,1+IF(OR($O23=9,$P23=9,$Q23=9),1,0),0))</f>
        <v/>
      </c>
      <c r="AB23" s="4" t="str">
        <f>IF(OR(K23="",Results!K17=""),"",IF(K23=Results!K17,1+IF(OR($O23=10,$P23=10,$Q23=10),1,0),0))</f>
        <v/>
      </c>
      <c r="AC23" s="4" t="str">
        <f>IF(OR(L23="",Results!L17=""),"",IF(L23=Results!L17,1+IF(OR($O23=11,$P23=11,$Q23=11),1,0),0))</f>
        <v/>
      </c>
      <c r="AD23" s="4" t="str">
        <f>IF(OR(M23="",Results!M17=""),"",IF(M23=Results!M17,1+IF(OR($O23=12,$P23=12,$Q23=12),1,0),0))</f>
        <v/>
      </c>
      <c r="AE23" s="4" t="str">
        <f>IF(OR(N23="",Results!N17=""),"",IF(N23=Results!N17,1+IF(OR($O23=13,$P23=13,$Q23=13),1,0),0))</f>
        <v/>
      </c>
      <c r="AF23" s="11">
        <f t="shared" si="0"/>
        <v>0</v>
      </c>
      <c r="AG23" s="4" t="str">
        <f>IF(OR($R23="",Results!O17=""),"",ABS($R23-Results!O17))</f>
        <v/>
      </c>
      <c r="AH23" s="12">
        <v>55</v>
      </c>
      <c r="AI23" s="13" t="str">
        <f>IF(OR(B23="",Results!B17=""),"",IF(AND(B23=Results!B17,Results!B17&lt;&gt;Games!$C$161),1,0))</f>
        <v/>
      </c>
      <c r="AJ23" s="13" t="str">
        <f>IF(OR(C23="",Results!C17=""),"",IF(AND(C23=Results!C17,Results!C17&lt;&gt;Games!$C$162),1,0))</f>
        <v/>
      </c>
      <c r="AK23" s="13" t="str">
        <f>IF(OR(D23="",Results!D17=""),"",IF(AND(D23=Results!D17,Results!D17&lt;&gt;Games!$C$163),1,0))</f>
        <v/>
      </c>
      <c r="AL23" s="13" t="str">
        <f>IF(OR(E23="",Results!E17=""),"",IF(AND(E23=Results!E17,Results!E17&lt;&gt;Games!$C$164),1,0))</f>
        <v/>
      </c>
      <c r="AM23" s="13" t="str">
        <f>IF(OR(F23="",Results!F17=""),"",IF(AND(F23=Results!F17,Results!F17&lt;&gt;Games!$C$165),1,0))</f>
        <v/>
      </c>
      <c r="AN23" s="13" t="str">
        <f>IF(OR(G23="",Results!G17=""),"",IF(AND(G23=Results!G17,Results!G17&lt;&gt;Games!$C$166),1,0))</f>
        <v/>
      </c>
      <c r="AO23" s="13" t="str">
        <f>IF(OR(H23="",Results!H17=""),"",IF(AND(H23=Results!H17,Results!H17&lt;&gt;Games!$C$167),1,0))</f>
        <v/>
      </c>
      <c r="AP23" s="13" t="str">
        <f>IF(OR(I23="",Results!I17=""),"",IF(AND(I23=Results!I17,Results!I17&lt;&gt;Games!$C$168),1,0))</f>
        <v/>
      </c>
      <c r="AQ23" s="13" t="str">
        <f>IF(OR(J23="",Results!J17=""),"",IF(AND(J23=Results!J17,Results!J17&lt;&gt;Games!$C$169),1,0))</f>
        <v/>
      </c>
      <c r="AR23" s="13" t="str">
        <f>IF(OR(K23="",Results!K17=""),"",IF(AND(K23=Results!K17,Results!K17&lt;&gt;Games!$C$170),1,0))</f>
        <v/>
      </c>
      <c r="AS23" s="13" t="str">
        <f>IF(OR(L23="",Results!L17=""),"",IF(AND(L23=Results!L17,Results!L17&lt;&gt;Games!$C$171),1,0))</f>
        <v/>
      </c>
      <c r="AT23" s="13" t="str">
        <f>IF(OR(M23="",Results!M17=""),"",IF(AND(M23=Results!M17,Results!M17&lt;&gt;Games!$C$172),1,0))</f>
        <v/>
      </c>
      <c r="AU23" s="13" t="str">
        <f>IF(OR(N23="",Results!N17=""),"",IF(AND(N23=Results!N17,Results!N17&lt;&gt;Games!$C$173),1,0))</f>
        <v/>
      </c>
      <c r="AV23" s="14">
        <f t="shared" si="1"/>
        <v>0</v>
      </c>
    </row>
    <row r="24" spans="1:48" ht="15" customHeight="1" x14ac:dyDescent="0.25">
      <c r="A24" s="4" t="str">
        <f>INDEX(Players!$D$6:$D$69,MATCH(47,Players!$A$6:$A$69,0))</f>
        <v>James M.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4" t="str">
        <f>IF(OR(B24="",Results!B17=""),"",IF(B24=Results!B17,1+IF(OR($O24=1,$P24=1,$Q24=1),1,0),0))</f>
        <v/>
      </c>
      <c r="T24" s="4" t="str">
        <f>IF(OR(C24="",Results!C17=""),"",IF(C24=Results!C17,1+IF(OR($O24=2,$P24=2,$Q24=2),1,0),0))</f>
        <v/>
      </c>
      <c r="U24" s="4" t="str">
        <f>IF(OR(D24="",Results!D17=""),"",IF(D24=Results!D17,1+IF(OR($O24=3,$P24=3,$Q24=3),1,0),0))</f>
        <v/>
      </c>
      <c r="V24" s="4" t="str">
        <f>IF(OR(E24="",Results!E17=""),"",IF(E24=Results!E17,1+IF(OR($O24=4,$P24=4,$Q24=4),1,0),0))</f>
        <v/>
      </c>
      <c r="W24" s="4" t="str">
        <f>IF(OR(F24="",Results!F17=""),"",IF(F24=Results!F17,1+IF(OR($O24=5,$P24=5,$Q24=5),1,0),0))</f>
        <v/>
      </c>
      <c r="X24" s="4" t="str">
        <f>IF(OR(G24="",Results!G17=""),"",IF(G24=Results!G17,1+IF(OR($O24=6,$P24=6,$Q24=6),1,0),0))</f>
        <v/>
      </c>
      <c r="Y24" s="4" t="str">
        <f>IF(OR(H24="",Results!H17=""),"",IF(H24=Results!H17,1+IF(OR($O24=7,$P24=7,$Q24=7),1,0),0))</f>
        <v/>
      </c>
      <c r="Z24" s="4" t="str">
        <f>IF(OR(I24="",Results!I17=""),"",IF(I24=Results!I17,1+IF(OR($O24=8,$P24=8,$Q24=8),1,0),0))</f>
        <v/>
      </c>
      <c r="AA24" s="4" t="str">
        <f>IF(OR(J24="",Results!J17=""),"",IF(J24=Results!J17,1+IF(OR($O24=9,$P24=9,$Q24=9),1,0),0))</f>
        <v/>
      </c>
      <c r="AB24" s="4" t="str">
        <f>IF(OR(K24="",Results!K17=""),"",IF(K24=Results!K17,1+IF(OR($O24=10,$P24=10,$Q24=10),1,0),0))</f>
        <v/>
      </c>
      <c r="AC24" s="4" t="str">
        <f>IF(OR(L24="",Results!L17=""),"",IF(L24=Results!L17,1+IF(OR($O24=11,$P24=11,$Q24=11),1,0),0))</f>
        <v/>
      </c>
      <c r="AD24" s="4" t="str">
        <f>IF(OR(M24="",Results!M17=""),"",IF(M24=Results!M17,1+IF(OR($O24=12,$P24=12,$Q24=12),1,0),0))</f>
        <v/>
      </c>
      <c r="AE24" s="4" t="str">
        <f>IF(OR(N24="",Results!N17=""),"",IF(N24=Results!N17,1+IF(OR($O24=13,$P24=13,$Q24=13),1,0),0))</f>
        <v/>
      </c>
      <c r="AF24" s="11">
        <f t="shared" si="0"/>
        <v>0</v>
      </c>
      <c r="AG24" s="4" t="str">
        <f>IF(OR($R24="",Results!O17=""),"",ABS($R24-Results!O17))</f>
        <v/>
      </c>
      <c r="AH24" s="12">
        <v>47</v>
      </c>
      <c r="AI24" s="13" t="str">
        <f>IF(OR(B24="",Results!B17=""),"",IF(AND(B24=Results!B17,Results!B17&lt;&gt;Games!$C$161),1,0))</f>
        <v/>
      </c>
      <c r="AJ24" s="13" t="str">
        <f>IF(OR(C24="",Results!C17=""),"",IF(AND(C24=Results!C17,Results!C17&lt;&gt;Games!$C$162),1,0))</f>
        <v/>
      </c>
      <c r="AK24" s="13" t="str">
        <f>IF(OR(D24="",Results!D17=""),"",IF(AND(D24=Results!D17,Results!D17&lt;&gt;Games!$C$163),1,0))</f>
        <v/>
      </c>
      <c r="AL24" s="13" t="str">
        <f>IF(OR(E24="",Results!E17=""),"",IF(AND(E24=Results!E17,Results!E17&lt;&gt;Games!$C$164),1,0))</f>
        <v/>
      </c>
      <c r="AM24" s="13" t="str">
        <f>IF(OR(F24="",Results!F17=""),"",IF(AND(F24=Results!F17,Results!F17&lt;&gt;Games!$C$165),1,0))</f>
        <v/>
      </c>
      <c r="AN24" s="13" t="str">
        <f>IF(OR(G24="",Results!G17=""),"",IF(AND(G24=Results!G17,Results!G17&lt;&gt;Games!$C$166),1,0))</f>
        <v/>
      </c>
      <c r="AO24" s="13" t="str">
        <f>IF(OR(H24="",Results!H17=""),"",IF(AND(H24=Results!H17,Results!H17&lt;&gt;Games!$C$167),1,0))</f>
        <v/>
      </c>
      <c r="AP24" s="13" t="str">
        <f>IF(OR(I24="",Results!I17=""),"",IF(AND(I24=Results!I17,Results!I17&lt;&gt;Games!$C$168),1,0))</f>
        <v/>
      </c>
      <c r="AQ24" s="13" t="str">
        <f>IF(OR(J24="",Results!J17=""),"",IF(AND(J24=Results!J17,Results!J17&lt;&gt;Games!$C$169),1,0))</f>
        <v/>
      </c>
      <c r="AR24" s="13" t="str">
        <f>IF(OR(K24="",Results!K17=""),"",IF(AND(K24=Results!K17,Results!K17&lt;&gt;Games!$C$170),1,0))</f>
        <v/>
      </c>
      <c r="AS24" s="13" t="str">
        <f>IF(OR(L24="",Results!L17=""),"",IF(AND(L24=Results!L17,Results!L17&lt;&gt;Games!$C$171),1,0))</f>
        <v/>
      </c>
      <c r="AT24" s="13" t="str">
        <f>IF(OR(M24="",Results!M17=""),"",IF(AND(M24=Results!M17,Results!M17&lt;&gt;Games!$C$172),1,0))</f>
        <v/>
      </c>
      <c r="AU24" s="13" t="str">
        <f>IF(OR(N24="",Results!N17=""),"",IF(AND(N24=Results!N17,Results!N17&lt;&gt;Games!$C$173),1,0))</f>
        <v/>
      </c>
      <c r="AV24" s="14">
        <f t="shared" si="1"/>
        <v>0</v>
      </c>
    </row>
    <row r="25" spans="1:48" ht="15" customHeight="1" x14ac:dyDescent="0.25">
      <c r="A25" s="4" t="str">
        <f>INDEX(Players!$D$6:$D$69,MATCH(54,Players!$A$6:$A$69,0))</f>
        <v>Jamie Z.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4" t="str">
        <f>IF(OR(B25="",Results!B17=""),"",IF(B25=Results!B17,1+IF(OR($O25=1,$P25=1,$Q25=1),1,0),0))</f>
        <v/>
      </c>
      <c r="T25" s="4" t="str">
        <f>IF(OR(C25="",Results!C17=""),"",IF(C25=Results!C17,1+IF(OR($O25=2,$P25=2,$Q25=2),1,0),0))</f>
        <v/>
      </c>
      <c r="U25" s="4" t="str">
        <f>IF(OR(D25="",Results!D17=""),"",IF(D25=Results!D17,1+IF(OR($O25=3,$P25=3,$Q25=3),1,0),0))</f>
        <v/>
      </c>
      <c r="V25" s="4" t="str">
        <f>IF(OR(E25="",Results!E17=""),"",IF(E25=Results!E17,1+IF(OR($O25=4,$P25=4,$Q25=4),1,0),0))</f>
        <v/>
      </c>
      <c r="W25" s="4" t="str">
        <f>IF(OR(F25="",Results!F17=""),"",IF(F25=Results!F17,1+IF(OR($O25=5,$P25=5,$Q25=5),1,0),0))</f>
        <v/>
      </c>
      <c r="X25" s="4" t="str">
        <f>IF(OR(G25="",Results!G17=""),"",IF(G25=Results!G17,1+IF(OR($O25=6,$P25=6,$Q25=6),1,0),0))</f>
        <v/>
      </c>
      <c r="Y25" s="4" t="str">
        <f>IF(OR(H25="",Results!H17=""),"",IF(H25=Results!H17,1+IF(OR($O25=7,$P25=7,$Q25=7),1,0),0))</f>
        <v/>
      </c>
      <c r="Z25" s="4" t="str">
        <f>IF(OR(I25="",Results!I17=""),"",IF(I25=Results!I17,1+IF(OR($O25=8,$P25=8,$Q25=8),1,0),0))</f>
        <v/>
      </c>
      <c r="AA25" s="4" t="str">
        <f>IF(OR(J25="",Results!J17=""),"",IF(J25=Results!J17,1+IF(OR($O25=9,$P25=9,$Q25=9),1,0),0))</f>
        <v/>
      </c>
      <c r="AB25" s="4" t="str">
        <f>IF(OR(K25="",Results!K17=""),"",IF(K25=Results!K17,1+IF(OR($O25=10,$P25=10,$Q25=10),1,0),0))</f>
        <v/>
      </c>
      <c r="AC25" s="4" t="str">
        <f>IF(OR(L25="",Results!L17=""),"",IF(L25=Results!L17,1+IF(OR($O25=11,$P25=11,$Q25=11),1,0),0))</f>
        <v/>
      </c>
      <c r="AD25" s="4" t="str">
        <f>IF(OR(M25="",Results!M17=""),"",IF(M25=Results!M17,1+IF(OR($O25=12,$P25=12,$Q25=12),1,0),0))</f>
        <v/>
      </c>
      <c r="AE25" s="4" t="str">
        <f>IF(OR(N25="",Results!N17=""),"",IF(N25=Results!N17,1+IF(OR($O25=13,$P25=13,$Q25=13),1,0),0))</f>
        <v/>
      </c>
      <c r="AF25" s="11">
        <f t="shared" si="0"/>
        <v>0</v>
      </c>
      <c r="AG25" s="4" t="str">
        <f>IF(OR($R25="",Results!O17=""),"",ABS($R25-Results!O17))</f>
        <v/>
      </c>
      <c r="AH25" s="12">
        <v>54</v>
      </c>
      <c r="AI25" s="13" t="str">
        <f>IF(OR(B25="",Results!B17=""),"",IF(AND(B25=Results!B17,Results!B17&lt;&gt;Games!$C$161),1,0))</f>
        <v/>
      </c>
      <c r="AJ25" s="13" t="str">
        <f>IF(OR(C25="",Results!C17=""),"",IF(AND(C25=Results!C17,Results!C17&lt;&gt;Games!$C$162),1,0))</f>
        <v/>
      </c>
      <c r="AK25" s="13" t="str">
        <f>IF(OR(D25="",Results!D17=""),"",IF(AND(D25=Results!D17,Results!D17&lt;&gt;Games!$C$163),1,0))</f>
        <v/>
      </c>
      <c r="AL25" s="13" t="str">
        <f>IF(OR(E25="",Results!E17=""),"",IF(AND(E25=Results!E17,Results!E17&lt;&gt;Games!$C$164),1,0))</f>
        <v/>
      </c>
      <c r="AM25" s="13" t="str">
        <f>IF(OR(F25="",Results!F17=""),"",IF(AND(F25=Results!F17,Results!F17&lt;&gt;Games!$C$165),1,0))</f>
        <v/>
      </c>
      <c r="AN25" s="13" t="str">
        <f>IF(OR(G25="",Results!G17=""),"",IF(AND(G25=Results!G17,Results!G17&lt;&gt;Games!$C$166),1,0))</f>
        <v/>
      </c>
      <c r="AO25" s="13" t="str">
        <f>IF(OR(H25="",Results!H17=""),"",IF(AND(H25=Results!H17,Results!H17&lt;&gt;Games!$C$167),1,0))</f>
        <v/>
      </c>
      <c r="AP25" s="13" t="str">
        <f>IF(OR(I25="",Results!I17=""),"",IF(AND(I25=Results!I17,Results!I17&lt;&gt;Games!$C$168),1,0))</f>
        <v/>
      </c>
      <c r="AQ25" s="13" t="str">
        <f>IF(OR(J25="",Results!J17=""),"",IF(AND(J25=Results!J17,Results!J17&lt;&gt;Games!$C$169),1,0))</f>
        <v/>
      </c>
      <c r="AR25" s="13" t="str">
        <f>IF(OR(K25="",Results!K17=""),"",IF(AND(K25=Results!K17,Results!K17&lt;&gt;Games!$C$170),1,0))</f>
        <v/>
      </c>
      <c r="AS25" s="13" t="str">
        <f>IF(OR(L25="",Results!L17=""),"",IF(AND(L25=Results!L17,Results!L17&lt;&gt;Games!$C$171),1,0))</f>
        <v/>
      </c>
      <c r="AT25" s="13" t="str">
        <f>IF(OR(M25="",Results!M17=""),"",IF(AND(M25=Results!M17,Results!M17&lt;&gt;Games!$C$172),1,0))</f>
        <v/>
      </c>
      <c r="AU25" s="13" t="str">
        <f>IF(OR(N25="",Results!N17=""),"",IF(AND(N25=Results!N17,Results!N17&lt;&gt;Games!$C$173),1,0))</f>
        <v/>
      </c>
      <c r="AV25" s="14">
        <f t="shared" si="1"/>
        <v>0</v>
      </c>
    </row>
    <row r="26" spans="1:48" ht="15" customHeight="1" x14ac:dyDescent="0.25">
      <c r="A26" s="4" t="str">
        <f>INDEX(Players!$D$6:$D$69,MATCH(48,Players!$A$6:$A$69,0))</f>
        <v>JC B.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4" t="str">
        <f>IF(OR(B26="",Results!B17=""),"",IF(B26=Results!B17,1+IF(OR($O26=1,$P26=1,$Q26=1),1,0),0))</f>
        <v/>
      </c>
      <c r="T26" s="4" t="str">
        <f>IF(OR(C26="",Results!C17=""),"",IF(C26=Results!C17,1+IF(OR($O26=2,$P26=2,$Q26=2),1,0),0))</f>
        <v/>
      </c>
      <c r="U26" s="4" t="str">
        <f>IF(OR(D26="",Results!D17=""),"",IF(D26=Results!D17,1+IF(OR($O26=3,$P26=3,$Q26=3),1,0),0))</f>
        <v/>
      </c>
      <c r="V26" s="4" t="str">
        <f>IF(OR(E26="",Results!E17=""),"",IF(E26=Results!E17,1+IF(OR($O26=4,$P26=4,$Q26=4),1,0),0))</f>
        <v/>
      </c>
      <c r="W26" s="4" t="str">
        <f>IF(OR(F26="",Results!F17=""),"",IF(F26=Results!F17,1+IF(OR($O26=5,$P26=5,$Q26=5),1,0),0))</f>
        <v/>
      </c>
      <c r="X26" s="4" t="str">
        <f>IF(OR(G26="",Results!G17=""),"",IF(G26=Results!G17,1+IF(OR($O26=6,$P26=6,$Q26=6),1,0),0))</f>
        <v/>
      </c>
      <c r="Y26" s="4" t="str">
        <f>IF(OR(H26="",Results!H17=""),"",IF(H26=Results!H17,1+IF(OR($O26=7,$P26=7,$Q26=7),1,0),0))</f>
        <v/>
      </c>
      <c r="Z26" s="4" t="str">
        <f>IF(OR(I26="",Results!I17=""),"",IF(I26=Results!I17,1+IF(OR($O26=8,$P26=8,$Q26=8),1,0),0))</f>
        <v/>
      </c>
      <c r="AA26" s="4" t="str">
        <f>IF(OR(J26="",Results!J17=""),"",IF(J26=Results!J17,1+IF(OR($O26=9,$P26=9,$Q26=9),1,0),0))</f>
        <v/>
      </c>
      <c r="AB26" s="4" t="str">
        <f>IF(OR(K26="",Results!K17=""),"",IF(K26=Results!K17,1+IF(OR($O26=10,$P26=10,$Q26=10),1,0),0))</f>
        <v/>
      </c>
      <c r="AC26" s="4" t="str">
        <f>IF(OR(L26="",Results!L17=""),"",IF(L26=Results!L17,1+IF(OR($O26=11,$P26=11,$Q26=11),1,0),0))</f>
        <v/>
      </c>
      <c r="AD26" s="4" t="str">
        <f>IF(OR(M26="",Results!M17=""),"",IF(M26=Results!M17,1+IF(OR($O26=12,$P26=12,$Q26=12),1,0),0))</f>
        <v/>
      </c>
      <c r="AE26" s="4" t="str">
        <f>IF(OR(N26="",Results!N17=""),"",IF(N26=Results!N17,1+IF(OR($O26=13,$P26=13,$Q26=13),1,0),0))</f>
        <v/>
      </c>
      <c r="AF26" s="11">
        <f t="shared" si="0"/>
        <v>0</v>
      </c>
      <c r="AG26" s="4" t="str">
        <f>IF(OR($R26="",Results!O17=""),"",ABS($R26-Results!O17))</f>
        <v/>
      </c>
      <c r="AH26" s="12">
        <v>48</v>
      </c>
      <c r="AI26" s="13" t="str">
        <f>IF(OR(B26="",Results!B17=""),"",IF(AND(B26=Results!B17,Results!B17&lt;&gt;Games!$C$161),1,0))</f>
        <v/>
      </c>
      <c r="AJ26" s="13" t="str">
        <f>IF(OR(C26="",Results!C17=""),"",IF(AND(C26=Results!C17,Results!C17&lt;&gt;Games!$C$162),1,0))</f>
        <v/>
      </c>
      <c r="AK26" s="13" t="str">
        <f>IF(OR(D26="",Results!D17=""),"",IF(AND(D26=Results!D17,Results!D17&lt;&gt;Games!$C$163),1,0))</f>
        <v/>
      </c>
      <c r="AL26" s="13" t="str">
        <f>IF(OR(E26="",Results!E17=""),"",IF(AND(E26=Results!E17,Results!E17&lt;&gt;Games!$C$164),1,0))</f>
        <v/>
      </c>
      <c r="AM26" s="13" t="str">
        <f>IF(OR(F26="",Results!F17=""),"",IF(AND(F26=Results!F17,Results!F17&lt;&gt;Games!$C$165),1,0))</f>
        <v/>
      </c>
      <c r="AN26" s="13" t="str">
        <f>IF(OR(G26="",Results!G17=""),"",IF(AND(G26=Results!G17,Results!G17&lt;&gt;Games!$C$166),1,0))</f>
        <v/>
      </c>
      <c r="AO26" s="13" t="str">
        <f>IF(OR(H26="",Results!H17=""),"",IF(AND(H26=Results!H17,Results!H17&lt;&gt;Games!$C$167),1,0))</f>
        <v/>
      </c>
      <c r="AP26" s="13" t="str">
        <f>IF(OR(I26="",Results!I17=""),"",IF(AND(I26=Results!I17,Results!I17&lt;&gt;Games!$C$168),1,0))</f>
        <v/>
      </c>
      <c r="AQ26" s="13" t="str">
        <f>IF(OR(J26="",Results!J17=""),"",IF(AND(J26=Results!J17,Results!J17&lt;&gt;Games!$C$169),1,0))</f>
        <v/>
      </c>
      <c r="AR26" s="13" t="str">
        <f>IF(OR(K26="",Results!K17=""),"",IF(AND(K26=Results!K17,Results!K17&lt;&gt;Games!$C$170),1,0))</f>
        <v/>
      </c>
      <c r="AS26" s="13" t="str">
        <f>IF(OR(L26="",Results!L17=""),"",IF(AND(L26=Results!L17,Results!L17&lt;&gt;Games!$C$171),1,0))</f>
        <v/>
      </c>
      <c r="AT26" s="13" t="str">
        <f>IF(OR(M26="",Results!M17=""),"",IF(AND(M26=Results!M17,Results!M17&lt;&gt;Games!$C$172),1,0))</f>
        <v/>
      </c>
      <c r="AU26" s="13" t="str">
        <f>IF(OR(N26="",Results!N17=""),"",IF(AND(N26=Results!N17,Results!N17&lt;&gt;Games!$C$173),1,0))</f>
        <v/>
      </c>
      <c r="AV26" s="14">
        <f t="shared" si="1"/>
        <v>0</v>
      </c>
    </row>
    <row r="27" spans="1:48" ht="15" customHeight="1" x14ac:dyDescent="0.25">
      <c r="A27" s="4" t="str">
        <f>INDEX(Players!$D$6:$D$69,MATCH(38,Players!$A$6:$A$69,0))</f>
        <v>Jeff D.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4" t="str">
        <f>IF(OR(B27="",Results!B17=""),"",IF(B27=Results!B17,1+IF(OR($O27=1,$P27=1,$Q27=1),1,0),0))</f>
        <v/>
      </c>
      <c r="T27" s="4" t="str">
        <f>IF(OR(C27="",Results!C17=""),"",IF(C27=Results!C17,1+IF(OR($O27=2,$P27=2,$Q27=2),1,0),0))</f>
        <v/>
      </c>
      <c r="U27" s="4" t="str">
        <f>IF(OR(D27="",Results!D17=""),"",IF(D27=Results!D17,1+IF(OR($O27=3,$P27=3,$Q27=3),1,0),0))</f>
        <v/>
      </c>
      <c r="V27" s="4" t="str">
        <f>IF(OR(E27="",Results!E17=""),"",IF(E27=Results!E17,1+IF(OR($O27=4,$P27=4,$Q27=4),1,0),0))</f>
        <v/>
      </c>
      <c r="W27" s="4" t="str">
        <f>IF(OR(F27="",Results!F17=""),"",IF(F27=Results!F17,1+IF(OR($O27=5,$P27=5,$Q27=5),1,0),0))</f>
        <v/>
      </c>
      <c r="X27" s="4" t="str">
        <f>IF(OR(G27="",Results!G17=""),"",IF(G27=Results!G17,1+IF(OR($O27=6,$P27=6,$Q27=6),1,0),0))</f>
        <v/>
      </c>
      <c r="Y27" s="4" t="str">
        <f>IF(OR(H27="",Results!H17=""),"",IF(H27=Results!H17,1+IF(OR($O27=7,$P27=7,$Q27=7),1,0),0))</f>
        <v/>
      </c>
      <c r="Z27" s="4" t="str">
        <f>IF(OR(I27="",Results!I17=""),"",IF(I27=Results!I17,1+IF(OR($O27=8,$P27=8,$Q27=8),1,0),0))</f>
        <v/>
      </c>
      <c r="AA27" s="4" t="str">
        <f>IF(OR(J27="",Results!J17=""),"",IF(J27=Results!J17,1+IF(OR($O27=9,$P27=9,$Q27=9),1,0),0))</f>
        <v/>
      </c>
      <c r="AB27" s="4" t="str">
        <f>IF(OR(K27="",Results!K17=""),"",IF(K27=Results!K17,1+IF(OR($O27=10,$P27=10,$Q27=10),1,0),0))</f>
        <v/>
      </c>
      <c r="AC27" s="4" t="str">
        <f>IF(OR(L27="",Results!L17=""),"",IF(L27=Results!L17,1+IF(OR($O27=11,$P27=11,$Q27=11),1,0),0))</f>
        <v/>
      </c>
      <c r="AD27" s="4" t="str">
        <f>IF(OR(M27="",Results!M17=""),"",IF(M27=Results!M17,1+IF(OR($O27=12,$P27=12,$Q27=12),1,0),0))</f>
        <v/>
      </c>
      <c r="AE27" s="4" t="str">
        <f>IF(OR(N27="",Results!N17=""),"",IF(N27=Results!N17,1+IF(OR($O27=13,$P27=13,$Q27=13),1,0),0))</f>
        <v/>
      </c>
      <c r="AF27" s="11">
        <f t="shared" si="0"/>
        <v>0</v>
      </c>
      <c r="AG27" s="4" t="str">
        <f>IF(OR($R27="",Results!O17=""),"",ABS($R27-Results!O17))</f>
        <v/>
      </c>
      <c r="AH27" s="12">
        <v>38</v>
      </c>
      <c r="AI27" s="13" t="str">
        <f>IF(OR(B27="",Results!B17=""),"",IF(AND(B27=Results!B17,Results!B17&lt;&gt;Games!$C$161),1,0))</f>
        <v/>
      </c>
      <c r="AJ27" s="13" t="str">
        <f>IF(OR(C27="",Results!C17=""),"",IF(AND(C27=Results!C17,Results!C17&lt;&gt;Games!$C$162),1,0))</f>
        <v/>
      </c>
      <c r="AK27" s="13" t="str">
        <f>IF(OR(D27="",Results!D17=""),"",IF(AND(D27=Results!D17,Results!D17&lt;&gt;Games!$C$163),1,0))</f>
        <v/>
      </c>
      <c r="AL27" s="13" t="str">
        <f>IF(OR(E27="",Results!E17=""),"",IF(AND(E27=Results!E17,Results!E17&lt;&gt;Games!$C$164),1,0))</f>
        <v/>
      </c>
      <c r="AM27" s="13" t="str">
        <f>IF(OR(F27="",Results!F17=""),"",IF(AND(F27=Results!F17,Results!F17&lt;&gt;Games!$C$165),1,0))</f>
        <v/>
      </c>
      <c r="AN27" s="13" t="str">
        <f>IF(OR(G27="",Results!G17=""),"",IF(AND(G27=Results!G17,Results!G17&lt;&gt;Games!$C$166),1,0))</f>
        <v/>
      </c>
      <c r="AO27" s="13" t="str">
        <f>IF(OR(H27="",Results!H17=""),"",IF(AND(H27=Results!H17,Results!H17&lt;&gt;Games!$C$167),1,0))</f>
        <v/>
      </c>
      <c r="AP27" s="13" t="str">
        <f>IF(OR(I27="",Results!I17=""),"",IF(AND(I27=Results!I17,Results!I17&lt;&gt;Games!$C$168),1,0))</f>
        <v/>
      </c>
      <c r="AQ27" s="13" t="str">
        <f>IF(OR(J27="",Results!J17=""),"",IF(AND(J27=Results!J17,Results!J17&lt;&gt;Games!$C$169),1,0))</f>
        <v/>
      </c>
      <c r="AR27" s="13" t="str">
        <f>IF(OR(K27="",Results!K17=""),"",IF(AND(K27=Results!K17,Results!K17&lt;&gt;Games!$C$170),1,0))</f>
        <v/>
      </c>
      <c r="AS27" s="13" t="str">
        <f>IF(OR(L27="",Results!L17=""),"",IF(AND(L27=Results!L17,Results!L17&lt;&gt;Games!$C$171),1,0))</f>
        <v/>
      </c>
      <c r="AT27" s="13" t="str">
        <f>IF(OR(M27="",Results!M17=""),"",IF(AND(M27=Results!M17,Results!M17&lt;&gt;Games!$C$172),1,0))</f>
        <v/>
      </c>
      <c r="AU27" s="13" t="str">
        <f>IF(OR(N27="",Results!N17=""),"",IF(AND(N27=Results!N17,Results!N17&lt;&gt;Games!$C$173),1,0))</f>
        <v/>
      </c>
      <c r="AV27" s="14">
        <f t="shared" si="1"/>
        <v>0</v>
      </c>
    </row>
    <row r="28" spans="1:48" ht="15" customHeight="1" x14ac:dyDescent="0.25">
      <c r="A28" s="4" t="str">
        <f>INDEX(Players!$D$6:$D$69,MATCH(60,Players!$A$6:$A$69,0))</f>
        <v>Jeff K.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4" t="str">
        <f>IF(OR(B28="",Results!B17=""),"",IF(B28=Results!B17,1+IF(OR($O28=1,$P28=1,$Q28=1),1,0),0))</f>
        <v/>
      </c>
      <c r="T28" s="4" t="str">
        <f>IF(OR(C28="",Results!C17=""),"",IF(C28=Results!C17,1+IF(OR($O28=2,$P28=2,$Q28=2),1,0),0))</f>
        <v/>
      </c>
      <c r="U28" s="4" t="str">
        <f>IF(OR(D28="",Results!D17=""),"",IF(D28=Results!D17,1+IF(OR($O28=3,$P28=3,$Q28=3),1,0),0))</f>
        <v/>
      </c>
      <c r="V28" s="4" t="str">
        <f>IF(OR(E28="",Results!E17=""),"",IF(E28=Results!E17,1+IF(OR($O28=4,$P28=4,$Q28=4),1,0),0))</f>
        <v/>
      </c>
      <c r="W28" s="4" t="str">
        <f>IF(OR(F28="",Results!F17=""),"",IF(F28=Results!F17,1+IF(OR($O28=5,$P28=5,$Q28=5),1,0),0))</f>
        <v/>
      </c>
      <c r="X28" s="4" t="str">
        <f>IF(OR(G28="",Results!G17=""),"",IF(G28=Results!G17,1+IF(OR($O28=6,$P28=6,$Q28=6),1,0),0))</f>
        <v/>
      </c>
      <c r="Y28" s="4" t="str">
        <f>IF(OR(H28="",Results!H17=""),"",IF(H28=Results!H17,1+IF(OR($O28=7,$P28=7,$Q28=7),1,0),0))</f>
        <v/>
      </c>
      <c r="Z28" s="4" t="str">
        <f>IF(OR(I28="",Results!I17=""),"",IF(I28=Results!I17,1+IF(OR($O28=8,$P28=8,$Q28=8),1,0),0))</f>
        <v/>
      </c>
      <c r="AA28" s="4" t="str">
        <f>IF(OR(J28="",Results!J17=""),"",IF(J28=Results!J17,1+IF(OR($O28=9,$P28=9,$Q28=9),1,0),0))</f>
        <v/>
      </c>
      <c r="AB28" s="4" t="str">
        <f>IF(OR(K28="",Results!K17=""),"",IF(K28=Results!K17,1+IF(OR($O28=10,$P28=10,$Q28=10),1,0),0))</f>
        <v/>
      </c>
      <c r="AC28" s="4" t="str">
        <f>IF(OR(L28="",Results!L17=""),"",IF(L28=Results!L17,1+IF(OR($O28=11,$P28=11,$Q28=11),1,0),0))</f>
        <v/>
      </c>
      <c r="AD28" s="4" t="str">
        <f>IF(OR(M28="",Results!M17=""),"",IF(M28=Results!M17,1+IF(OR($O28=12,$P28=12,$Q28=12),1,0),0))</f>
        <v/>
      </c>
      <c r="AE28" s="4" t="str">
        <f>IF(OR(N28="",Results!N17=""),"",IF(N28=Results!N17,1+IF(OR($O28=13,$P28=13,$Q28=13),1,0),0))</f>
        <v/>
      </c>
      <c r="AF28" s="11">
        <f t="shared" si="0"/>
        <v>0</v>
      </c>
      <c r="AG28" s="4" t="str">
        <f>IF(OR($R28="",Results!O17=""),"",ABS($R28-Results!O17))</f>
        <v/>
      </c>
      <c r="AH28" s="12">
        <v>60</v>
      </c>
      <c r="AI28" s="13" t="str">
        <f>IF(OR(B28="",Results!B17=""),"",IF(AND(B28=Results!B17,Results!B17&lt;&gt;Games!$C$161),1,0))</f>
        <v/>
      </c>
      <c r="AJ28" s="13" t="str">
        <f>IF(OR(C28="",Results!C17=""),"",IF(AND(C28=Results!C17,Results!C17&lt;&gt;Games!$C$162),1,0))</f>
        <v/>
      </c>
      <c r="AK28" s="13" t="str">
        <f>IF(OR(D28="",Results!D17=""),"",IF(AND(D28=Results!D17,Results!D17&lt;&gt;Games!$C$163),1,0))</f>
        <v/>
      </c>
      <c r="AL28" s="13" t="str">
        <f>IF(OR(E28="",Results!E17=""),"",IF(AND(E28=Results!E17,Results!E17&lt;&gt;Games!$C$164),1,0))</f>
        <v/>
      </c>
      <c r="AM28" s="13" t="str">
        <f>IF(OR(F28="",Results!F17=""),"",IF(AND(F28=Results!F17,Results!F17&lt;&gt;Games!$C$165),1,0))</f>
        <v/>
      </c>
      <c r="AN28" s="13" t="str">
        <f>IF(OR(G28="",Results!G17=""),"",IF(AND(G28=Results!G17,Results!G17&lt;&gt;Games!$C$166),1,0))</f>
        <v/>
      </c>
      <c r="AO28" s="13" t="str">
        <f>IF(OR(H28="",Results!H17=""),"",IF(AND(H28=Results!H17,Results!H17&lt;&gt;Games!$C$167),1,0))</f>
        <v/>
      </c>
      <c r="AP28" s="13" t="str">
        <f>IF(OR(I28="",Results!I17=""),"",IF(AND(I28=Results!I17,Results!I17&lt;&gt;Games!$C$168),1,0))</f>
        <v/>
      </c>
      <c r="AQ28" s="13" t="str">
        <f>IF(OR(J28="",Results!J17=""),"",IF(AND(J28=Results!J17,Results!J17&lt;&gt;Games!$C$169),1,0))</f>
        <v/>
      </c>
      <c r="AR28" s="13" t="str">
        <f>IF(OR(K28="",Results!K17=""),"",IF(AND(K28=Results!K17,Results!K17&lt;&gt;Games!$C$170),1,0))</f>
        <v/>
      </c>
      <c r="AS28" s="13" t="str">
        <f>IF(OR(L28="",Results!L17=""),"",IF(AND(L28=Results!L17,Results!L17&lt;&gt;Games!$C$171),1,0))</f>
        <v/>
      </c>
      <c r="AT28" s="13" t="str">
        <f>IF(OR(M28="",Results!M17=""),"",IF(AND(M28=Results!M17,Results!M17&lt;&gt;Games!$C$172),1,0))</f>
        <v/>
      </c>
      <c r="AU28" s="13" t="str">
        <f>IF(OR(N28="",Results!N17=""),"",IF(AND(N28=Results!N17,Results!N17&lt;&gt;Games!$C$173),1,0))</f>
        <v/>
      </c>
      <c r="AV28" s="14">
        <f t="shared" si="1"/>
        <v>0</v>
      </c>
    </row>
    <row r="29" spans="1:48" ht="15" customHeight="1" x14ac:dyDescent="0.25">
      <c r="A29" s="4" t="str">
        <f>INDEX(Players!$D$6:$D$69,MATCH(11,Players!$A$6:$A$69,0))</f>
        <v>Jeff R.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4" t="str">
        <f>IF(OR(B29="",Results!B17=""),"",IF(B29=Results!B17,1+IF(OR($O29=1,$P29=1,$Q29=1),1,0),0))</f>
        <v/>
      </c>
      <c r="T29" s="4" t="str">
        <f>IF(OR(C29="",Results!C17=""),"",IF(C29=Results!C17,1+IF(OR($O29=2,$P29=2,$Q29=2),1,0),0))</f>
        <v/>
      </c>
      <c r="U29" s="4" t="str">
        <f>IF(OR(D29="",Results!D17=""),"",IF(D29=Results!D17,1+IF(OR($O29=3,$P29=3,$Q29=3),1,0),0))</f>
        <v/>
      </c>
      <c r="V29" s="4" t="str">
        <f>IF(OR(E29="",Results!E17=""),"",IF(E29=Results!E17,1+IF(OR($O29=4,$P29=4,$Q29=4),1,0),0))</f>
        <v/>
      </c>
      <c r="W29" s="4" t="str">
        <f>IF(OR(F29="",Results!F17=""),"",IF(F29=Results!F17,1+IF(OR($O29=5,$P29=5,$Q29=5),1,0),0))</f>
        <v/>
      </c>
      <c r="X29" s="4" t="str">
        <f>IF(OR(G29="",Results!G17=""),"",IF(G29=Results!G17,1+IF(OR($O29=6,$P29=6,$Q29=6),1,0),0))</f>
        <v/>
      </c>
      <c r="Y29" s="4" t="str">
        <f>IF(OR(H29="",Results!H17=""),"",IF(H29=Results!H17,1+IF(OR($O29=7,$P29=7,$Q29=7),1,0),0))</f>
        <v/>
      </c>
      <c r="Z29" s="4" t="str">
        <f>IF(OR(I29="",Results!I17=""),"",IF(I29=Results!I17,1+IF(OR($O29=8,$P29=8,$Q29=8),1,0),0))</f>
        <v/>
      </c>
      <c r="AA29" s="4" t="str">
        <f>IF(OR(J29="",Results!J17=""),"",IF(J29=Results!J17,1+IF(OR($O29=9,$P29=9,$Q29=9),1,0),0))</f>
        <v/>
      </c>
      <c r="AB29" s="4" t="str">
        <f>IF(OR(K29="",Results!K17=""),"",IF(K29=Results!K17,1+IF(OR($O29=10,$P29=10,$Q29=10),1,0),0))</f>
        <v/>
      </c>
      <c r="AC29" s="4" t="str">
        <f>IF(OR(L29="",Results!L17=""),"",IF(L29=Results!L17,1+IF(OR($O29=11,$P29=11,$Q29=11),1,0),0))</f>
        <v/>
      </c>
      <c r="AD29" s="4" t="str">
        <f>IF(OR(M29="",Results!M17=""),"",IF(M29=Results!M17,1+IF(OR($O29=12,$P29=12,$Q29=12),1,0),0))</f>
        <v/>
      </c>
      <c r="AE29" s="4" t="str">
        <f>IF(OR(N29="",Results!N17=""),"",IF(N29=Results!N17,1+IF(OR($O29=13,$P29=13,$Q29=13),1,0),0))</f>
        <v/>
      </c>
      <c r="AF29" s="11">
        <f t="shared" si="0"/>
        <v>0</v>
      </c>
      <c r="AG29" s="4" t="str">
        <f>IF(OR($R29="",Results!O17=""),"",ABS($R29-Results!O17))</f>
        <v/>
      </c>
      <c r="AH29" s="12">
        <v>11</v>
      </c>
      <c r="AI29" s="13" t="str">
        <f>IF(OR(B29="",Results!B17=""),"",IF(AND(B29=Results!B17,Results!B17&lt;&gt;Games!$C$161),1,0))</f>
        <v/>
      </c>
      <c r="AJ29" s="13" t="str">
        <f>IF(OR(C29="",Results!C17=""),"",IF(AND(C29=Results!C17,Results!C17&lt;&gt;Games!$C$162),1,0))</f>
        <v/>
      </c>
      <c r="AK29" s="13" t="str">
        <f>IF(OR(D29="",Results!D17=""),"",IF(AND(D29=Results!D17,Results!D17&lt;&gt;Games!$C$163),1,0))</f>
        <v/>
      </c>
      <c r="AL29" s="13" t="str">
        <f>IF(OR(E29="",Results!E17=""),"",IF(AND(E29=Results!E17,Results!E17&lt;&gt;Games!$C$164),1,0))</f>
        <v/>
      </c>
      <c r="AM29" s="13" t="str">
        <f>IF(OR(F29="",Results!F17=""),"",IF(AND(F29=Results!F17,Results!F17&lt;&gt;Games!$C$165),1,0))</f>
        <v/>
      </c>
      <c r="AN29" s="13" t="str">
        <f>IF(OR(G29="",Results!G17=""),"",IF(AND(G29=Results!G17,Results!G17&lt;&gt;Games!$C$166),1,0))</f>
        <v/>
      </c>
      <c r="AO29" s="13" t="str">
        <f>IF(OR(H29="",Results!H17=""),"",IF(AND(H29=Results!H17,Results!H17&lt;&gt;Games!$C$167),1,0))</f>
        <v/>
      </c>
      <c r="AP29" s="13" t="str">
        <f>IF(OR(I29="",Results!I17=""),"",IF(AND(I29=Results!I17,Results!I17&lt;&gt;Games!$C$168),1,0))</f>
        <v/>
      </c>
      <c r="AQ29" s="13" t="str">
        <f>IF(OR(J29="",Results!J17=""),"",IF(AND(J29=Results!J17,Results!J17&lt;&gt;Games!$C$169),1,0))</f>
        <v/>
      </c>
      <c r="AR29" s="13" t="str">
        <f>IF(OR(K29="",Results!K17=""),"",IF(AND(K29=Results!K17,Results!K17&lt;&gt;Games!$C$170),1,0))</f>
        <v/>
      </c>
      <c r="AS29" s="13" t="str">
        <f>IF(OR(L29="",Results!L17=""),"",IF(AND(L29=Results!L17,Results!L17&lt;&gt;Games!$C$171),1,0))</f>
        <v/>
      </c>
      <c r="AT29" s="13" t="str">
        <f>IF(OR(M29="",Results!M17=""),"",IF(AND(M29=Results!M17,Results!M17&lt;&gt;Games!$C$172),1,0))</f>
        <v/>
      </c>
      <c r="AU29" s="13" t="str">
        <f>IF(OR(N29="",Results!N17=""),"",IF(AND(N29=Results!N17,Results!N17&lt;&gt;Games!$C$173),1,0))</f>
        <v/>
      </c>
      <c r="AV29" s="14">
        <f t="shared" si="1"/>
        <v>0</v>
      </c>
    </row>
    <row r="30" spans="1:48" ht="15" customHeight="1" x14ac:dyDescent="0.25">
      <c r="A30" s="4" t="str">
        <f>INDEX(Players!$D$6:$D$69,MATCH(12,Players!$A$6:$A$69,0))</f>
        <v>Jill B.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4" t="str">
        <f>IF(OR(B30="",Results!B17=""),"",IF(B30=Results!B17,1+IF(OR($O30=1,$P30=1,$Q30=1),1,0),0))</f>
        <v/>
      </c>
      <c r="T30" s="4" t="str">
        <f>IF(OR(C30="",Results!C17=""),"",IF(C30=Results!C17,1+IF(OR($O30=2,$P30=2,$Q30=2),1,0),0))</f>
        <v/>
      </c>
      <c r="U30" s="4" t="str">
        <f>IF(OR(D30="",Results!D17=""),"",IF(D30=Results!D17,1+IF(OR($O30=3,$P30=3,$Q30=3),1,0),0))</f>
        <v/>
      </c>
      <c r="V30" s="4" t="str">
        <f>IF(OR(E30="",Results!E17=""),"",IF(E30=Results!E17,1+IF(OR($O30=4,$P30=4,$Q30=4),1,0),0))</f>
        <v/>
      </c>
      <c r="W30" s="4" t="str">
        <f>IF(OR(F30="",Results!F17=""),"",IF(F30=Results!F17,1+IF(OR($O30=5,$P30=5,$Q30=5),1,0),0))</f>
        <v/>
      </c>
      <c r="X30" s="4" t="str">
        <f>IF(OR(G30="",Results!G17=""),"",IF(G30=Results!G17,1+IF(OR($O30=6,$P30=6,$Q30=6),1,0),0))</f>
        <v/>
      </c>
      <c r="Y30" s="4" t="str">
        <f>IF(OR(H30="",Results!H17=""),"",IF(H30=Results!H17,1+IF(OR($O30=7,$P30=7,$Q30=7),1,0),0))</f>
        <v/>
      </c>
      <c r="Z30" s="4" t="str">
        <f>IF(OR(I30="",Results!I17=""),"",IF(I30=Results!I17,1+IF(OR($O30=8,$P30=8,$Q30=8),1,0),0))</f>
        <v/>
      </c>
      <c r="AA30" s="4" t="str">
        <f>IF(OR(J30="",Results!J17=""),"",IF(J30=Results!J17,1+IF(OR($O30=9,$P30=9,$Q30=9),1,0),0))</f>
        <v/>
      </c>
      <c r="AB30" s="4" t="str">
        <f>IF(OR(K30="",Results!K17=""),"",IF(K30=Results!K17,1+IF(OR($O30=10,$P30=10,$Q30=10),1,0),0))</f>
        <v/>
      </c>
      <c r="AC30" s="4" t="str">
        <f>IF(OR(L30="",Results!L17=""),"",IF(L30=Results!L17,1+IF(OR($O30=11,$P30=11,$Q30=11),1,0),0))</f>
        <v/>
      </c>
      <c r="AD30" s="4" t="str">
        <f>IF(OR(M30="",Results!M17=""),"",IF(M30=Results!M17,1+IF(OR($O30=12,$P30=12,$Q30=12),1,0),0))</f>
        <v/>
      </c>
      <c r="AE30" s="4" t="str">
        <f>IF(OR(N30="",Results!N17=""),"",IF(N30=Results!N17,1+IF(OR($O30=13,$P30=13,$Q30=13),1,0),0))</f>
        <v/>
      </c>
      <c r="AF30" s="11">
        <f t="shared" si="0"/>
        <v>0</v>
      </c>
      <c r="AG30" s="4" t="str">
        <f>IF(OR($R30="",Results!O17=""),"",ABS($R30-Results!O17))</f>
        <v/>
      </c>
      <c r="AH30" s="12">
        <v>12</v>
      </c>
      <c r="AI30" s="13" t="str">
        <f>IF(OR(B30="",Results!B17=""),"",IF(AND(B30=Results!B17,Results!B17&lt;&gt;Games!$C$161),1,0))</f>
        <v/>
      </c>
      <c r="AJ30" s="13" t="str">
        <f>IF(OR(C30="",Results!C17=""),"",IF(AND(C30=Results!C17,Results!C17&lt;&gt;Games!$C$162),1,0))</f>
        <v/>
      </c>
      <c r="AK30" s="13" t="str">
        <f>IF(OR(D30="",Results!D17=""),"",IF(AND(D30=Results!D17,Results!D17&lt;&gt;Games!$C$163),1,0))</f>
        <v/>
      </c>
      <c r="AL30" s="13" t="str">
        <f>IF(OR(E30="",Results!E17=""),"",IF(AND(E30=Results!E17,Results!E17&lt;&gt;Games!$C$164),1,0))</f>
        <v/>
      </c>
      <c r="AM30" s="13" t="str">
        <f>IF(OR(F30="",Results!F17=""),"",IF(AND(F30=Results!F17,Results!F17&lt;&gt;Games!$C$165),1,0))</f>
        <v/>
      </c>
      <c r="AN30" s="13" t="str">
        <f>IF(OR(G30="",Results!G17=""),"",IF(AND(G30=Results!G17,Results!G17&lt;&gt;Games!$C$166),1,0))</f>
        <v/>
      </c>
      <c r="AO30" s="13" t="str">
        <f>IF(OR(H30="",Results!H17=""),"",IF(AND(H30=Results!H17,Results!H17&lt;&gt;Games!$C$167),1,0))</f>
        <v/>
      </c>
      <c r="AP30" s="13" t="str">
        <f>IF(OR(I30="",Results!I17=""),"",IF(AND(I30=Results!I17,Results!I17&lt;&gt;Games!$C$168),1,0))</f>
        <v/>
      </c>
      <c r="AQ30" s="13" t="str">
        <f>IF(OR(J30="",Results!J17=""),"",IF(AND(J30=Results!J17,Results!J17&lt;&gt;Games!$C$169),1,0))</f>
        <v/>
      </c>
      <c r="AR30" s="13" t="str">
        <f>IF(OR(K30="",Results!K17=""),"",IF(AND(K30=Results!K17,Results!K17&lt;&gt;Games!$C$170),1,0))</f>
        <v/>
      </c>
      <c r="AS30" s="13" t="str">
        <f>IF(OR(L30="",Results!L17=""),"",IF(AND(L30=Results!L17,Results!L17&lt;&gt;Games!$C$171),1,0))</f>
        <v/>
      </c>
      <c r="AT30" s="13" t="str">
        <f>IF(OR(M30="",Results!M17=""),"",IF(AND(M30=Results!M17,Results!M17&lt;&gt;Games!$C$172),1,0))</f>
        <v/>
      </c>
      <c r="AU30" s="13" t="str">
        <f>IF(OR(N30="",Results!N17=""),"",IF(AND(N30=Results!N17,Results!N17&lt;&gt;Games!$C$173),1,0))</f>
        <v/>
      </c>
      <c r="AV30" s="14">
        <f t="shared" si="1"/>
        <v>0</v>
      </c>
    </row>
    <row r="31" spans="1:48" ht="15" customHeight="1" x14ac:dyDescent="0.25">
      <c r="A31" s="4" t="str">
        <f>INDEX(Players!$D$6:$D$69,MATCH(13,Players!$A$6:$A$69,0))</f>
        <v>Joel G.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4" t="str">
        <f>IF(OR(B31="",Results!B17=""),"",IF(B31=Results!B17,1+IF(OR($O31=1,$P31=1,$Q31=1),1,0),0))</f>
        <v/>
      </c>
      <c r="T31" s="4" t="str">
        <f>IF(OR(C31="",Results!C17=""),"",IF(C31=Results!C17,1+IF(OR($O31=2,$P31=2,$Q31=2),1,0),0))</f>
        <v/>
      </c>
      <c r="U31" s="4" t="str">
        <f>IF(OR(D31="",Results!D17=""),"",IF(D31=Results!D17,1+IF(OR($O31=3,$P31=3,$Q31=3),1,0),0))</f>
        <v/>
      </c>
      <c r="V31" s="4" t="str">
        <f>IF(OR(E31="",Results!E17=""),"",IF(E31=Results!E17,1+IF(OR($O31=4,$P31=4,$Q31=4),1,0),0))</f>
        <v/>
      </c>
      <c r="W31" s="4" t="str">
        <f>IF(OR(F31="",Results!F17=""),"",IF(F31=Results!F17,1+IF(OR($O31=5,$P31=5,$Q31=5),1,0),0))</f>
        <v/>
      </c>
      <c r="X31" s="4" t="str">
        <f>IF(OR(G31="",Results!G17=""),"",IF(G31=Results!G17,1+IF(OR($O31=6,$P31=6,$Q31=6),1,0),0))</f>
        <v/>
      </c>
      <c r="Y31" s="4" t="str">
        <f>IF(OR(H31="",Results!H17=""),"",IF(H31=Results!H17,1+IF(OR($O31=7,$P31=7,$Q31=7),1,0),0))</f>
        <v/>
      </c>
      <c r="Z31" s="4" t="str">
        <f>IF(OR(I31="",Results!I17=""),"",IF(I31=Results!I17,1+IF(OR($O31=8,$P31=8,$Q31=8),1,0),0))</f>
        <v/>
      </c>
      <c r="AA31" s="4" t="str">
        <f>IF(OR(J31="",Results!J17=""),"",IF(J31=Results!J17,1+IF(OR($O31=9,$P31=9,$Q31=9),1,0),0))</f>
        <v/>
      </c>
      <c r="AB31" s="4" t="str">
        <f>IF(OR(K31="",Results!K17=""),"",IF(K31=Results!K17,1+IF(OR($O31=10,$P31=10,$Q31=10),1,0),0))</f>
        <v/>
      </c>
      <c r="AC31" s="4" t="str">
        <f>IF(OR(L31="",Results!L17=""),"",IF(L31=Results!L17,1+IF(OR($O31=11,$P31=11,$Q31=11),1,0),0))</f>
        <v/>
      </c>
      <c r="AD31" s="4" t="str">
        <f>IF(OR(M31="",Results!M17=""),"",IF(M31=Results!M17,1+IF(OR($O31=12,$P31=12,$Q31=12),1,0),0))</f>
        <v/>
      </c>
      <c r="AE31" s="4" t="str">
        <f>IF(OR(N31="",Results!N17=""),"",IF(N31=Results!N17,1+IF(OR($O31=13,$P31=13,$Q31=13),1,0),0))</f>
        <v/>
      </c>
      <c r="AF31" s="11">
        <f t="shared" si="0"/>
        <v>0</v>
      </c>
      <c r="AG31" s="4" t="str">
        <f>IF(OR($R31="",Results!O17=""),"",ABS($R31-Results!O17))</f>
        <v/>
      </c>
      <c r="AH31" s="12">
        <v>13</v>
      </c>
      <c r="AI31" s="13" t="str">
        <f>IF(OR(B31="",Results!B17=""),"",IF(AND(B31=Results!B17,Results!B17&lt;&gt;Games!$C$161),1,0))</f>
        <v/>
      </c>
      <c r="AJ31" s="13" t="str">
        <f>IF(OR(C31="",Results!C17=""),"",IF(AND(C31=Results!C17,Results!C17&lt;&gt;Games!$C$162),1,0))</f>
        <v/>
      </c>
      <c r="AK31" s="13" t="str">
        <f>IF(OR(D31="",Results!D17=""),"",IF(AND(D31=Results!D17,Results!D17&lt;&gt;Games!$C$163),1,0))</f>
        <v/>
      </c>
      <c r="AL31" s="13" t="str">
        <f>IF(OR(E31="",Results!E17=""),"",IF(AND(E31=Results!E17,Results!E17&lt;&gt;Games!$C$164),1,0))</f>
        <v/>
      </c>
      <c r="AM31" s="13" t="str">
        <f>IF(OR(F31="",Results!F17=""),"",IF(AND(F31=Results!F17,Results!F17&lt;&gt;Games!$C$165),1,0))</f>
        <v/>
      </c>
      <c r="AN31" s="13" t="str">
        <f>IF(OR(G31="",Results!G17=""),"",IF(AND(G31=Results!G17,Results!G17&lt;&gt;Games!$C$166),1,0))</f>
        <v/>
      </c>
      <c r="AO31" s="13" t="str">
        <f>IF(OR(H31="",Results!H17=""),"",IF(AND(H31=Results!H17,Results!H17&lt;&gt;Games!$C$167),1,0))</f>
        <v/>
      </c>
      <c r="AP31" s="13" t="str">
        <f>IF(OR(I31="",Results!I17=""),"",IF(AND(I31=Results!I17,Results!I17&lt;&gt;Games!$C$168),1,0))</f>
        <v/>
      </c>
      <c r="AQ31" s="13" t="str">
        <f>IF(OR(J31="",Results!J17=""),"",IF(AND(J31=Results!J17,Results!J17&lt;&gt;Games!$C$169),1,0))</f>
        <v/>
      </c>
      <c r="AR31" s="13" t="str">
        <f>IF(OR(K31="",Results!K17=""),"",IF(AND(K31=Results!K17,Results!K17&lt;&gt;Games!$C$170),1,0))</f>
        <v/>
      </c>
      <c r="AS31" s="13" t="str">
        <f>IF(OR(L31="",Results!L17=""),"",IF(AND(L31=Results!L17,Results!L17&lt;&gt;Games!$C$171),1,0))</f>
        <v/>
      </c>
      <c r="AT31" s="13" t="str">
        <f>IF(OR(M31="",Results!M17=""),"",IF(AND(M31=Results!M17,Results!M17&lt;&gt;Games!$C$172),1,0))</f>
        <v/>
      </c>
      <c r="AU31" s="13" t="str">
        <f>IF(OR(N31="",Results!N17=""),"",IF(AND(N31=Results!N17,Results!N17&lt;&gt;Games!$C$173),1,0))</f>
        <v/>
      </c>
      <c r="AV31" s="14">
        <f t="shared" si="1"/>
        <v>0</v>
      </c>
    </row>
    <row r="32" spans="1:48" ht="15" customHeight="1" x14ac:dyDescent="0.25">
      <c r="A32" s="4" t="str">
        <f>INDEX(Players!$D$6:$D$69,MATCH(14,Players!$A$6:$A$69,0))</f>
        <v>John K.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4" t="str">
        <f>IF(OR(B32="",Results!B17=""),"",IF(B32=Results!B17,1+IF(OR($O32=1,$P32=1,$Q32=1),1,0),0))</f>
        <v/>
      </c>
      <c r="T32" s="4" t="str">
        <f>IF(OR(C32="",Results!C17=""),"",IF(C32=Results!C17,1+IF(OR($O32=2,$P32=2,$Q32=2),1,0),0))</f>
        <v/>
      </c>
      <c r="U32" s="4" t="str">
        <f>IF(OR(D32="",Results!D17=""),"",IF(D32=Results!D17,1+IF(OR($O32=3,$P32=3,$Q32=3),1,0),0))</f>
        <v/>
      </c>
      <c r="V32" s="4" t="str">
        <f>IF(OR(E32="",Results!E17=""),"",IF(E32=Results!E17,1+IF(OR($O32=4,$P32=4,$Q32=4),1,0),0))</f>
        <v/>
      </c>
      <c r="W32" s="4" t="str">
        <f>IF(OR(F32="",Results!F17=""),"",IF(F32=Results!F17,1+IF(OR($O32=5,$P32=5,$Q32=5),1,0),0))</f>
        <v/>
      </c>
      <c r="X32" s="4" t="str">
        <f>IF(OR(G32="",Results!G17=""),"",IF(G32=Results!G17,1+IF(OR($O32=6,$P32=6,$Q32=6),1,0),0))</f>
        <v/>
      </c>
      <c r="Y32" s="4" t="str">
        <f>IF(OR(H32="",Results!H17=""),"",IF(H32=Results!H17,1+IF(OR($O32=7,$P32=7,$Q32=7),1,0),0))</f>
        <v/>
      </c>
      <c r="Z32" s="4" t="str">
        <f>IF(OR(I32="",Results!I17=""),"",IF(I32=Results!I17,1+IF(OR($O32=8,$P32=8,$Q32=8),1,0),0))</f>
        <v/>
      </c>
      <c r="AA32" s="4" t="str">
        <f>IF(OR(J32="",Results!J17=""),"",IF(J32=Results!J17,1+IF(OR($O32=9,$P32=9,$Q32=9),1,0),0))</f>
        <v/>
      </c>
      <c r="AB32" s="4" t="str">
        <f>IF(OR(K32="",Results!K17=""),"",IF(K32=Results!K17,1+IF(OR($O32=10,$P32=10,$Q32=10),1,0),0))</f>
        <v/>
      </c>
      <c r="AC32" s="4" t="str">
        <f>IF(OR(L32="",Results!L17=""),"",IF(L32=Results!L17,1+IF(OR($O32=11,$P32=11,$Q32=11),1,0),0))</f>
        <v/>
      </c>
      <c r="AD32" s="4" t="str">
        <f>IF(OR(M32="",Results!M17=""),"",IF(M32=Results!M17,1+IF(OR($O32=12,$P32=12,$Q32=12),1,0),0))</f>
        <v/>
      </c>
      <c r="AE32" s="4" t="str">
        <f>IF(OR(N32="",Results!N17=""),"",IF(N32=Results!N17,1+IF(OR($O32=13,$P32=13,$Q32=13),1,0),0))</f>
        <v/>
      </c>
      <c r="AF32" s="11">
        <f t="shared" si="0"/>
        <v>0</v>
      </c>
      <c r="AG32" s="4" t="str">
        <f>IF(OR($R32="",Results!O17=""),"",ABS($R32-Results!O17))</f>
        <v/>
      </c>
      <c r="AH32" s="12">
        <v>14</v>
      </c>
      <c r="AI32" s="13" t="str">
        <f>IF(OR(B32="",Results!B17=""),"",IF(AND(B32=Results!B17,Results!B17&lt;&gt;Games!$C$161),1,0))</f>
        <v/>
      </c>
      <c r="AJ32" s="13" t="str">
        <f>IF(OR(C32="",Results!C17=""),"",IF(AND(C32=Results!C17,Results!C17&lt;&gt;Games!$C$162),1,0))</f>
        <v/>
      </c>
      <c r="AK32" s="13" t="str">
        <f>IF(OR(D32="",Results!D17=""),"",IF(AND(D32=Results!D17,Results!D17&lt;&gt;Games!$C$163),1,0))</f>
        <v/>
      </c>
      <c r="AL32" s="13" t="str">
        <f>IF(OR(E32="",Results!E17=""),"",IF(AND(E32=Results!E17,Results!E17&lt;&gt;Games!$C$164),1,0))</f>
        <v/>
      </c>
      <c r="AM32" s="13" t="str">
        <f>IF(OR(F32="",Results!F17=""),"",IF(AND(F32=Results!F17,Results!F17&lt;&gt;Games!$C$165),1,0))</f>
        <v/>
      </c>
      <c r="AN32" s="13" t="str">
        <f>IF(OR(G32="",Results!G17=""),"",IF(AND(G32=Results!G17,Results!G17&lt;&gt;Games!$C$166),1,0))</f>
        <v/>
      </c>
      <c r="AO32" s="13" t="str">
        <f>IF(OR(H32="",Results!H17=""),"",IF(AND(H32=Results!H17,Results!H17&lt;&gt;Games!$C$167),1,0))</f>
        <v/>
      </c>
      <c r="AP32" s="13" t="str">
        <f>IF(OR(I32="",Results!I17=""),"",IF(AND(I32=Results!I17,Results!I17&lt;&gt;Games!$C$168),1,0))</f>
        <v/>
      </c>
      <c r="AQ32" s="13" t="str">
        <f>IF(OR(J32="",Results!J17=""),"",IF(AND(J32=Results!J17,Results!J17&lt;&gt;Games!$C$169),1,0))</f>
        <v/>
      </c>
      <c r="AR32" s="13" t="str">
        <f>IF(OR(K32="",Results!K17=""),"",IF(AND(K32=Results!K17,Results!K17&lt;&gt;Games!$C$170),1,0))</f>
        <v/>
      </c>
      <c r="AS32" s="13" t="str">
        <f>IF(OR(L32="",Results!L17=""),"",IF(AND(L32=Results!L17,Results!L17&lt;&gt;Games!$C$171),1,0))</f>
        <v/>
      </c>
      <c r="AT32" s="13" t="str">
        <f>IF(OR(M32="",Results!M17=""),"",IF(AND(M32=Results!M17,Results!M17&lt;&gt;Games!$C$172),1,0))</f>
        <v/>
      </c>
      <c r="AU32" s="13" t="str">
        <f>IF(OR(N32="",Results!N17=""),"",IF(AND(N32=Results!N17,Results!N17&lt;&gt;Games!$C$173),1,0))</f>
        <v/>
      </c>
      <c r="AV32" s="14">
        <f t="shared" si="1"/>
        <v>0</v>
      </c>
    </row>
    <row r="33" spans="1:48" ht="15" customHeight="1" x14ac:dyDescent="0.25">
      <c r="A33" s="4" t="str">
        <f>INDEX(Players!$D$6:$D$69,MATCH(15,Players!$A$6:$A$69,0))</f>
        <v>John T.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4" t="str">
        <f>IF(OR(B33="",Results!B17=""),"",IF(B33=Results!B17,1+IF(OR($O33=1,$P33=1,$Q33=1),1,0),0))</f>
        <v/>
      </c>
      <c r="T33" s="4" t="str">
        <f>IF(OR(C33="",Results!C17=""),"",IF(C33=Results!C17,1+IF(OR($O33=2,$P33=2,$Q33=2),1,0),0))</f>
        <v/>
      </c>
      <c r="U33" s="4" t="str">
        <f>IF(OR(D33="",Results!D17=""),"",IF(D33=Results!D17,1+IF(OR($O33=3,$P33=3,$Q33=3),1,0),0))</f>
        <v/>
      </c>
      <c r="V33" s="4" t="str">
        <f>IF(OR(E33="",Results!E17=""),"",IF(E33=Results!E17,1+IF(OR($O33=4,$P33=4,$Q33=4),1,0),0))</f>
        <v/>
      </c>
      <c r="W33" s="4" t="str">
        <f>IF(OR(F33="",Results!F17=""),"",IF(F33=Results!F17,1+IF(OR($O33=5,$P33=5,$Q33=5),1,0),0))</f>
        <v/>
      </c>
      <c r="X33" s="4" t="str">
        <f>IF(OR(G33="",Results!G17=""),"",IF(G33=Results!G17,1+IF(OR($O33=6,$P33=6,$Q33=6),1,0),0))</f>
        <v/>
      </c>
      <c r="Y33" s="4" t="str">
        <f>IF(OR(H33="",Results!H17=""),"",IF(H33=Results!H17,1+IF(OR($O33=7,$P33=7,$Q33=7),1,0),0))</f>
        <v/>
      </c>
      <c r="Z33" s="4" t="str">
        <f>IF(OR(I33="",Results!I17=""),"",IF(I33=Results!I17,1+IF(OR($O33=8,$P33=8,$Q33=8),1,0),0))</f>
        <v/>
      </c>
      <c r="AA33" s="4" t="str">
        <f>IF(OR(J33="",Results!J17=""),"",IF(J33=Results!J17,1+IF(OR($O33=9,$P33=9,$Q33=9),1,0),0))</f>
        <v/>
      </c>
      <c r="AB33" s="4" t="str">
        <f>IF(OR(K33="",Results!K17=""),"",IF(K33=Results!K17,1+IF(OR($O33=10,$P33=10,$Q33=10),1,0),0))</f>
        <v/>
      </c>
      <c r="AC33" s="4" t="str">
        <f>IF(OR(L33="",Results!L17=""),"",IF(L33=Results!L17,1+IF(OR($O33=11,$P33=11,$Q33=11),1,0),0))</f>
        <v/>
      </c>
      <c r="AD33" s="4" t="str">
        <f>IF(OR(M33="",Results!M17=""),"",IF(M33=Results!M17,1+IF(OR($O33=12,$P33=12,$Q33=12),1,0),0))</f>
        <v/>
      </c>
      <c r="AE33" s="4" t="str">
        <f>IF(OR(N33="",Results!N17=""),"",IF(N33=Results!N17,1+IF(OR($O33=13,$P33=13,$Q33=13),1,0),0))</f>
        <v/>
      </c>
      <c r="AF33" s="11">
        <f t="shared" si="0"/>
        <v>0</v>
      </c>
      <c r="AG33" s="4" t="str">
        <f>IF(OR($R33="",Results!O17=""),"",ABS($R33-Results!O17))</f>
        <v/>
      </c>
      <c r="AH33" s="12">
        <v>15</v>
      </c>
      <c r="AI33" s="13" t="str">
        <f>IF(OR(B33="",Results!B17=""),"",IF(AND(B33=Results!B17,Results!B17&lt;&gt;Games!$C$161),1,0))</f>
        <v/>
      </c>
      <c r="AJ33" s="13" t="str">
        <f>IF(OR(C33="",Results!C17=""),"",IF(AND(C33=Results!C17,Results!C17&lt;&gt;Games!$C$162),1,0))</f>
        <v/>
      </c>
      <c r="AK33" s="13" t="str">
        <f>IF(OR(D33="",Results!D17=""),"",IF(AND(D33=Results!D17,Results!D17&lt;&gt;Games!$C$163),1,0))</f>
        <v/>
      </c>
      <c r="AL33" s="13" t="str">
        <f>IF(OR(E33="",Results!E17=""),"",IF(AND(E33=Results!E17,Results!E17&lt;&gt;Games!$C$164),1,0))</f>
        <v/>
      </c>
      <c r="AM33" s="13" t="str">
        <f>IF(OR(F33="",Results!F17=""),"",IF(AND(F33=Results!F17,Results!F17&lt;&gt;Games!$C$165),1,0))</f>
        <v/>
      </c>
      <c r="AN33" s="13" t="str">
        <f>IF(OR(G33="",Results!G17=""),"",IF(AND(G33=Results!G17,Results!G17&lt;&gt;Games!$C$166),1,0))</f>
        <v/>
      </c>
      <c r="AO33" s="13" t="str">
        <f>IF(OR(H33="",Results!H17=""),"",IF(AND(H33=Results!H17,Results!H17&lt;&gt;Games!$C$167),1,0))</f>
        <v/>
      </c>
      <c r="AP33" s="13" t="str">
        <f>IF(OR(I33="",Results!I17=""),"",IF(AND(I33=Results!I17,Results!I17&lt;&gt;Games!$C$168),1,0))</f>
        <v/>
      </c>
      <c r="AQ33" s="13" t="str">
        <f>IF(OR(J33="",Results!J17=""),"",IF(AND(J33=Results!J17,Results!J17&lt;&gt;Games!$C$169),1,0))</f>
        <v/>
      </c>
      <c r="AR33" s="13" t="str">
        <f>IF(OR(K33="",Results!K17=""),"",IF(AND(K33=Results!K17,Results!K17&lt;&gt;Games!$C$170),1,0))</f>
        <v/>
      </c>
      <c r="AS33" s="13" t="str">
        <f>IF(OR(L33="",Results!L17=""),"",IF(AND(L33=Results!L17,Results!L17&lt;&gt;Games!$C$171),1,0))</f>
        <v/>
      </c>
      <c r="AT33" s="13" t="str">
        <f>IF(OR(M33="",Results!M17=""),"",IF(AND(M33=Results!M17,Results!M17&lt;&gt;Games!$C$172),1,0))</f>
        <v/>
      </c>
      <c r="AU33" s="13" t="str">
        <f>IF(OR(N33="",Results!N17=""),"",IF(AND(N33=Results!N17,Results!N17&lt;&gt;Games!$C$173),1,0))</f>
        <v/>
      </c>
      <c r="AV33" s="14">
        <f t="shared" si="1"/>
        <v>0</v>
      </c>
    </row>
    <row r="34" spans="1:48" ht="15" customHeight="1" x14ac:dyDescent="0.25">
      <c r="A34" s="4" t="str">
        <f>INDEX(Players!$D$6:$D$69,MATCH(16,Players!$A$6:$A$69,0))</f>
        <v>Josh H.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4" t="str">
        <f>IF(OR(B34="",Results!B17=""),"",IF(B34=Results!B17,1+IF(OR($O34=1,$P34=1,$Q34=1),1,0),0))</f>
        <v/>
      </c>
      <c r="T34" s="4" t="str">
        <f>IF(OR(C34="",Results!C17=""),"",IF(C34=Results!C17,1+IF(OR($O34=2,$P34=2,$Q34=2),1,0),0))</f>
        <v/>
      </c>
      <c r="U34" s="4" t="str">
        <f>IF(OR(D34="",Results!D17=""),"",IF(D34=Results!D17,1+IF(OR($O34=3,$P34=3,$Q34=3),1,0),0))</f>
        <v/>
      </c>
      <c r="V34" s="4" t="str">
        <f>IF(OR(E34="",Results!E17=""),"",IF(E34=Results!E17,1+IF(OR($O34=4,$P34=4,$Q34=4),1,0),0))</f>
        <v/>
      </c>
      <c r="W34" s="4" t="str">
        <f>IF(OR(F34="",Results!F17=""),"",IF(F34=Results!F17,1+IF(OR($O34=5,$P34=5,$Q34=5),1,0),0))</f>
        <v/>
      </c>
      <c r="X34" s="4" t="str">
        <f>IF(OR(G34="",Results!G17=""),"",IF(G34=Results!G17,1+IF(OR($O34=6,$P34=6,$Q34=6),1,0),0))</f>
        <v/>
      </c>
      <c r="Y34" s="4" t="str">
        <f>IF(OR(H34="",Results!H17=""),"",IF(H34=Results!H17,1+IF(OR($O34=7,$P34=7,$Q34=7),1,0),0))</f>
        <v/>
      </c>
      <c r="Z34" s="4" t="str">
        <f>IF(OR(I34="",Results!I17=""),"",IF(I34=Results!I17,1+IF(OR($O34=8,$P34=8,$Q34=8),1,0),0))</f>
        <v/>
      </c>
      <c r="AA34" s="4" t="str">
        <f>IF(OR(J34="",Results!J17=""),"",IF(J34=Results!J17,1+IF(OR($O34=9,$P34=9,$Q34=9),1,0),0))</f>
        <v/>
      </c>
      <c r="AB34" s="4" t="str">
        <f>IF(OR(K34="",Results!K17=""),"",IF(K34=Results!K17,1+IF(OR($O34=10,$P34=10,$Q34=10),1,0),0))</f>
        <v/>
      </c>
      <c r="AC34" s="4" t="str">
        <f>IF(OR(L34="",Results!L17=""),"",IF(L34=Results!L17,1+IF(OR($O34=11,$P34=11,$Q34=11),1,0),0))</f>
        <v/>
      </c>
      <c r="AD34" s="4" t="str">
        <f>IF(OR(M34="",Results!M17=""),"",IF(M34=Results!M17,1+IF(OR($O34=12,$P34=12,$Q34=12),1,0),0))</f>
        <v/>
      </c>
      <c r="AE34" s="4" t="str">
        <f>IF(OR(N34="",Results!N17=""),"",IF(N34=Results!N17,1+IF(OR($O34=13,$P34=13,$Q34=13),1,0),0))</f>
        <v/>
      </c>
      <c r="AF34" s="11">
        <f t="shared" si="0"/>
        <v>0</v>
      </c>
      <c r="AG34" s="4" t="str">
        <f>IF(OR($R34="",Results!O17=""),"",ABS($R34-Results!O17))</f>
        <v/>
      </c>
      <c r="AH34" s="12">
        <v>16</v>
      </c>
      <c r="AI34" s="13" t="str">
        <f>IF(OR(B34="",Results!B17=""),"",IF(AND(B34=Results!B17,Results!B17&lt;&gt;Games!$C$161),1,0))</f>
        <v/>
      </c>
      <c r="AJ34" s="13" t="str">
        <f>IF(OR(C34="",Results!C17=""),"",IF(AND(C34=Results!C17,Results!C17&lt;&gt;Games!$C$162),1,0))</f>
        <v/>
      </c>
      <c r="AK34" s="13" t="str">
        <f>IF(OR(D34="",Results!D17=""),"",IF(AND(D34=Results!D17,Results!D17&lt;&gt;Games!$C$163),1,0))</f>
        <v/>
      </c>
      <c r="AL34" s="13" t="str">
        <f>IF(OR(E34="",Results!E17=""),"",IF(AND(E34=Results!E17,Results!E17&lt;&gt;Games!$C$164),1,0))</f>
        <v/>
      </c>
      <c r="AM34" s="13" t="str">
        <f>IF(OR(F34="",Results!F17=""),"",IF(AND(F34=Results!F17,Results!F17&lt;&gt;Games!$C$165),1,0))</f>
        <v/>
      </c>
      <c r="AN34" s="13" t="str">
        <f>IF(OR(G34="",Results!G17=""),"",IF(AND(G34=Results!G17,Results!G17&lt;&gt;Games!$C$166),1,0))</f>
        <v/>
      </c>
      <c r="AO34" s="13" t="str">
        <f>IF(OR(H34="",Results!H17=""),"",IF(AND(H34=Results!H17,Results!H17&lt;&gt;Games!$C$167),1,0))</f>
        <v/>
      </c>
      <c r="AP34" s="13" t="str">
        <f>IF(OR(I34="",Results!I17=""),"",IF(AND(I34=Results!I17,Results!I17&lt;&gt;Games!$C$168),1,0))</f>
        <v/>
      </c>
      <c r="AQ34" s="13" t="str">
        <f>IF(OR(J34="",Results!J17=""),"",IF(AND(J34=Results!J17,Results!J17&lt;&gt;Games!$C$169),1,0))</f>
        <v/>
      </c>
      <c r="AR34" s="13" t="str">
        <f>IF(OR(K34="",Results!K17=""),"",IF(AND(K34=Results!K17,Results!K17&lt;&gt;Games!$C$170),1,0))</f>
        <v/>
      </c>
      <c r="AS34" s="13" t="str">
        <f>IF(OR(L34="",Results!L17=""),"",IF(AND(L34=Results!L17,Results!L17&lt;&gt;Games!$C$171),1,0))</f>
        <v/>
      </c>
      <c r="AT34" s="13" t="str">
        <f>IF(OR(M34="",Results!M17=""),"",IF(AND(M34=Results!M17,Results!M17&lt;&gt;Games!$C$172),1,0))</f>
        <v/>
      </c>
      <c r="AU34" s="13" t="str">
        <f>IF(OR(N34="",Results!N17=""),"",IF(AND(N34=Results!N17,Results!N17&lt;&gt;Games!$C$173),1,0))</f>
        <v/>
      </c>
      <c r="AV34" s="14">
        <f t="shared" si="1"/>
        <v>0</v>
      </c>
    </row>
    <row r="35" spans="1:48" ht="15" customHeight="1" x14ac:dyDescent="0.25">
      <c r="A35" s="4" t="str">
        <f>INDEX(Players!$D$6:$D$69,MATCH(17,Players!$A$6:$A$69,0))</f>
        <v>Justin S.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4" t="str">
        <f>IF(OR(B35="",Results!B17=""),"",IF(B35=Results!B17,1+IF(OR($O35=1,$P35=1,$Q35=1),1,0),0))</f>
        <v/>
      </c>
      <c r="T35" s="4" t="str">
        <f>IF(OR(C35="",Results!C17=""),"",IF(C35=Results!C17,1+IF(OR($O35=2,$P35=2,$Q35=2),1,0),0))</f>
        <v/>
      </c>
      <c r="U35" s="4" t="str">
        <f>IF(OR(D35="",Results!D17=""),"",IF(D35=Results!D17,1+IF(OR($O35=3,$P35=3,$Q35=3),1,0),0))</f>
        <v/>
      </c>
      <c r="V35" s="4" t="str">
        <f>IF(OR(E35="",Results!E17=""),"",IF(E35=Results!E17,1+IF(OR($O35=4,$P35=4,$Q35=4),1,0),0))</f>
        <v/>
      </c>
      <c r="W35" s="4" t="str">
        <f>IF(OR(F35="",Results!F17=""),"",IF(F35=Results!F17,1+IF(OR($O35=5,$P35=5,$Q35=5),1,0),0))</f>
        <v/>
      </c>
      <c r="X35" s="4" t="str">
        <f>IF(OR(G35="",Results!G17=""),"",IF(G35=Results!G17,1+IF(OR($O35=6,$P35=6,$Q35=6),1,0),0))</f>
        <v/>
      </c>
      <c r="Y35" s="4" t="str">
        <f>IF(OR(H35="",Results!H17=""),"",IF(H35=Results!H17,1+IF(OR($O35=7,$P35=7,$Q35=7),1,0),0))</f>
        <v/>
      </c>
      <c r="Z35" s="4" t="str">
        <f>IF(OR(I35="",Results!I17=""),"",IF(I35=Results!I17,1+IF(OR($O35=8,$P35=8,$Q35=8),1,0),0))</f>
        <v/>
      </c>
      <c r="AA35" s="4" t="str">
        <f>IF(OR(J35="",Results!J17=""),"",IF(J35=Results!J17,1+IF(OR($O35=9,$P35=9,$Q35=9),1,0),0))</f>
        <v/>
      </c>
      <c r="AB35" s="4" t="str">
        <f>IF(OR(K35="",Results!K17=""),"",IF(K35=Results!K17,1+IF(OR($O35=10,$P35=10,$Q35=10),1,0),0))</f>
        <v/>
      </c>
      <c r="AC35" s="4" t="str">
        <f>IF(OR(L35="",Results!L17=""),"",IF(L35=Results!L17,1+IF(OR($O35=11,$P35=11,$Q35=11),1,0),0))</f>
        <v/>
      </c>
      <c r="AD35" s="4" t="str">
        <f>IF(OR(M35="",Results!M17=""),"",IF(M35=Results!M17,1+IF(OR($O35=12,$P35=12,$Q35=12),1,0),0))</f>
        <v/>
      </c>
      <c r="AE35" s="4" t="str">
        <f>IF(OR(N35="",Results!N17=""),"",IF(N35=Results!N17,1+IF(OR($O35=13,$P35=13,$Q35=13),1,0),0))</f>
        <v/>
      </c>
      <c r="AF35" s="11">
        <f t="shared" si="0"/>
        <v>0</v>
      </c>
      <c r="AG35" s="4" t="str">
        <f>IF(OR($R35="",Results!O17=""),"",ABS($R35-Results!O17))</f>
        <v/>
      </c>
      <c r="AH35" s="12">
        <v>17</v>
      </c>
      <c r="AI35" s="13" t="str">
        <f>IF(OR(B35="",Results!B17=""),"",IF(AND(B35=Results!B17,Results!B17&lt;&gt;Games!$C$161),1,0))</f>
        <v/>
      </c>
      <c r="AJ35" s="13" t="str">
        <f>IF(OR(C35="",Results!C17=""),"",IF(AND(C35=Results!C17,Results!C17&lt;&gt;Games!$C$162),1,0))</f>
        <v/>
      </c>
      <c r="AK35" s="13" t="str">
        <f>IF(OR(D35="",Results!D17=""),"",IF(AND(D35=Results!D17,Results!D17&lt;&gt;Games!$C$163),1,0))</f>
        <v/>
      </c>
      <c r="AL35" s="13" t="str">
        <f>IF(OR(E35="",Results!E17=""),"",IF(AND(E35=Results!E17,Results!E17&lt;&gt;Games!$C$164),1,0))</f>
        <v/>
      </c>
      <c r="AM35" s="13" t="str">
        <f>IF(OR(F35="",Results!F17=""),"",IF(AND(F35=Results!F17,Results!F17&lt;&gt;Games!$C$165),1,0))</f>
        <v/>
      </c>
      <c r="AN35" s="13" t="str">
        <f>IF(OR(G35="",Results!G17=""),"",IF(AND(G35=Results!G17,Results!G17&lt;&gt;Games!$C$166),1,0))</f>
        <v/>
      </c>
      <c r="AO35" s="13" t="str">
        <f>IF(OR(H35="",Results!H17=""),"",IF(AND(H35=Results!H17,Results!H17&lt;&gt;Games!$C$167),1,0))</f>
        <v/>
      </c>
      <c r="AP35" s="13" t="str">
        <f>IF(OR(I35="",Results!I17=""),"",IF(AND(I35=Results!I17,Results!I17&lt;&gt;Games!$C$168),1,0))</f>
        <v/>
      </c>
      <c r="AQ35" s="13" t="str">
        <f>IF(OR(J35="",Results!J17=""),"",IF(AND(J35=Results!J17,Results!J17&lt;&gt;Games!$C$169),1,0))</f>
        <v/>
      </c>
      <c r="AR35" s="13" t="str">
        <f>IF(OR(K35="",Results!K17=""),"",IF(AND(K35=Results!K17,Results!K17&lt;&gt;Games!$C$170),1,0))</f>
        <v/>
      </c>
      <c r="AS35" s="13" t="str">
        <f>IF(OR(L35="",Results!L17=""),"",IF(AND(L35=Results!L17,Results!L17&lt;&gt;Games!$C$171),1,0))</f>
        <v/>
      </c>
      <c r="AT35" s="13" t="str">
        <f>IF(OR(M35="",Results!M17=""),"",IF(AND(M35=Results!M17,Results!M17&lt;&gt;Games!$C$172),1,0))</f>
        <v/>
      </c>
      <c r="AU35" s="13" t="str">
        <f>IF(OR(N35="",Results!N17=""),"",IF(AND(N35=Results!N17,Results!N17&lt;&gt;Games!$C$173),1,0))</f>
        <v/>
      </c>
      <c r="AV35" s="14">
        <f t="shared" si="1"/>
        <v>0</v>
      </c>
    </row>
    <row r="36" spans="1:48" ht="15" customHeight="1" x14ac:dyDescent="0.25">
      <c r="A36" s="4" t="str">
        <f>INDEX(Players!$D$6:$D$69,MATCH(39,Players!$A$6:$A$69,0))</f>
        <v>Kaley P.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4" t="str">
        <f>IF(OR(B36="",Results!B17=""),"",IF(B36=Results!B17,1+IF(OR($O36=1,$P36=1,$Q36=1),1,0),0))</f>
        <v/>
      </c>
      <c r="T36" s="4" t="str">
        <f>IF(OR(C36="",Results!C17=""),"",IF(C36=Results!C17,1+IF(OR($O36=2,$P36=2,$Q36=2),1,0),0))</f>
        <v/>
      </c>
      <c r="U36" s="4" t="str">
        <f>IF(OR(D36="",Results!D17=""),"",IF(D36=Results!D17,1+IF(OR($O36=3,$P36=3,$Q36=3),1,0),0))</f>
        <v/>
      </c>
      <c r="V36" s="4" t="str">
        <f>IF(OR(E36="",Results!E17=""),"",IF(E36=Results!E17,1+IF(OR($O36=4,$P36=4,$Q36=4),1,0),0))</f>
        <v/>
      </c>
      <c r="W36" s="4" t="str">
        <f>IF(OR(F36="",Results!F17=""),"",IF(F36=Results!F17,1+IF(OR($O36=5,$P36=5,$Q36=5),1,0),0))</f>
        <v/>
      </c>
      <c r="X36" s="4" t="str">
        <f>IF(OR(G36="",Results!G17=""),"",IF(G36=Results!G17,1+IF(OR($O36=6,$P36=6,$Q36=6),1,0),0))</f>
        <v/>
      </c>
      <c r="Y36" s="4" t="str">
        <f>IF(OR(H36="",Results!H17=""),"",IF(H36=Results!H17,1+IF(OR($O36=7,$P36=7,$Q36=7),1,0),0))</f>
        <v/>
      </c>
      <c r="Z36" s="4" t="str">
        <f>IF(OR(I36="",Results!I17=""),"",IF(I36=Results!I17,1+IF(OR($O36=8,$P36=8,$Q36=8),1,0),0))</f>
        <v/>
      </c>
      <c r="AA36" s="4" t="str">
        <f>IF(OR(J36="",Results!J17=""),"",IF(J36=Results!J17,1+IF(OR($O36=9,$P36=9,$Q36=9),1,0),0))</f>
        <v/>
      </c>
      <c r="AB36" s="4" t="str">
        <f>IF(OR(K36="",Results!K17=""),"",IF(K36=Results!K17,1+IF(OR($O36=10,$P36=10,$Q36=10),1,0),0))</f>
        <v/>
      </c>
      <c r="AC36" s="4" t="str">
        <f>IF(OR(L36="",Results!L17=""),"",IF(L36=Results!L17,1+IF(OR($O36=11,$P36=11,$Q36=11),1,0),0))</f>
        <v/>
      </c>
      <c r="AD36" s="4" t="str">
        <f>IF(OR(M36="",Results!M17=""),"",IF(M36=Results!M17,1+IF(OR($O36=12,$P36=12,$Q36=12),1,0),0))</f>
        <v/>
      </c>
      <c r="AE36" s="4" t="str">
        <f>IF(OR(N36="",Results!N17=""),"",IF(N36=Results!N17,1+IF(OR($O36=13,$P36=13,$Q36=13),1,0),0))</f>
        <v/>
      </c>
      <c r="AF36" s="11">
        <f t="shared" si="0"/>
        <v>0</v>
      </c>
      <c r="AG36" s="4" t="str">
        <f>IF(OR($R36="",Results!O17=""),"",ABS($R36-Results!O17))</f>
        <v/>
      </c>
      <c r="AH36" s="12">
        <v>39</v>
      </c>
      <c r="AI36" s="13" t="str">
        <f>IF(OR(B36="",Results!B17=""),"",IF(AND(B36=Results!B17,Results!B17&lt;&gt;Games!$C$161),1,0))</f>
        <v/>
      </c>
      <c r="AJ36" s="13" t="str">
        <f>IF(OR(C36="",Results!C17=""),"",IF(AND(C36=Results!C17,Results!C17&lt;&gt;Games!$C$162),1,0))</f>
        <v/>
      </c>
      <c r="AK36" s="13" t="str">
        <f>IF(OR(D36="",Results!D17=""),"",IF(AND(D36=Results!D17,Results!D17&lt;&gt;Games!$C$163),1,0))</f>
        <v/>
      </c>
      <c r="AL36" s="13" t="str">
        <f>IF(OR(E36="",Results!E17=""),"",IF(AND(E36=Results!E17,Results!E17&lt;&gt;Games!$C$164),1,0))</f>
        <v/>
      </c>
      <c r="AM36" s="13" t="str">
        <f>IF(OR(F36="",Results!F17=""),"",IF(AND(F36=Results!F17,Results!F17&lt;&gt;Games!$C$165),1,0))</f>
        <v/>
      </c>
      <c r="AN36" s="13" t="str">
        <f>IF(OR(G36="",Results!G17=""),"",IF(AND(G36=Results!G17,Results!G17&lt;&gt;Games!$C$166),1,0))</f>
        <v/>
      </c>
      <c r="AO36" s="13" t="str">
        <f>IF(OR(H36="",Results!H17=""),"",IF(AND(H36=Results!H17,Results!H17&lt;&gt;Games!$C$167),1,0))</f>
        <v/>
      </c>
      <c r="AP36" s="13" t="str">
        <f>IF(OR(I36="",Results!I17=""),"",IF(AND(I36=Results!I17,Results!I17&lt;&gt;Games!$C$168),1,0))</f>
        <v/>
      </c>
      <c r="AQ36" s="13" t="str">
        <f>IF(OR(J36="",Results!J17=""),"",IF(AND(J36=Results!J17,Results!J17&lt;&gt;Games!$C$169),1,0))</f>
        <v/>
      </c>
      <c r="AR36" s="13" t="str">
        <f>IF(OR(K36="",Results!K17=""),"",IF(AND(K36=Results!K17,Results!K17&lt;&gt;Games!$C$170),1,0))</f>
        <v/>
      </c>
      <c r="AS36" s="13" t="str">
        <f>IF(OR(L36="",Results!L17=""),"",IF(AND(L36=Results!L17,Results!L17&lt;&gt;Games!$C$171),1,0))</f>
        <v/>
      </c>
      <c r="AT36" s="13" t="str">
        <f>IF(OR(M36="",Results!M17=""),"",IF(AND(M36=Results!M17,Results!M17&lt;&gt;Games!$C$172),1,0))</f>
        <v/>
      </c>
      <c r="AU36" s="13" t="str">
        <f>IF(OR(N36="",Results!N17=""),"",IF(AND(N36=Results!N17,Results!N17&lt;&gt;Games!$C$173),1,0))</f>
        <v/>
      </c>
      <c r="AV36" s="14">
        <f t="shared" si="1"/>
        <v>0</v>
      </c>
    </row>
    <row r="37" spans="1:48" ht="15" customHeight="1" x14ac:dyDescent="0.25">
      <c r="A37" s="4" t="str">
        <f>INDEX(Players!$D$6:$D$69,MATCH(49,Players!$A$6:$A$69,0))</f>
        <v>Kate S.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4" t="str">
        <f>IF(OR(B37="",Results!B17=""),"",IF(B37=Results!B17,1+IF(OR($O37=1,$P37=1,$Q37=1),1,0),0))</f>
        <v/>
      </c>
      <c r="T37" s="4" t="str">
        <f>IF(OR(C37="",Results!C17=""),"",IF(C37=Results!C17,1+IF(OR($O37=2,$P37=2,$Q37=2),1,0),0))</f>
        <v/>
      </c>
      <c r="U37" s="4" t="str">
        <f>IF(OR(D37="",Results!D17=""),"",IF(D37=Results!D17,1+IF(OR($O37=3,$P37=3,$Q37=3),1,0),0))</f>
        <v/>
      </c>
      <c r="V37" s="4" t="str">
        <f>IF(OR(E37="",Results!E17=""),"",IF(E37=Results!E17,1+IF(OR($O37=4,$P37=4,$Q37=4),1,0),0))</f>
        <v/>
      </c>
      <c r="W37" s="4" t="str">
        <f>IF(OR(F37="",Results!F17=""),"",IF(F37=Results!F17,1+IF(OR($O37=5,$P37=5,$Q37=5),1,0),0))</f>
        <v/>
      </c>
      <c r="X37" s="4" t="str">
        <f>IF(OR(G37="",Results!G17=""),"",IF(G37=Results!G17,1+IF(OR($O37=6,$P37=6,$Q37=6),1,0),0))</f>
        <v/>
      </c>
      <c r="Y37" s="4" t="str">
        <f>IF(OR(H37="",Results!H17=""),"",IF(H37=Results!H17,1+IF(OR($O37=7,$P37=7,$Q37=7),1,0),0))</f>
        <v/>
      </c>
      <c r="Z37" s="4" t="str">
        <f>IF(OR(I37="",Results!I17=""),"",IF(I37=Results!I17,1+IF(OR($O37=8,$P37=8,$Q37=8),1,0),0))</f>
        <v/>
      </c>
      <c r="AA37" s="4" t="str">
        <f>IF(OR(J37="",Results!J17=""),"",IF(J37=Results!J17,1+IF(OR($O37=9,$P37=9,$Q37=9),1,0),0))</f>
        <v/>
      </c>
      <c r="AB37" s="4" t="str">
        <f>IF(OR(K37="",Results!K17=""),"",IF(K37=Results!K17,1+IF(OR($O37=10,$P37=10,$Q37=10),1,0),0))</f>
        <v/>
      </c>
      <c r="AC37" s="4" t="str">
        <f>IF(OR(L37="",Results!L17=""),"",IF(L37=Results!L17,1+IF(OR($O37=11,$P37=11,$Q37=11),1,0),0))</f>
        <v/>
      </c>
      <c r="AD37" s="4" t="str">
        <f>IF(OR(M37="",Results!M17=""),"",IF(M37=Results!M17,1+IF(OR($O37=12,$P37=12,$Q37=12),1,0),0))</f>
        <v/>
      </c>
      <c r="AE37" s="4" t="str">
        <f>IF(OR(N37="",Results!N17=""),"",IF(N37=Results!N17,1+IF(OR($O37=13,$P37=13,$Q37=13),1,0),0))</f>
        <v/>
      </c>
      <c r="AF37" s="11">
        <f t="shared" si="0"/>
        <v>0</v>
      </c>
      <c r="AG37" s="4" t="str">
        <f>IF(OR($R37="",Results!O17=""),"",ABS($R37-Results!O17))</f>
        <v/>
      </c>
      <c r="AH37" s="12">
        <v>49</v>
      </c>
      <c r="AI37" s="13" t="str">
        <f>IF(OR(B37="",Results!B17=""),"",IF(AND(B37=Results!B17,Results!B17&lt;&gt;Games!$C$161),1,0))</f>
        <v/>
      </c>
      <c r="AJ37" s="13" t="str">
        <f>IF(OR(C37="",Results!C17=""),"",IF(AND(C37=Results!C17,Results!C17&lt;&gt;Games!$C$162),1,0))</f>
        <v/>
      </c>
      <c r="AK37" s="13" t="str">
        <f>IF(OR(D37="",Results!D17=""),"",IF(AND(D37=Results!D17,Results!D17&lt;&gt;Games!$C$163),1,0))</f>
        <v/>
      </c>
      <c r="AL37" s="13" t="str">
        <f>IF(OR(E37="",Results!E17=""),"",IF(AND(E37=Results!E17,Results!E17&lt;&gt;Games!$C$164),1,0))</f>
        <v/>
      </c>
      <c r="AM37" s="13" t="str">
        <f>IF(OR(F37="",Results!F17=""),"",IF(AND(F37=Results!F17,Results!F17&lt;&gt;Games!$C$165),1,0))</f>
        <v/>
      </c>
      <c r="AN37" s="13" t="str">
        <f>IF(OR(G37="",Results!G17=""),"",IF(AND(G37=Results!G17,Results!G17&lt;&gt;Games!$C$166),1,0))</f>
        <v/>
      </c>
      <c r="AO37" s="13" t="str">
        <f>IF(OR(H37="",Results!H17=""),"",IF(AND(H37=Results!H17,Results!H17&lt;&gt;Games!$C$167),1,0))</f>
        <v/>
      </c>
      <c r="AP37" s="13" t="str">
        <f>IF(OR(I37="",Results!I17=""),"",IF(AND(I37=Results!I17,Results!I17&lt;&gt;Games!$C$168),1,0))</f>
        <v/>
      </c>
      <c r="AQ37" s="13" t="str">
        <f>IF(OR(J37="",Results!J17=""),"",IF(AND(J37=Results!J17,Results!J17&lt;&gt;Games!$C$169),1,0))</f>
        <v/>
      </c>
      <c r="AR37" s="13" t="str">
        <f>IF(OR(K37="",Results!K17=""),"",IF(AND(K37=Results!K17,Results!K17&lt;&gt;Games!$C$170),1,0))</f>
        <v/>
      </c>
      <c r="AS37" s="13" t="str">
        <f>IF(OR(L37="",Results!L17=""),"",IF(AND(L37=Results!L17,Results!L17&lt;&gt;Games!$C$171),1,0))</f>
        <v/>
      </c>
      <c r="AT37" s="13" t="str">
        <f>IF(OR(M37="",Results!M17=""),"",IF(AND(M37=Results!M17,Results!M17&lt;&gt;Games!$C$172),1,0))</f>
        <v/>
      </c>
      <c r="AU37" s="13" t="str">
        <f>IF(OR(N37="",Results!N17=""),"",IF(AND(N37=Results!N17,Results!N17&lt;&gt;Games!$C$173),1,0))</f>
        <v/>
      </c>
      <c r="AV37" s="14">
        <f t="shared" si="1"/>
        <v>0</v>
      </c>
    </row>
    <row r="38" spans="1:48" ht="15" customHeight="1" x14ac:dyDescent="0.25">
      <c r="A38" s="4" t="str">
        <f>INDEX(Players!$D$6:$D$69,MATCH(18,Players!$A$6:$A$69,0))</f>
        <v>Ken L.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4" t="str">
        <f>IF(OR(B38="",Results!B17=""),"",IF(B38=Results!B17,1+IF(OR($O38=1,$P38=1,$Q38=1),1,0),0))</f>
        <v/>
      </c>
      <c r="T38" s="4" t="str">
        <f>IF(OR(C38="",Results!C17=""),"",IF(C38=Results!C17,1+IF(OR($O38=2,$P38=2,$Q38=2),1,0),0))</f>
        <v/>
      </c>
      <c r="U38" s="4" t="str">
        <f>IF(OR(D38="",Results!D17=""),"",IF(D38=Results!D17,1+IF(OR($O38=3,$P38=3,$Q38=3),1,0),0))</f>
        <v/>
      </c>
      <c r="V38" s="4" t="str">
        <f>IF(OR(E38="",Results!E17=""),"",IF(E38=Results!E17,1+IF(OR($O38=4,$P38=4,$Q38=4),1,0),0))</f>
        <v/>
      </c>
      <c r="W38" s="4" t="str">
        <f>IF(OR(F38="",Results!F17=""),"",IF(F38=Results!F17,1+IF(OR($O38=5,$P38=5,$Q38=5),1,0),0))</f>
        <v/>
      </c>
      <c r="X38" s="4" t="str">
        <f>IF(OR(G38="",Results!G17=""),"",IF(G38=Results!G17,1+IF(OR($O38=6,$P38=6,$Q38=6),1,0),0))</f>
        <v/>
      </c>
      <c r="Y38" s="4" t="str">
        <f>IF(OR(H38="",Results!H17=""),"",IF(H38=Results!H17,1+IF(OR($O38=7,$P38=7,$Q38=7),1,0),0))</f>
        <v/>
      </c>
      <c r="Z38" s="4" t="str">
        <f>IF(OR(I38="",Results!I17=""),"",IF(I38=Results!I17,1+IF(OR($O38=8,$P38=8,$Q38=8),1,0),0))</f>
        <v/>
      </c>
      <c r="AA38" s="4" t="str">
        <f>IF(OR(J38="",Results!J17=""),"",IF(J38=Results!J17,1+IF(OR($O38=9,$P38=9,$Q38=9),1,0),0))</f>
        <v/>
      </c>
      <c r="AB38" s="4" t="str">
        <f>IF(OR(K38="",Results!K17=""),"",IF(K38=Results!K17,1+IF(OR($O38=10,$P38=10,$Q38=10),1,0),0))</f>
        <v/>
      </c>
      <c r="AC38" s="4" t="str">
        <f>IF(OR(L38="",Results!L17=""),"",IF(L38=Results!L17,1+IF(OR($O38=11,$P38=11,$Q38=11),1,0),0))</f>
        <v/>
      </c>
      <c r="AD38" s="4" t="str">
        <f>IF(OR(M38="",Results!M17=""),"",IF(M38=Results!M17,1+IF(OR($O38=12,$P38=12,$Q38=12),1,0),0))</f>
        <v/>
      </c>
      <c r="AE38" s="4" t="str">
        <f>IF(OR(N38="",Results!N17=""),"",IF(N38=Results!N17,1+IF(OR($O38=13,$P38=13,$Q38=13),1,0),0))</f>
        <v/>
      </c>
      <c r="AF38" s="11">
        <f t="shared" ref="AF38:AF65" si="2">SUM(S38:AE38)</f>
        <v>0</v>
      </c>
      <c r="AG38" s="4" t="str">
        <f>IF(OR($R38="",Results!O17=""),"",ABS($R38-Results!O17))</f>
        <v/>
      </c>
      <c r="AH38" s="12">
        <v>18</v>
      </c>
      <c r="AI38" s="13" t="str">
        <f>IF(OR(B38="",Results!B17=""),"",IF(AND(B38=Results!B17,Results!B17&lt;&gt;Games!$C$161),1,0))</f>
        <v/>
      </c>
      <c r="AJ38" s="13" t="str">
        <f>IF(OR(C38="",Results!C17=""),"",IF(AND(C38=Results!C17,Results!C17&lt;&gt;Games!$C$162),1,0))</f>
        <v/>
      </c>
      <c r="AK38" s="13" t="str">
        <f>IF(OR(D38="",Results!D17=""),"",IF(AND(D38=Results!D17,Results!D17&lt;&gt;Games!$C$163),1,0))</f>
        <v/>
      </c>
      <c r="AL38" s="13" t="str">
        <f>IF(OR(E38="",Results!E17=""),"",IF(AND(E38=Results!E17,Results!E17&lt;&gt;Games!$C$164),1,0))</f>
        <v/>
      </c>
      <c r="AM38" s="13" t="str">
        <f>IF(OR(F38="",Results!F17=""),"",IF(AND(F38=Results!F17,Results!F17&lt;&gt;Games!$C$165),1,0))</f>
        <v/>
      </c>
      <c r="AN38" s="13" t="str">
        <f>IF(OR(G38="",Results!G17=""),"",IF(AND(G38=Results!G17,Results!G17&lt;&gt;Games!$C$166),1,0))</f>
        <v/>
      </c>
      <c r="AO38" s="13" t="str">
        <f>IF(OR(H38="",Results!H17=""),"",IF(AND(H38=Results!H17,Results!H17&lt;&gt;Games!$C$167),1,0))</f>
        <v/>
      </c>
      <c r="AP38" s="13" t="str">
        <f>IF(OR(I38="",Results!I17=""),"",IF(AND(I38=Results!I17,Results!I17&lt;&gt;Games!$C$168),1,0))</f>
        <v/>
      </c>
      <c r="AQ38" s="13" t="str">
        <f>IF(OR(J38="",Results!J17=""),"",IF(AND(J38=Results!J17,Results!J17&lt;&gt;Games!$C$169),1,0))</f>
        <v/>
      </c>
      <c r="AR38" s="13" t="str">
        <f>IF(OR(K38="",Results!K17=""),"",IF(AND(K38=Results!K17,Results!K17&lt;&gt;Games!$C$170),1,0))</f>
        <v/>
      </c>
      <c r="AS38" s="13" t="str">
        <f>IF(OR(L38="",Results!L17=""),"",IF(AND(L38=Results!L17,Results!L17&lt;&gt;Games!$C$171),1,0))</f>
        <v/>
      </c>
      <c r="AT38" s="13" t="str">
        <f>IF(OR(M38="",Results!M17=""),"",IF(AND(M38=Results!M17,Results!M17&lt;&gt;Games!$C$172),1,0))</f>
        <v/>
      </c>
      <c r="AU38" s="13" t="str">
        <f>IF(OR(N38="",Results!N17=""),"",IF(AND(N38=Results!N17,Results!N17&lt;&gt;Games!$C$173),1,0))</f>
        <v/>
      </c>
      <c r="AV38" s="14">
        <f t="shared" ref="AV38:AV65" si="3">SUM(AI38:AU38)</f>
        <v>0</v>
      </c>
    </row>
    <row r="39" spans="1:48" ht="15" customHeight="1" x14ac:dyDescent="0.25">
      <c r="A39" s="4" t="str">
        <f>INDEX(Players!$D$6:$D$69,MATCH(50,Players!$A$6:$A$69,0))</f>
        <v>Kyle W.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4" t="str">
        <f>IF(OR(B39="",Results!B17=""),"",IF(B39=Results!B17,1+IF(OR($O39=1,$P39=1,$Q39=1),1,0),0))</f>
        <v/>
      </c>
      <c r="T39" s="4" t="str">
        <f>IF(OR(C39="",Results!C17=""),"",IF(C39=Results!C17,1+IF(OR($O39=2,$P39=2,$Q39=2),1,0),0))</f>
        <v/>
      </c>
      <c r="U39" s="4" t="str">
        <f>IF(OR(D39="",Results!D17=""),"",IF(D39=Results!D17,1+IF(OR($O39=3,$P39=3,$Q39=3),1,0),0))</f>
        <v/>
      </c>
      <c r="V39" s="4" t="str">
        <f>IF(OR(E39="",Results!E17=""),"",IF(E39=Results!E17,1+IF(OR($O39=4,$P39=4,$Q39=4),1,0),0))</f>
        <v/>
      </c>
      <c r="W39" s="4" t="str">
        <f>IF(OR(F39="",Results!F17=""),"",IF(F39=Results!F17,1+IF(OR($O39=5,$P39=5,$Q39=5),1,0),0))</f>
        <v/>
      </c>
      <c r="X39" s="4" t="str">
        <f>IF(OR(G39="",Results!G17=""),"",IF(G39=Results!G17,1+IF(OR($O39=6,$P39=6,$Q39=6),1,0),0))</f>
        <v/>
      </c>
      <c r="Y39" s="4" t="str">
        <f>IF(OR(H39="",Results!H17=""),"",IF(H39=Results!H17,1+IF(OR($O39=7,$P39=7,$Q39=7),1,0),0))</f>
        <v/>
      </c>
      <c r="Z39" s="4" t="str">
        <f>IF(OR(I39="",Results!I17=""),"",IF(I39=Results!I17,1+IF(OR($O39=8,$P39=8,$Q39=8),1,0),0))</f>
        <v/>
      </c>
      <c r="AA39" s="4" t="str">
        <f>IF(OR(J39="",Results!J17=""),"",IF(J39=Results!J17,1+IF(OR($O39=9,$P39=9,$Q39=9),1,0),0))</f>
        <v/>
      </c>
      <c r="AB39" s="4" t="str">
        <f>IF(OR(K39="",Results!K17=""),"",IF(K39=Results!K17,1+IF(OR($O39=10,$P39=10,$Q39=10),1,0),0))</f>
        <v/>
      </c>
      <c r="AC39" s="4" t="str">
        <f>IF(OR(L39="",Results!L17=""),"",IF(L39=Results!L17,1+IF(OR($O39=11,$P39=11,$Q39=11),1,0),0))</f>
        <v/>
      </c>
      <c r="AD39" s="4" t="str">
        <f>IF(OR(M39="",Results!M17=""),"",IF(M39=Results!M17,1+IF(OR($O39=12,$P39=12,$Q39=12),1,0),0))</f>
        <v/>
      </c>
      <c r="AE39" s="4" t="str">
        <f>IF(OR(N39="",Results!N17=""),"",IF(N39=Results!N17,1+IF(OR($O39=13,$P39=13,$Q39=13),1,0),0))</f>
        <v/>
      </c>
      <c r="AF39" s="11">
        <f t="shared" si="2"/>
        <v>0</v>
      </c>
      <c r="AG39" s="4" t="str">
        <f>IF(OR($R39="",Results!O17=""),"",ABS($R39-Results!O17))</f>
        <v/>
      </c>
      <c r="AH39" s="12">
        <v>50</v>
      </c>
      <c r="AI39" s="13" t="str">
        <f>IF(OR(B39="",Results!B17=""),"",IF(AND(B39=Results!B17,Results!B17&lt;&gt;Games!$C$161),1,0))</f>
        <v/>
      </c>
      <c r="AJ39" s="13" t="str">
        <f>IF(OR(C39="",Results!C17=""),"",IF(AND(C39=Results!C17,Results!C17&lt;&gt;Games!$C$162),1,0))</f>
        <v/>
      </c>
      <c r="AK39" s="13" t="str">
        <f>IF(OR(D39="",Results!D17=""),"",IF(AND(D39=Results!D17,Results!D17&lt;&gt;Games!$C$163),1,0))</f>
        <v/>
      </c>
      <c r="AL39" s="13" t="str">
        <f>IF(OR(E39="",Results!E17=""),"",IF(AND(E39=Results!E17,Results!E17&lt;&gt;Games!$C$164),1,0))</f>
        <v/>
      </c>
      <c r="AM39" s="13" t="str">
        <f>IF(OR(F39="",Results!F17=""),"",IF(AND(F39=Results!F17,Results!F17&lt;&gt;Games!$C$165),1,0))</f>
        <v/>
      </c>
      <c r="AN39" s="13" t="str">
        <f>IF(OR(G39="",Results!G17=""),"",IF(AND(G39=Results!G17,Results!G17&lt;&gt;Games!$C$166),1,0))</f>
        <v/>
      </c>
      <c r="AO39" s="13" t="str">
        <f>IF(OR(H39="",Results!H17=""),"",IF(AND(H39=Results!H17,Results!H17&lt;&gt;Games!$C$167),1,0))</f>
        <v/>
      </c>
      <c r="AP39" s="13" t="str">
        <f>IF(OR(I39="",Results!I17=""),"",IF(AND(I39=Results!I17,Results!I17&lt;&gt;Games!$C$168),1,0))</f>
        <v/>
      </c>
      <c r="AQ39" s="13" t="str">
        <f>IF(OR(J39="",Results!J17=""),"",IF(AND(J39=Results!J17,Results!J17&lt;&gt;Games!$C$169),1,0))</f>
        <v/>
      </c>
      <c r="AR39" s="13" t="str">
        <f>IF(OR(K39="",Results!K17=""),"",IF(AND(K39=Results!K17,Results!K17&lt;&gt;Games!$C$170),1,0))</f>
        <v/>
      </c>
      <c r="AS39" s="13" t="str">
        <f>IF(OR(L39="",Results!L17=""),"",IF(AND(L39=Results!L17,Results!L17&lt;&gt;Games!$C$171),1,0))</f>
        <v/>
      </c>
      <c r="AT39" s="13" t="str">
        <f>IF(OR(M39="",Results!M17=""),"",IF(AND(M39=Results!M17,Results!M17&lt;&gt;Games!$C$172),1,0))</f>
        <v/>
      </c>
      <c r="AU39" s="13" t="str">
        <f>IF(OR(N39="",Results!N17=""),"",IF(AND(N39=Results!N17,Results!N17&lt;&gt;Games!$C$173),1,0))</f>
        <v/>
      </c>
      <c r="AV39" s="14">
        <f t="shared" si="3"/>
        <v>0</v>
      </c>
    </row>
    <row r="40" spans="1:48" ht="15" customHeight="1" x14ac:dyDescent="0.25">
      <c r="A40" s="4" t="str">
        <f>INDEX(Players!$D$6:$D$69,MATCH(19,Players!$A$6:$A$69,0))</f>
        <v>Lauren C.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4" t="str">
        <f>IF(OR(B40="",Results!B17=""),"",IF(B40=Results!B17,1+IF(OR($O40=1,$P40=1,$Q40=1),1,0),0))</f>
        <v/>
      </c>
      <c r="T40" s="4" t="str">
        <f>IF(OR(C40="",Results!C17=""),"",IF(C40=Results!C17,1+IF(OR($O40=2,$P40=2,$Q40=2),1,0),0))</f>
        <v/>
      </c>
      <c r="U40" s="4" t="str">
        <f>IF(OR(D40="",Results!D17=""),"",IF(D40=Results!D17,1+IF(OR($O40=3,$P40=3,$Q40=3),1,0),0))</f>
        <v/>
      </c>
      <c r="V40" s="4" t="str">
        <f>IF(OR(E40="",Results!E17=""),"",IF(E40=Results!E17,1+IF(OR($O40=4,$P40=4,$Q40=4),1,0),0))</f>
        <v/>
      </c>
      <c r="W40" s="4" t="str">
        <f>IF(OR(F40="",Results!F17=""),"",IF(F40=Results!F17,1+IF(OR($O40=5,$P40=5,$Q40=5),1,0),0))</f>
        <v/>
      </c>
      <c r="X40" s="4" t="str">
        <f>IF(OR(G40="",Results!G17=""),"",IF(G40=Results!G17,1+IF(OR($O40=6,$P40=6,$Q40=6),1,0),0))</f>
        <v/>
      </c>
      <c r="Y40" s="4" t="str">
        <f>IF(OR(H40="",Results!H17=""),"",IF(H40=Results!H17,1+IF(OR($O40=7,$P40=7,$Q40=7),1,0),0))</f>
        <v/>
      </c>
      <c r="Z40" s="4" t="str">
        <f>IF(OR(I40="",Results!I17=""),"",IF(I40=Results!I17,1+IF(OR($O40=8,$P40=8,$Q40=8),1,0),0))</f>
        <v/>
      </c>
      <c r="AA40" s="4" t="str">
        <f>IF(OR(J40="",Results!J17=""),"",IF(J40=Results!J17,1+IF(OR($O40=9,$P40=9,$Q40=9),1,0),0))</f>
        <v/>
      </c>
      <c r="AB40" s="4" t="str">
        <f>IF(OR(K40="",Results!K17=""),"",IF(K40=Results!K17,1+IF(OR($O40=10,$P40=10,$Q40=10),1,0),0))</f>
        <v/>
      </c>
      <c r="AC40" s="4" t="str">
        <f>IF(OR(L40="",Results!L17=""),"",IF(L40=Results!L17,1+IF(OR($O40=11,$P40=11,$Q40=11),1,0),0))</f>
        <v/>
      </c>
      <c r="AD40" s="4" t="str">
        <f>IF(OR(M40="",Results!M17=""),"",IF(M40=Results!M17,1+IF(OR($O40=12,$P40=12,$Q40=12),1,0),0))</f>
        <v/>
      </c>
      <c r="AE40" s="4" t="str">
        <f>IF(OR(N40="",Results!N17=""),"",IF(N40=Results!N17,1+IF(OR($O40=13,$P40=13,$Q40=13),1,0),0))</f>
        <v/>
      </c>
      <c r="AF40" s="11">
        <f t="shared" si="2"/>
        <v>0</v>
      </c>
      <c r="AG40" s="4" t="str">
        <f>IF(OR($R40="",Results!O17=""),"",ABS($R40-Results!O17))</f>
        <v/>
      </c>
      <c r="AH40" s="12">
        <v>19</v>
      </c>
      <c r="AI40" s="13" t="str">
        <f>IF(OR(B40="",Results!B17=""),"",IF(AND(B40=Results!B17,Results!B17&lt;&gt;Games!$C$161),1,0))</f>
        <v/>
      </c>
      <c r="AJ40" s="13" t="str">
        <f>IF(OR(C40="",Results!C17=""),"",IF(AND(C40=Results!C17,Results!C17&lt;&gt;Games!$C$162),1,0))</f>
        <v/>
      </c>
      <c r="AK40" s="13" t="str">
        <f>IF(OR(D40="",Results!D17=""),"",IF(AND(D40=Results!D17,Results!D17&lt;&gt;Games!$C$163),1,0))</f>
        <v/>
      </c>
      <c r="AL40" s="13" t="str">
        <f>IF(OR(E40="",Results!E17=""),"",IF(AND(E40=Results!E17,Results!E17&lt;&gt;Games!$C$164),1,0))</f>
        <v/>
      </c>
      <c r="AM40" s="13" t="str">
        <f>IF(OR(F40="",Results!F17=""),"",IF(AND(F40=Results!F17,Results!F17&lt;&gt;Games!$C$165),1,0))</f>
        <v/>
      </c>
      <c r="AN40" s="13" t="str">
        <f>IF(OR(G40="",Results!G17=""),"",IF(AND(G40=Results!G17,Results!G17&lt;&gt;Games!$C$166),1,0))</f>
        <v/>
      </c>
      <c r="AO40" s="13" t="str">
        <f>IF(OR(H40="",Results!H17=""),"",IF(AND(H40=Results!H17,Results!H17&lt;&gt;Games!$C$167),1,0))</f>
        <v/>
      </c>
      <c r="AP40" s="13" t="str">
        <f>IF(OR(I40="",Results!I17=""),"",IF(AND(I40=Results!I17,Results!I17&lt;&gt;Games!$C$168),1,0))</f>
        <v/>
      </c>
      <c r="AQ40" s="13" t="str">
        <f>IF(OR(J40="",Results!J17=""),"",IF(AND(J40=Results!J17,Results!J17&lt;&gt;Games!$C$169),1,0))</f>
        <v/>
      </c>
      <c r="AR40" s="13" t="str">
        <f>IF(OR(K40="",Results!K17=""),"",IF(AND(K40=Results!K17,Results!K17&lt;&gt;Games!$C$170),1,0))</f>
        <v/>
      </c>
      <c r="AS40" s="13" t="str">
        <f>IF(OR(L40="",Results!L17=""),"",IF(AND(L40=Results!L17,Results!L17&lt;&gt;Games!$C$171),1,0))</f>
        <v/>
      </c>
      <c r="AT40" s="13" t="str">
        <f>IF(OR(M40="",Results!M17=""),"",IF(AND(M40=Results!M17,Results!M17&lt;&gt;Games!$C$172),1,0))</f>
        <v/>
      </c>
      <c r="AU40" s="13" t="str">
        <f>IF(OR(N40="",Results!N17=""),"",IF(AND(N40=Results!N17,Results!N17&lt;&gt;Games!$C$173),1,0))</f>
        <v/>
      </c>
      <c r="AV40" s="14">
        <f t="shared" si="3"/>
        <v>0</v>
      </c>
    </row>
    <row r="41" spans="1:48" ht="15" customHeight="1" x14ac:dyDescent="0.25">
      <c r="A41" s="4" t="str">
        <f>INDEX(Players!$D$6:$D$69,MATCH(20,Players!$A$6:$A$69,0))</f>
        <v>Lauren P.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4" t="str">
        <f>IF(OR(B41="",Results!B17=""),"",IF(B41=Results!B17,1+IF(OR($O41=1,$P41=1,$Q41=1),1,0),0))</f>
        <v/>
      </c>
      <c r="T41" s="4" t="str">
        <f>IF(OR(C41="",Results!C17=""),"",IF(C41=Results!C17,1+IF(OR($O41=2,$P41=2,$Q41=2),1,0),0))</f>
        <v/>
      </c>
      <c r="U41" s="4" t="str">
        <f>IF(OR(D41="",Results!D17=""),"",IF(D41=Results!D17,1+IF(OR($O41=3,$P41=3,$Q41=3),1,0),0))</f>
        <v/>
      </c>
      <c r="V41" s="4" t="str">
        <f>IF(OR(E41="",Results!E17=""),"",IF(E41=Results!E17,1+IF(OR($O41=4,$P41=4,$Q41=4),1,0),0))</f>
        <v/>
      </c>
      <c r="W41" s="4" t="str">
        <f>IF(OR(F41="",Results!F17=""),"",IF(F41=Results!F17,1+IF(OR($O41=5,$P41=5,$Q41=5),1,0),0))</f>
        <v/>
      </c>
      <c r="X41" s="4" t="str">
        <f>IF(OR(G41="",Results!G17=""),"",IF(G41=Results!G17,1+IF(OR($O41=6,$P41=6,$Q41=6),1,0),0))</f>
        <v/>
      </c>
      <c r="Y41" s="4" t="str">
        <f>IF(OR(H41="",Results!H17=""),"",IF(H41=Results!H17,1+IF(OR($O41=7,$P41=7,$Q41=7),1,0),0))</f>
        <v/>
      </c>
      <c r="Z41" s="4" t="str">
        <f>IF(OR(I41="",Results!I17=""),"",IF(I41=Results!I17,1+IF(OR($O41=8,$P41=8,$Q41=8),1,0),0))</f>
        <v/>
      </c>
      <c r="AA41" s="4" t="str">
        <f>IF(OR(J41="",Results!J17=""),"",IF(J41=Results!J17,1+IF(OR($O41=9,$P41=9,$Q41=9),1,0),0))</f>
        <v/>
      </c>
      <c r="AB41" s="4" t="str">
        <f>IF(OR(K41="",Results!K17=""),"",IF(K41=Results!K17,1+IF(OR($O41=10,$P41=10,$Q41=10),1,0),0))</f>
        <v/>
      </c>
      <c r="AC41" s="4" t="str">
        <f>IF(OR(L41="",Results!L17=""),"",IF(L41=Results!L17,1+IF(OR($O41=11,$P41=11,$Q41=11),1,0),0))</f>
        <v/>
      </c>
      <c r="AD41" s="4" t="str">
        <f>IF(OR(M41="",Results!M17=""),"",IF(M41=Results!M17,1+IF(OR($O41=12,$P41=12,$Q41=12),1,0),0))</f>
        <v/>
      </c>
      <c r="AE41" s="4" t="str">
        <f>IF(OR(N41="",Results!N17=""),"",IF(N41=Results!N17,1+IF(OR($O41=13,$P41=13,$Q41=13),1,0),0))</f>
        <v/>
      </c>
      <c r="AF41" s="11">
        <f t="shared" si="2"/>
        <v>0</v>
      </c>
      <c r="AG41" s="4" t="str">
        <f>IF(OR($R41="",Results!O17=""),"",ABS($R41-Results!O17))</f>
        <v/>
      </c>
      <c r="AH41" s="12">
        <v>20</v>
      </c>
      <c r="AI41" s="13" t="str">
        <f>IF(OR(B41="",Results!B17=""),"",IF(AND(B41=Results!B17,Results!B17&lt;&gt;Games!$C$161),1,0))</f>
        <v/>
      </c>
      <c r="AJ41" s="13" t="str">
        <f>IF(OR(C41="",Results!C17=""),"",IF(AND(C41=Results!C17,Results!C17&lt;&gt;Games!$C$162),1,0))</f>
        <v/>
      </c>
      <c r="AK41" s="13" t="str">
        <f>IF(OR(D41="",Results!D17=""),"",IF(AND(D41=Results!D17,Results!D17&lt;&gt;Games!$C$163),1,0))</f>
        <v/>
      </c>
      <c r="AL41" s="13" t="str">
        <f>IF(OR(E41="",Results!E17=""),"",IF(AND(E41=Results!E17,Results!E17&lt;&gt;Games!$C$164),1,0))</f>
        <v/>
      </c>
      <c r="AM41" s="13" t="str">
        <f>IF(OR(F41="",Results!F17=""),"",IF(AND(F41=Results!F17,Results!F17&lt;&gt;Games!$C$165),1,0))</f>
        <v/>
      </c>
      <c r="AN41" s="13" t="str">
        <f>IF(OR(G41="",Results!G17=""),"",IF(AND(G41=Results!G17,Results!G17&lt;&gt;Games!$C$166),1,0))</f>
        <v/>
      </c>
      <c r="AO41" s="13" t="str">
        <f>IF(OR(H41="",Results!H17=""),"",IF(AND(H41=Results!H17,Results!H17&lt;&gt;Games!$C$167),1,0))</f>
        <v/>
      </c>
      <c r="AP41" s="13" t="str">
        <f>IF(OR(I41="",Results!I17=""),"",IF(AND(I41=Results!I17,Results!I17&lt;&gt;Games!$C$168),1,0))</f>
        <v/>
      </c>
      <c r="AQ41" s="13" t="str">
        <f>IF(OR(J41="",Results!J17=""),"",IF(AND(J41=Results!J17,Results!J17&lt;&gt;Games!$C$169),1,0))</f>
        <v/>
      </c>
      <c r="AR41" s="13" t="str">
        <f>IF(OR(K41="",Results!K17=""),"",IF(AND(K41=Results!K17,Results!K17&lt;&gt;Games!$C$170),1,0))</f>
        <v/>
      </c>
      <c r="AS41" s="13" t="str">
        <f>IF(OR(L41="",Results!L17=""),"",IF(AND(L41=Results!L17,Results!L17&lt;&gt;Games!$C$171),1,0))</f>
        <v/>
      </c>
      <c r="AT41" s="13" t="str">
        <f>IF(OR(M41="",Results!M17=""),"",IF(AND(M41=Results!M17,Results!M17&lt;&gt;Games!$C$172),1,0))</f>
        <v/>
      </c>
      <c r="AU41" s="13" t="str">
        <f>IF(OR(N41="",Results!N17=""),"",IF(AND(N41=Results!N17,Results!N17&lt;&gt;Games!$C$173),1,0))</f>
        <v/>
      </c>
      <c r="AV41" s="14">
        <f t="shared" si="3"/>
        <v>0</v>
      </c>
    </row>
    <row r="42" spans="1:48" ht="15" customHeight="1" x14ac:dyDescent="0.25">
      <c r="A42" s="4" t="str">
        <f>INDEX(Players!$D$6:$D$69,MATCH(21,Players!$A$6:$A$69,0))</f>
        <v>Lucas D.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4" t="str">
        <f>IF(OR(B42="",Results!B17=""),"",IF(B42=Results!B17,1+IF(OR($O42=1,$P42=1,$Q42=1),1,0),0))</f>
        <v/>
      </c>
      <c r="T42" s="4" t="str">
        <f>IF(OR(C42="",Results!C17=""),"",IF(C42=Results!C17,1+IF(OR($O42=2,$P42=2,$Q42=2),1,0),0))</f>
        <v/>
      </c>
      <c r="U42" s="4" t="str">
        <f>IF(OR(D42="",Results!D17=""),"",IF(D42=Results!D17,1+IF(OR($O42=3,$P42=3,$Q42=3),1,0),0))</f>
        <v/>
      </c>
      <c r="V42" s="4" t="str">
        <f>IF(OR(E42="",Results!E17=""),"",IF(E42=Results!E17,1+IF(OR($O42=4,$P42=4,$Q42=4),1,0),0))</f>
        <v/>
      </c>
      <c r="W42" s="4" t="str">
        <f>IF(OR(F42="",Results!F17=""),"",IF(F42=Results!F17,1+IF(OR($O42=5,$P42=5,$Q42=5),1,0),0))</f>
        <v/>
      </c>
      <c r="X42" s="4" t="str">
        <f>IF(OR(G42="",Results!G17=""),"",IF(G42=Results!G17,1+IF(OR($O42=6,$P42=6,$Q42=6),1,0),0))</f>
        <v/>
      </c>
      <c r="Y42" s="4" t="str">
        <f>IF(OR(H42="",Results!H17=""),"",IF(H42=Results!H17,1+IF(OR($O42=7,$P42=7,$Q42=7),1,0),0))</f>
        <v/>
      </c>
      <c r="Z42" s="4" t="str">
        <f>IF(OR(I42="",Results!I17=""),"",IF(I42=Results!I17,1+IF(OR($O42=8,$P42=8,$Q42=8),1,0),0))</f>
        <v/>
      </c>
      <c r="AA42" s="4" t="str">
        <f>IF(OR(J42="",Results!J17=""),"",IF(J42=Results!J17,1+IF(OR($O42=9,$P42=9,$Q42=9),1,0),0))</f>
        <v/>
      </c>
      <c r="AB42" s="4" t="str">
        <f>IF(OR(K42="",Results!K17=""),"",IF(K42=Results!K17,1+IF(OR($O42=10,$P42=10,$Q42=10),1,0),0))</f>
        <v/>
      </c>
      <c r="AC42" s="4" t="str">
        <f>IF(OR(L42="",Results!L17=""),"",IF(L42=Results!L17,1+IF(OR($O42=11,$P42=11,$Q42=11),1,0),0))</f>
        <v/>
      </c>
      <c r="AD42" s="4" t="str">
        <f>IF(OR(M42="",Results!M17=""),"",IF(M42=Results!M17,1+IF(OR($O42=12,$P42=12,$Q42=12),1,0),0))</f>
        <v/>
      </c>
      <c r="AE42" s="4" t="str">
        <f>IF(OR(N42="",Results!N17=""),"",IF(N42=Results!N17,1+IF(OR($O42=13,$P42=13,$Q42=13),1,0),0))</f>
        <v/>
      </c>
      <c r="AF42" s="11">
        <f t="shared" si="2"/>
        <v>0</v>
      </c>
      <c r="AG42" s="4" t="str">
        <f>IF(OR($R42="",Results!O17=""),"",ABS($R42-Results!O17))</f>
        <v/>
      </c>
      <c r="AH42" s="12">
        <v>21</v>
      </c>
      <c r="AI42" s="13" t="str">
        <f>IF(OR(B42="",Results!B17=""),"",IF(AND(B42=Results!B17,Results!B17&lt;&gt;Games!$C$161),1,0))</f>
        <v/>
      </c>
      <c r="AJ42" s="13" t="str">
        <f>IF(OR(C42="",Results!C17=""),"",IF(AND(C42=Results!C17,Results!C17&lt;&gt;Games!$C$162),1,0))</f>
        <v/>
      </c>
      <c r="AK42" s="13" t="str">
        <f>IF(OR(D42="",Results!D17=""),"",IF(AND(D42=Results!D17,Results!D17&lt;&gt;Games!$C$163),1,0))</f>
        <v/>
      </c>
      <c r="AL42" s="13" t="str">
        <f>IF(OR(E42="",Results!E17=""),"",IF(AND(E42=Results!E17,Results!E17&lt;&gt;Games!$C$164),1,0))</f>
        <v/>
      </c>
      <c r="AM42" s="13" t="str">
        <f>IF(OR(F42="",Results!F17=""),"",IF(AND(F42=Results!F17,Results!F17&lt;&gt;Games!$C$165),1,0))</f>
        <v/>
      </c>
      <c r="AN42" s="13" t="str">
        <f>IF(OR(G42="",Results!G17=""),"",IF(AND(G42=Results!G17,Results!G17&lt;&gt;Games!$C$166),1,0))</f>
        <v/>
      </c>
      <c r="AO42" s="13" t="str">
        <f>IF(OR(H42="",Results!H17=""),"",IF(AND(H42=Results!H17,Results!H17&lt;&gt;Games!$C$167),1,0))</f>
        <v/>
      </c>
      <c r="AP42" s="13" t="str">
        <f>IF(OR(I42="",Results!I17=""),"",IF(AND(I42=Results!I17,Results!I17&lt;&gt;Games!$C$168),1,0))</f>
        <v/>
      </c>
      <c r="AQ42" s="13" t="str">
        <f>IF(OR(J42="",Results!J17=""),"",IF(AND(J42=Results!J17,Results!J17&lt;&gt;Games!$C$169),1,0))</f>
        <v/>
      </c>
      <c r="AR42" s="13" t="str">
        <f>IF(OR(K42="",Results!K17=""),"",IF(AND(K42=Results!K17,Results!K17&lt;&gt;Games!$C$170),1,0))</f>
        <v/>
      </c>
      <c r="AS42" s="13" t="str">
        <f>IF(OR(L42="",Results!L17=""),"",IF(AND(L42=Results!L17,Results!L17&lt;&gt;Games!$C$171),1,0))</f>
        <v/>
      </c>
      <c r="AT42" s="13" t="str">
        <f>IF(OR(M42="",Results!M17=""),"",IF(AND(M42=Results!M17,Results!M17&lt;&gt;Games!$C$172),1,0))</f>
        <v/>
      </c>
      <c r="AU42" s="13" t="str">
        <f>IF(OR(N42="",Results!N17=""),"",IF(AND(N42=Results!N17,Results!N17&lt;&gt;Games!$C$173),1,0))</f>
        <v/>
      </c>
      <c r="AV42" s="14">
        <f t="shared" si="3"/>
        <v>0</v>
      </c>
    </row>
    <row r="43" spans="1:48" ht="15" customHeight="1" x14ac:dyDescent="0.25">
      <c r="A43" s="4" t="str">
        <f>INDEX(Players!$D$6:$D$69,MATCH(22,Players!$A$6:$A$69,0))</f>
        <v>Lynn P.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4" t="str">
        <f>IF(OR(B43="",Results!B17=""),"",IF(B43=Results!B17,1+IF(OR($O43=1,$P43=1,$Q43=1),1,0),0))</f>
        <v/>
      </c>
      <c r="T43" s="4" t="str">
        <f>IF(OR(C43="",Results!C17=""),"",IF(C43=Results!C17,1+IF(OR($O43=2,$P43=2,$Q43=2),1,0),0))</f>
        <v/>
      </c>
      <c r="U43" s="4" t="str">
        <f>IF(OR(D43="",Results!D17=""),"",IF(D43=Results!D17,1+IF(OR($O43=3,$P43=3,$Q43=3),1,0),0))</f>
        <v/>
      </c>
      <c r="V43" s="4" t="str">
        <f>IF(OR(E43="",Results!E17=""),"",IF(E43=Results!E17,1+IF(OR($O43=4,$P43=4,$Q43=4),1,0),0))</f>
        <v/>
      </c>
      <c r="W43" s="4" t="str">
        <f>IF(OR(F43="",Results!F17=""),"",IF(F43=Results!F17,1+IF(OR($O43=5,$P43=5,$Q43=5),1,0),0))</f>
        <v/>
      </c>
      <c r="X43" s="4" t="str">
        <f>IF(OR(G43="",Results!G17=""),"",IF(G43=Results!G17,1+IF(OR($O43=6,$P43=6,$Q43=6),1,0),0))</f>
        <v/>
      </c>
      <c r="Y43" s="4" t="str">
        <f>IF(OR(H43="",Results!H17=""),"",IF(H43=Results!H17,1+IF(OR($O43=7,$P43=7,$Q43=7),1,0),0))</f>
        <v/>
      </c>
      <c r="Z43" s="4" t="str">
        <f>IF(OR(I43="",Results!I17=""),"",IF(I43=Results!I17,1+IF(OR($O43=8,$P43=8,$Q43=8),1,0),0))</f>
        <v/>
      </c>
      <c r="AA43" s="4" t="str">
        <f>IF(OR(J43="",Results!J17=""),"",IF(J43=Results!J17,1+IF(OR($O43=9,$P43=9,$Q43=9),1,0),0))</f>
        <v/>
      </c>
      <c r="AB43" s="4" t="str">
        <f>IF(OR(K43="",Results!K17=""),"",IF(K43=Results!K17,1+IF(OR($O43=10,$P43=10,$Q43=10),1,0),0))</f>
        <v/>
      </c>
      <c r="AC43" s="4" t="str">
        <f>IF(OR(L43="",Results!L17=""),"",IF(L43=Results!L17,1+IF(OR($O43=11,$P43=11,$Q43=11),1,0),0))</f>
        <v/>
      </c>
      <c r="AD43" s="4" t="str">
        <f>IF(OR(M43="",Results!M17=""),"",IF(M43=Results!M17,1+IF(OR($O43=12,$P43=12,$Q43=12),1,0),0))</f>
        <v/>
      </c>
      <c r="AE43" s="4" t="str">
        <f>IF(OR(N43="",Results!N17=""),"",IF(N43=Results!N17,1+IF(OR($O43=13,$P43=13,$Q43=13),1,0),0))</f>
        <v/>
      </c>
      <c r="AF43" s="11">
        <f t="shared" si="2"/>
        <v>0</v>
      </c>
      <c r="AG43" s="4" t="str">
        <f>IF(OR($R43="",Results!O17=""),"",ABS($R43-Results!O17))</f>
        <v/>
      </c>
      <c r="AH43" s="12">
        <v>22</v>
      </c>
      <c r="AI43" s="13" t="str">
        <f>IF(OR(B43="",Results!B17=""),"",IF(AND(B43=Results!B17,Results!B17&lt;&gt;Games!$C$161),1,0))</f>
        <v/>
      </c>
      <c r="AJ43" s="13" t="str">
        <f>IF(OR(C43="",Results!C17=""),"",IF(AND(C43=Results!C17,Results!C17&lt;&gt;Games!$C$162),1,0))</f>
        <v/>
      </c>
      <c r="AK43" s="13" t="str">
        <f>IF(OR(D43="",Results!D17=""),"",IF(AND(D43=Results!D17,Results!D17&lt;&gt;Games!$C$163),1,0))</f>
        <v/>
      </c>
      <c r="AL43" s="13" t="str">
        <f>IF(OR(E43="",Results!E17=""),"",IF(AND(E43=Results!E17,Results!E17&lt;&gt;Games!$C$164),1,0))</f>
        <v/>
      </c>
      <c r="AM43" s="13" t="str">
        <f>IF(OR(F43="",Results!F17=""),"",IF(AND(F43=Results!F17,Results!F17&lt;&gt;Games!$C$165),1,0))</f>
        <v/>
      </c>
      <c r="AN43" s="13" t="str">
        <f>IF(OR(G43="",Results!G17=""),"",IF(AND(G43=Results!G17,Results!G17&lt;&gt;Games!$C$166),1,0))</f>
        <v/>
      </c>
      <c r="AO43" s="13" t="str">
        <f>IF(OR(H43="",Results!H17=""),"",IF(AND(H43=Results!H17,Results!H17&lt;&gt;Games!$C$167),1,0))</f>
        <v/>
      </c>
      <c r="AP43" s="13" t="str">
        <f>IF(OR(I43="",Results!I17=""),"",IF(AND(I43=Results!I17,Results!I17&lt;&gt;Games!$C$168),1,0))</f>
        <v/>
      </c>
      <c r="AQ43" s="13" t="str">
        <f>IF(OR(J43="",Results!J17=""),"",IF(AND(J43=Results!J17,Results!J17&lt;&gt;Games!$C$169),1,0))</f>
        <v/>
      </c>
      <c r="AR43" s="13" t="str">
        <f>IF(OR(K43="",Results!K17=""),"",IF(AND(K43=Results!K17,Results!K17&lt;&gt;Games!$C$170),1,0))</f>
        <v/>
      </c>
      <c r="AS43" s="13" t="str">
        <f>IF(OR(L43="",Results!L17=""),"",IF(AND(L43=Results!L17,Results!L17&lt;&gt;Games!$C$171),1,0))</f>
        <v/>
      </c>
      <c r="AT43" s="13" t="str">
        <f>IF(OR(M43="",Results!M17=""),"",IF(AND(M43=Results!M17,Results!M17&lt;&gt;Games!$C$172),1,0))</f>
        <v/>
      </c>
      <c r="AU43" s="13" t="str">
        <f>IF(OR(N43="",Results!N17=""),"",IF(AND(N43=Results!N17,Results!N17&lt;&gt;Games!$C$173),1,0))</f>
        <v/>
      </c>
      <c r="AV43" s="14">
        <f t="shared" si="3"/>
        <v>0</v>
      </c>
    </row>
    <row r="44" spans="1:48" ht="15" customHeight="1" x14ac:dyDescent="0.25">
      <c r="A44" s="4" t="str">
        <f>INDEX(Players!$D$6:$D$69,MATCH(23,Players!$A$6:$A$69,0))</f>
        <v>Martin J.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4" t="str">
        <f>IF(OR(B44="",Results!B17=""),"",IF(B44=Results!B17,1+IF(OR($O44=1,$P44=1,$Q44=1),1,0),0))</f>
        <v/>
      </c>
      <c r="T44" s="4" t="str">
        <f>IF(OR(C44="",Results!C17=""),"",IF(C44=Results!C17,1+IF(OR($O44=2,$P44=2,$Q44=2),1,0),0))</f>
        <v/>
      </c>
      <c r="U44" s="4" t="str">
        <f>IF(OR(D44="",Results!D17=""),"",IF(D44=Results!D17,1+IF(OR($O44=3,$P44=3,$Q44=3),1,0),0))</f>
        <v/>
      </c>
      <c r="V44" s="4" t="str">
        <f>IF(OR(E44="",Results!E17=""),"",IF(E44=Results!E17,1+IF(OR($O44=4,$P44=4,$Q44=4),1,0),0))</f>
        <v/>
      </c>
      <c r="W44" s="4" t="str">
        <f>IF(OR(F44="",Results!F17=""),"",IF(F44=Results!F17,1+IF(OR($O44=5,$P44=5,$Q44=5),1,0),0))</f>
        <v/>
      </c>
      <c r="X44" s="4" t="str">
        <f>IF(OR(G44="",Results!G17=""),"",IF(G44=Results!G17,1+IF(OR($O44=6,$P44=6,$Q44=6),1,0),0))</f>
        <v/>
      </c>
      <c r="Y44" s="4" t="str">
        <f>IF(OR(H44="",Results!H17=""),"",IF(H44=Results!H17,1+IF(OR($O44=7,$P44=7,$Q44=7),1,0),0))</f>
        <v/>
      </c>
      <c r="Z44" s="4" t="str">
        <f>IF(OR(I44="",Results!I17=""),"",IF(I44=Results!I17,1+IF(OR($O44=8,$P44=8,$Q44=8),1,0),0))</f>
        <v/>
      </c>
      <c r="AA44" s="4" t="str">
        <f>IF(OR(J44="",Results!J17=""),"",IF(J44=Results!J17,1+IF(OR($O44=9,$P44=9,$Q44=9),1,0),0))</f>
        <v/>
      </c>
      <c r="AB44" s="4" t="str">
        <f>IF(OR(K44="",Results!K17=""),"",IF(K44=Results!K17,1+IF(OR($O44=10,$P44=10,$Q44=10),1,0),0))</f>
        <v/>
      </c>
      <c r="AC44" s="4" t="str">
        <f>IF(OR(L44="",Results!L17=""),"",IF(L44=Results!L17,1+IF(OR($O44=11,$P44=11,$Q44=11),1,0),0))</f>
        <v/>
      </c>
      <c r="AD44" s="4" t="str">
        <f>IF(OR(M44="",Results!M17=""),"",IF(M44=Results!M17,1+IF(OR($O44=12,$P44=12,$Q44=12),1,0),0))</f>
        <v/>
      </c>
      <c r="AE44" s="4" t="str">
        <f>IF(OR(N44="",Results!N17=""),"",IF(N44=Results!N17,1+IF(OR($O44=13,$P44=13,$Q44=13),1,0),0))</f>
        <v/>
      </c>
      <c r="AF44" s="11">
        <f t="shared" si="2"/>
        <v>0</v>
      </c>
      <c r="AG44" s="4" t="str">
        <f>IF(OR($R44="",Results!O17=""),"",ABS($R44-Results!O17))</f>
        <v/>
      </c>
      <c r="AH44" s="12">
        <v>23</v>
      </c>
      <c r="AI44" s="13" t="str">
        <f>IF(OR(B44="",Results!B17=""),"",IF(AND(B44=Results!B17,Results!B17&lt;&gt;Games!$C$161),1,0))</f>
        <v/>
      </c>
      <c r="AJ44" s="13" t="str">
        <f>IF(OR(C44="",Results!C17=""),"",IF(AND(C44=Results!C17,Results!C17&lt;&gt;Games!$C$162),1,0))</f>
        <v/>
      </c>
      <c r="AK44" s="13" t="str">
        <f>IF(OR(D44="",Results!D17=""),"",IF(AND(D44=Results!D17,Results!D17&lt;&gt;Games!$C$163),1,0))</f>
        <v/>
      </c>
      <c r="AL44" s="13" t="str">
        <f>IF(OR(E44="",Results!E17=""),"",IF(AND(E44=Results!E17,Results!E17&lt;&gt;Games!$C$164),1,0))</f>
        <v/>
      </c>
      <c r="AM44" s="13" t="str">
        <f>IF(OR(F44="",Results!F17=""),"",IF(AND(F44=Results!F17,Results!F17&lt;&gt;Games!$C$165),1,0))</f>
        <v/>
      </c>
      <c r="AN44" s="13" t="str">
        <f>IF(OR(G44="",Results!G17=""),"",IF(AND(G44=Results!G17,Results!G17&lt;&gt;Games!$C$166),1,0))</f>
        <v/>
      </c>
      <c r="AO44" s="13" t="str">
        <f>IF(OR(H44="",Results!H17=""),"",IF(AND(H44=Results!H17,Results!H17&lt;&gt;Games!$C$167),1,0))</f>
        <v/>
      </c>
      <c r="AP44" s="13" t="str">
        <f>IF(OR(I44="",Results!I17=""),"",IF(AND(I44=Results!I17,Results!I17&lt;&gt;Games!$C$168),1,0))</f>
        <v/>
      </c>
      <c r="AQ44" s="13" t="str">
        <f>IF(OR(J44="",Results!J17=""),"",IF(AND(J44=Results!J17,Results!J17&lt;&gt;Games!$C$169),1,0))</f>
        <v/>
      </c>
      <c r="AR44" s="13" t="str">
        <f>IF(OR(K44="",Results!K17=""),"",IF(AND(K44=Results!K17,Results!K17&lt;&gt;Games!$C$170),1,0))</f>
        <v/>
      </c>
      <c r="AS44" s="13" t="str">
        <f>IF(OR(L44="",Results!L17=""),"",IF(AND(L44=Results!L17,Results!L17&lt;&gt;Games!$C$171),1,0))</f>
        <v/>
      </c>
      <c r="AT44" s="13" t="str">
        <f>IF(OR(M44="",Results!M17=""),"",IF(AND(M44=Results!M17,Results!M17&lt;&gt;Games!$C$172),1,0))</f>
        <v/>
      </c>
      <c r="AU44" s="13" t="str">
        <f>IF(OR(N44="",Results!N17=""),"",IF(AND(N44=Results!N17,Results!N17&lt;&gt;Games!$C$173),1,0))</f>
        <v/>
      </c>
      <c r="AV44" s="14">
        <f t="shared" si="3"/>
        <v>0</v>
      </c>
    </row>
    <row r="45" spans="1:48" ht="15" customHeight="1" x14ac:dyDescent="0.25">
      <c r="A45" s="4" t="str">
        <f>INDEX(Players!$D$6:$D$69,MATCH(24,Players!$A$6:$A$69,0))</f>
        <v>Matt B.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4" t="str">
        <f>IF(OR(B45="",Results!B17=""),"",IF(B45=Results!B17,1+IF(OR($O45=1,$P45=1,$Q45=1),1,0),0))</f>
        <v/>
      </c>
      <c r="T45" s="4" t="str">
        <f>IF(OR(C45="",Results!C17=""),"",IF(C45=Results!C17,1+IF(OR($O45=2,$P45=2,$Q45=2),1,0),0))</f>
        <v/>
      </c>
      <c r="U45" s="4" t="str">
        <f>IF(OR(D45="",Results!D17=""),"",IF(D45=Results!D17,1+IF(OR($O45=3,$P45=3,$Q45=3),1,0),0))</f>
        <v/>
      </c>
      <c r="V45" s="4" t="str">
        <f>IF(OR(E45="",Results!E17=""),"",IF(E45=Results!E17,1+IF(OR($O45=4,$P45=4,$Q45=4),1,0),0))</f>
        <v/>
      </c>
      <c r="W45" s="4" t="str">
        <f>IF(OR(F45="",Results!F17=""),"",IF(F45=Results!F17,1+IF(OR($O45=5,$P45=5,$Q45=5),1,0),0))</f>
        <v/>
      </c>
      <c r="X45" s="4" t="str">
        <f>IF(OR(G45="",Results!G17=""),"",IF(G45=Results!G17,1+IF(OR($O45=6,$P45=6,$Q45=6),1,0),0))</f>
        <v/>
      </c>
      <c r="Y45" s="4" t="str">
        <f>IF(OR(H45="",Results!H17=""),"",IF(H45=Results!H17,1+IF(OR($O45=7,$P45=7,$Q45=7),1,0),0))</f>
        <v/>
      </c>
      <c r="Z45" s="4" t="str">
        <f>IF(OR(I45="",Results!I17=""),"",IF(I45=Results!I17,1+IF(OR($O45=8,$P45=8,$Q45=8),1,0),0))</f>
        <v/>
      </c>
      <c r="AA45" s="4" t="str">
        <f>IF(OR(J45="",Results!J17=""),"",IF(J45=Results!J17,1+IF(OR($O45=9,$P45=9,$Q45=9),1,0),0))</f>
        <v/>
      </c>
      <c r="AB45" s="4" t="str">
        <f>IF(OR(K45="",Results!K17=""),"",IF(K45=Results!K17,1+IF(OR($O45=10,$P45=10,$Q45=10),1,0),0))</f>
        <v/>
      </c>
      <c r="AC45" s="4" t="str">
        <f>IF(OR(L45="",Results!L17=""),"",IF(L45=Results!L17,1+IF(OR($O45=11,$P45=11,$Q45=11),1,0),0))</f>
        <v/>
      </c>
      <c r="AD45" s="4" t="str">
        <f>IF(OR(M45="",Results!M17=""),"",IF(M45=Results!M17,1+IF(OR($O45=12,$P45=12,$Q45=12),1,0),0))</f>
        <v/>
      </c>
      <c r="AE45" s="4" t="str">
        <f>IF(OR(N45="",Results!N17=""),"",IF(N45=Results!N17,1+IF(OR($O45=13,$P45=13,$Q45=13),1,0),0))</f>
        <v/>
      </c>
      <c r="AF45" s="11">
        <f t="shared" si="2"/>
        <v>0</v>
      </c>
      <c r="AG45" s="4" t="str">
        <f>IF(OR($R45="",Results!O17=""),"",ABS($R45-Results!O17))</f>
        <v/>
      </c>
      <c r="AH45" s="12">
        <v>24</v>
      </c>
      <c r="AI45" s="13" t="str">
        <f>IF(OR(B45="",Results!B17=""),"",IF(AND(B45=Results!B17,Results!B17&lt;&gt;Games!$C$161),1,0))</f>
        <v/>
      </c>
      <c r="AJ45" s="13" t="str">
        <f>IF(OR(C45="",Results!C17=""),"",IF(AND(C45=Results!C17,Results!C17&lt;&gt;Games!$C$162),1,0))</f>
        <v/>
      </c>
      <c r="AK45" s="13" t="str">
        <f>IF(OR(D45="",Results!D17=""),"",IF(AND(D45=Results!D17,Results!D17&lt;&gt;Games!$C$163),1,0))</f>
        <v/>
      </c>
      <c r="AL45" s="13" t="str">
        <f>IF(OR(E45="",Results!E17=""),"",IF(AND(E45=Results!E17,Results!E17&lt;&gt;Games!$C$164),1,0))</f>
        <v/>
      </c>
      <c r="AM45" s="13" t="str">
        <f>IF(OR(F45="",Results!F17=""),"",IF(AND(F45=Results!F17,Results!F17&lt;&gt;Games!$C$165),1,0))</f>
        <v/>
      </c>
      <c r="AN45" s="13" t="str">
        <f>IF(OR(G45="",Results!G17=""),"",IF(AND(G45=Results!G17,Results!G17&lt;&gt;Games!$C$166),1,0))</f>
        <v/>
      </c>
      <c r="AO45" s="13" t="str">
        <f>IF(OR(H45="",Results!H17=""),"",IF(AND(H45=Results!H17,Results!H17&lt;&gt;Games!$C$167),1,0))</f>
        <v/>
      </c>
      <c r="AP45" s="13" t="str">
        <f>IF(OR(I45="",Results!I17=""),"",IF(AND(I45=Results!I17,Results!I17&lt;&gt;Games!$C$168),1,0))</f>
        <v/>
      </c>
      <c r="AQ45" s="13" t="str">
        <f>IF(OR(J45="",Results!J17=""),"",IF(AND(J45=Results!J17,Results!J17&lt;&gt;Games!$C$169),1,0))</f>
        <v/>
      </c>
      <c r="AR45" s="13" t="str">
        <f>IF(OR(K45="",Results!K17=""),"",IF(AND(K45=Results!K17,Results!K17&lt;&gt;Games!$C$170),1,0))</f>
        <v/>
      </c>
      <c r="AS45" s="13" t="str">
        <f>IF(OR(L45="",Results!L17=""),"",IF(AND(L45=Results!L17,Results!L17&lt;&gt;Games!$C$171),1,0))</f>
        <v/>
      </c>
      <c r="AT45" s="13" t="str">
        <f>IF(OR(M45="",Results!M17=""),"",IF(AND(M45=Results!M17,Results!M17&lt;&gt;Games!$C$172),1,0))</f>
        <v/>
      </c>
      <c r="AU45" s="13" t="str">
        <f>IF(OR(N45="",Results!N17=""),"",IF(AND(N45=Results!N17,Results!N17&lt;&gt;Games!$C$173),1,0))</f>
        <v/>
      </c>
      <c r="AV45" s="14">
        <f t="shared" si="3"/>
        <v>0</v>
      </c>
    </row>
    <row r="46" spans="1:48" ht="15" customHeight="1" x14ac:dyDescent="0.25">
      <c r="A46" s="4" t="str">
        <f>INDEX(Players!$D$6:$D$69,MATCH(36,Players!$A$6:$A$69,0))</f>
        <v>Matt C.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4" t="str">
        <f>IF(OR(B46="",Results!B17=""),"",IF(B46=Results!B17,1+IF(OR($O46=1,$P46=1,$Q46=1),1,0),0))</f>
        <v/>
      </c>
      <c r="T46" s="4" t="str">
        <f>IF(OR(C46="",Results!C17=""),"",IF(C46=Results!C17,1+IF(OR($O46=2,$P46=2,$Q46=2),1,0),0))</f>
        <v/>
      </c>
      <c r="U46" s="4" t="str">
        <f>IF(OR(D46="",Results!D17=""),"",IF(D46=Results!D17,1+IF(OR($O46=3,$P46=3,$Q46=3),1,0),0))</f>
        <v/>
      </c>
      <c r="V46" s="4" t="str">
        <f>IF(OR(E46="",Results!E17=""),"",IF(E46=Results!E17,1+IF(OR($O46=4,$P46=4,$Q46=4),1,0),0))</f>
        <v/>
      </c>
      <c r="W46" s="4" t="str">
        <f>IF(OR(F46="",Results!F17=""),"",IF(F46=Results!F17,1+IF(OR($O46=5,$P46=5,$Q46=5),1,0),0))</f>
        <v/>
      </c>
      <c r="X46" s="4" t="str">
        <f>IF(OR(G46="",Results!G17=""),"",IF(G46=Results!G17,1+IF(OR($O46=6,$P46=6,$Q46=6),1,0),0))</f>
        <v/>
      </c>
      <c r="Y46" s="4" t="str">
        <f>IF(OR(H46="",Results!H17=""),"",IF(H46=Results!H17,1+IF(OR($O46=7,$P46=7,$Q46=7),1,0),0))</f>
        <v/>
      </c>
      <c r="Z46" s="4" t="str">
        <f>IF(OR(I46="",Results!I17=""),"",IF(I46=Results!I17,1+IF(OR($O46=8,$P46=8,$Q46=8),1,0),0))</f>
        <v/>
      </c>
      <c r="AA46" s="4" t="str">
        <f>IF(OR(J46="",Results!J17=""),"",IF(J46=Results!J17,1+IF(OR($O46=9,$P46=9,$Q46=9),1,0),0))</f>
        <v/>
      </c>
      <c r="AB46" s="4" t="str">
        <f>IF(OR(K46="",Results!K17=""),"",IF(K46=Results!K17,1+IF(OR($O46=10,$P46=10,$Q46=10),1,0),0))</f>
        <v/>
      </c>
      <c r="AC46" s="4" t="str">
        <f>IF(OR(L46="",Results!L17=""),"",IF(L46=Results!L17,1+IF(OR($O46=11,$P46=11,$Q46=11),1,0),0))</f>
        <v/>
      </c>
      <c r="AD46" s="4" t="str">
        <f>IF(OR(M46="",Results!M17=""),"",IF(M46=Results!M17,1+IF(OR($O46=12,$P46=12,$Q46=12),1,0),0))</f>
        <v/>
      </c>
      <c r="AE46" s="4" t="str">
        <f>IF(OR(N46="",Results!N17=""),"",IF(N46=Results!N17,1+IF(OR($O46=13,$P46=13,$Q46=13),1,0),0))</f>
        <v/>
      </c>
      <c r="AF46" s="11">
        <f t="shared" si="2"/>
        <v>0</v>
      </c>
      <c r="AG46" s="4" t="str">
        <f>IF(OR($R46="",Results!O17=""),"",ABS($R46-Results!O17))</f>
        <v/>
      </c>
      <c r="AH46" s="12">
        <v>36</v>
      </c>
      <c r="AI46" s="13" t="str">
        <f>IF(OR(B46="",Results!B17=""),"",IF(AND(B46=Results!B17,Results!B17&lt;&gt;Games!$C$161),1,0))</f>
        <v/>
      </c>
      <c r="AJ46" s="13" t="str">
        <f>IF(OR(C46="",Results!C17=""),"",IF(AND(C46=Results!C17,Results!C17&lt;&gt;Games!$C$162),1,0))</f>
        <v/>
      </c>
      <c r="AK46" s="13" t="str">
        <f>IF(OR(D46="",Results!D17=""),"",IF(AND(D46=Results!D17,Results!D17&lt;&gt;Games!$C$163),1,0))</f>
        <v/>
      </c>
      <c r="AL46" s="13" t="str">
        <f>IF(OR(E46="",Results!E17=""),"",IF(AND(E46=Results!E17,Results!E17&lt;&gt;Games!$C$164),1,0))</f>
        <v/>
      </c>
      <c r="AM46" s="13" t="str">
        <f>IF(OR(F46="",Results!F17=""),"",IF(AND(F46=Results!F17,Results!F17&lt;&gt;Games!$C$165),1,0))</f>
        <v/>
      </c>
      <c r="AN46" s="13" t="str">
        <f>IF(OR(G46="",Results!G17=""),"",IF(AND(G46=Results!G17,Results!G17&lt;&gt;Games!$C$166),1,0))</f>
        <v/>
      </c>
      <c r="AO46" s="13" t="str">
        <f>IF(OR(H46="",Results!H17=""),"",IF(AND(H46=Results!H17,Results!H17&lt;&gt;Games!$C$167),1,0))</f>
        <v/>
      </c>
      <c r="AP46" s="13" t="str">
        <f>IF(OR(I46="",Results!I17=""),"",IF(AND(I46=Results!I17,Results!I17&lt;&gt;Games!$C$168),1,0))</f>
        <v/>
      </c>
      <c r="AQ46" s="13" t="str">
        <f>IF(OR(J46="",Results!J17=""),"",IF(AND(J46=Results!J17,Results!J17&lt;&gt;Games!$C$169),1,0))</f>
        <v/>
      </c>
      <c r="AR46" s="13" t="str">
        <f>IF(OR(K46="",Results!K17=""),"",IF(AND(K46=Results!K17,Results!K17&lt;&gt;Games!$C$170),1,0))</f>
        <v/>
      </c>
      <c r="AS46" s="13" t="str">
        <f>IF(OR(L46="",Results!L17=""),"",IF(AND(L46=Results!L17,Results!L17&lt;&gt;Games!$C$171),1,0))</f>
        <v/>
      </c>
      <c r="AT46" s="13" t="str">
        <f>IF(OR(M46="",Results!M17=""),"",IF(AND(M46=Results!M17,Results!M17&lt;&gt;Games!$C$172),1,0))</f>
        <v/>
      </c>
      <c r="AU46" s="13" t="str">
        <f>IF(OR(N46="",Results!N17=""),"",IF(AND(N46=Results!N17,Results!N17&lt;&gt;Games!$C$173),1,0))</f>
        <v/>
      </c>
      <c r="AV46" s="14">
        <f t="shared" si="3"/>
        <v>0</v>
      </c>
    </row>
    <row r="47" spans="1:48" ht="15" customHeight="1" x14ac:dyDescent="0.25">
      <c r="A47" s="4" t="str">
        <f>INDEX(Players!$D$6:$D$69,MATCH(25,Players!$A$6:$A$69,0))</f>
        <v>Max R.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4" t="str">
        <f>IF(OR(B47="",Results!B17=""),"",IF(B47=Results!B17,1+IF(OR($O47=1,$P47=1,$Q47=1),1,0),0))</f>
        <v/>
      </c>
      <c r="T47" s="4" t="str">
        <f>IF(OR(C47="",Results!C17=""),"",IF(C47=Results!C17,1+IF(OR($O47=2,$P47=2,$Q47=2),1,0),0))</f>
        <v/>
      </c>
      <c r="U47" s="4" t="str">
        <f>IF(OR(D47="",Results!D17=""),"",IF(D47=Results!D17,1+IF(OR($O47=3,$P47=3,$Q47=3),1,0),0))</f>
        <v/>
      </c>
      <c r="V47" s="4" t="str">
        <f>IF(OR(E47="",Results!E17=""),"",IF(E47=Results!E17,1+IF(OR($O47=4,$P47=4,$Q47=4),1,0),0))</f>
        <v/>
      </c>
      <c r="W47" s="4" t="str">
        <f>IF(OR(F47="",Results!F17=""),"",IF(F47=Results!F17,1+IF(OR($O47=5,$P47=5,$Q47=5),1,0),0))</f>
        <v/>
      </c>
      <c r="X47" s="4" t="str">
        <f>IF(OR(G47="",Results!G17=""),"",IF(G47=Results!G17,1+IF(OR($O47=6,$P47=6,$Q47=6),1,0),0))</f>
        <v/>
      </c>
      <c r="Y47" s="4" t="str">
        <f>IF(OR(H47="",Results!H17=""),"",IF(H47=Results!H17,1+IF(OR($O47=7,$P47=7,$Q47=7),1,0),0))</f>
        <v/>
      </c>
      <c r="Z47" s="4" t="str">
        <f>IF(OR(I47="",Results!I17=""),"",IF(I47=Results!I17,1+IF(OR($O47=8,$P47=8,$Q47=8),1,0),0))</f>
        <v/>
      </c>
      <c r="AA47" s="4" t="str">
        <f>IF(OR(J47="",Results!J17=""),"",IF(J47=Results!J17,1+IF(OR($O47=9,$P47=9,$Q47=9),1,0),0))</f>
        <v/>
      </c>
      <c r="AB47" s="4" t="str">
        <f>IF(OR(K47="",Results!K17=""),"",IF(K47=Results!K17,1+IF(OR($O47=10,$P47=10,$Q47=10),1,0),0))</f>
        <v/>
      </c>
      <c r="AC47" s="4" t="str">
        <f>IF(OR(L47="",Results!L17=""),"",IF(L47=Results!L17,1+IF(OR($O47=11,$P47=11,$Q47=11),1,0),0))</f>
        <v/>
      </c>
      <c r="AD47" s="4" t="str">
        <f>IF(OR(M47="",Results!M17=""),"",IF(M47=Results!M17,1+IF(OR($O47=12,$P47=12,$Q47=12),1,0),0))</f>
        <v/>
      </c>
      <c r="AE47" s="4" t="str">
        <f>IF(OR(N47="",Results!N17=""),"",IF(N47=Results!N17,1+IF(OR($O47=13,$P47=13,$Q47=13),1,0),0))</f>
        <v/>
      </c>
      <c r="AF47" s="11">
        <f t="shared" si="2"/>
        <v>0</v>
      </c>
      <c r="AG47" s="4" t="str">
        <f>IF(OR($R47="",Results!O17=""),"",ABS($R47-Results!O17))</f>
        <v/>
      </c>
      <c r="AH47" s="12">
        <v>25</v>
      </c>
      <c r="AI47" s="13" t="str">
        <f>IF(OR(B47="",Results!B17=""),"",IF(AND(B47=Results!B17,Results!B17&lt;&gt;Games!$C$161),1,0))</f>
        <v/>
      </c>
      <c r="AJ47" s="13" t="str">
        <f>IF(OR(C47="",Results!C17=""),"",IF(AND(C47=Results!C17,Results!C17&lt;&gt;Games!$C$162),1,0))</f>
        <v/>
      </c>
      <c r="AK47" s="13" t="str">
        <f>IF(OR(D47="",Results!D17=""),"",IF(AND(D47=Results!D17,Results!D17&lt;&gt;Games!$C$163),1,0))</f>
        <v/>
      </c>
      <c r="AL47" s="13" t="str">
        <f>IF(OR(E47="",Results!E17=""),"",IF(AND(E47=Results!E17,Results!E17&lt;&gt;Games!$C$164),1,0))</f>
        <v/>
      </c>
      <c r="AM47" s="13" t="str">
        <f>IF(OR(F47="",Results!F17=""),"",IF(AND(F47=Results!F17,Results!F17&lt;&gt;Games!$C$165),1,0))</f>
        <v/>
      </c>
      <c r="AN47" s="13" t="str">
        <f>IF(OR(G47="",Results!G17=""),"",IF(AND(G47=Results!G17,Results!G17&lt;&gt;Games!$C$166),1,0))</f>
        <v/>
      </c>
      <c r="AO47" s="13" t="str">
        <f>IF(OR(H47="",Results!H17=""),"",IF(AND(H47=Results!H17,Results!H17&lt;&gt;Games!$C$167),1,0))</f>
        <v/>
      </c>
      <c r="AP47" s="13" t="str">
        <f>IF(OR(I47="",Results!I17=""),"",IF(AND(I47=Results!I17,Results!I17&lt;&gt;Games!$C$168),1,0))</f>
        <v/>
      </c>
      <c r="AQ47" s="13" t="str">
        <f>IF(OR(J47="",Results!J17=""),"",IF(AND(J47=Results!J17,Results!J17&lt;&gt;Games!$C$169),1,0))</f>
        <v/>
      </c>
      <c r="AR47" s="13" t="str">
        <f>IF(OR(K47="",Results!K17=""),"",IF(AND(K47=Results!K17,Results!K17&lt;&gt;Games!$C$170),1,0))</f>
        <v/>
      </c>
      <c r="AS47" s="13" t="str">
        <f>IF(OR(L47="",Results!L17=""),"",IF(AND(L47=Results!L17,Results!L17&lt;&gt;Games!$C$171),1,0))</f>
        <v/>
      </c>
      <c r="AT47" s="13" t="str">
        <f>IF(OR(M47="",Results!M17=""),"",IF(AND(M47=Results!M17,Results!M17&lt;&gt;Games!$C$172),1,0))</f>
        <v/>
      </c>
      <c r="AU47" s="13" t="str">
        <f>IF(OR(N47="",Results!N17=""),"",IF(AND(N47=Results!N17,Results!N17&lt;&gt;Games!$C$173),1,0))</f>
        <v/>
      </c>
      <c r="AV47" s="14">
        <f t="shared" si="3"/>
        <v>0</v>
      </c>
    </row>
    <row r="48" spans="1:48" ht="15" customHeight="1" x14ac:dyDescent="0.25">
      <c r="A48" s="4" t="str">
        <f>INDEX(Players!$D$6:$D$69,MATCH(56,Players!$A$6:$A$69,0))</f>
        <v>Merritt E.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4" t="str">
        <f>IF(OR(B48="",Results!B17=""),"",IF(B48=Results!B17,1+IF(OR($O48=1,$P48=1,$Q48=1),1,0),0))</f>
        <v/>
      </c>
      <c r="T48" s="4" t="str">
        <f>IF(OR(C48="",Results!C17=""),"",IF(C48=Results!C17,1+IF(OR($O48=2,$P48=2,$Q48=2),1,0),0))</f>
        <v/>
      </c>
      <c r="U48" s="4" t="str">
        <f>IF(OR(D48="",Results!D17=""),"",IF(D48=Results!D17,1+IF(OR($O48=3,$P48=3,$Q48=3),1,0),0))</f>
        <v/>
      </c>
      <c r="V48" s="4" t="str">
        <f>IF(OR(E48="",Results!E17=""),"",IF(E48=Results!E17,1+IF(OR($O48=4,$P48=4,$Q48=4),1,0),0))</f>
        <v/>
      </c>
      <c r="W48" s="4" t="str">
        <f>IF(OR(F48="",Results!F17=""),"",IF(F48=Results!F17,1+IF(OR($O48=5,$P48=5,$Q48=5),1,0),0))</f>
        <v/>
      </c>
      <c r="X48" s="4" t="str">
        <f>IF(OR(G48="",Results!G17=""),"",IF(G48=Results!G17,1+IF(OR($O48=6,$P48=6,$Q48=6),1,0),0))</f>
        <v/>
      </c>
      <c r="Y48" s="4" t="str">
        <f>IF(OR(H48="",Results!H17=""),"",IF(H48=Results!H17,1+IF(OR($O48=7,$P48=7,$Q48=7),1,0),0))</f>
        <v/>
      </c>
      <c r="Z48" s="4" t="str">
        <f>IF(OR(I48="",Results!I17=""),"",IF(I48=Results!I17,1+IF(OR($O48=8,$P48=8,$Q48=8),1,0),0))</f>
        <v/>
      </c>
      <c r="AA48" s="4" t="str">
        <f>IF(OR(J48="",Results!J17=""),"",IF(J48=Results!J17,1+IF(OR($O48=9,$P48=9,$Q48=9),1,0),0))</f>
        <v/>
      </c>
      <c r="AB48" s="4" t="str">
        <f>IF(OR(K48="",Results!K17=""),"",IF(K48=Results!K17,1+IF(OR($O48=10,$P48=10,$Q48=10),1,0),0))</f>
        <v/>
      </c>
      <c r="AC48" s="4" t="str">
        <f>IF(OR(L48="",Results!L17=""),"",IF(L48=Results!L17,1+IF(OR($O48=11,$P48=11,$Q48=11),1,0),0))</f>
        <v/>
      </c>
      <c r="AD48" s="4" t="str">
        <f>IF(OR(M48="",Results!M17=""),"",IF(M48=Results!M17,1+IF(OR($O48=12,$P48=12,$Q48=12),1,0),0))</f>
        <v/>
      </c>
      <c r="AE48" s="4" t="str">
        <f>IF(OR(N48="",Results!N17=""),"",IF(N48=Results!N17,1+IF(OR($O48=13,$P48=13,$Q48=13),1,0),0))</f>
        <v/>
      </c>
      <c r="AF48" s="11">
        <f t="shared" si="2"/>
        <v>0</v>
      </c>
      <c r="AG48" s="4" t="str">
        <f>IF(OR($R48="",Results!O17=""),"",ABS($R48-Results!O17))</f>
        <v/>
      </c>
      <c r="AH48" s="12">
        <v>56</v>
      </c>
      <c r="AI48" s="13" t="str">
        <f>IF(OR(B48="",Results!B17=""),"",IF(AND(B48=Results!B17,Results!B17&lt;&gt;Games!$C$161),1,0))</f>
        <v/>
      </c>
      <c r="AJ48" s="13" t="str">
        <f>IF(OR(C48="",Results!C17=""),"",IF(AND(C48=Results!C17,Results!C17&lt;&gt;Games!$C$162),1,0))</f>
        <v/>
      </c>
      <c r="AK48" s="13" t="str">
        <f>IF(OR(D48="",Results!D17=""),"",IF(AND(D48=Results!D17,Results!D17&lt;&gt;Games!$C$163),1,0))</f>
        <v/>
      </c>
      <c r="AL48" s="13" t="str">
        <f>IF(OR(E48="",Results!E17=""),"",IF(AND(E48=Results!E17,Results!E17&lt;&gt;Games!$C$164),1,0))</f>
        <v/>
      </c>
      <c r="AM48" s="13" t="str">
        <f>IF(OR(F48="",Results!F17=""),"",IF(AND(F48=Results!F17,Results!F17&lt;&gt;Games!$C$165),1,0))</f>
        <v/>
      </c>
      <c r="AN48" s="13" t="str">
        <f>IF(OR(G48="",Results!G17=""),"",IF(AND(G48=Results!G17,Results!G17&lt;&gt;Games!$C$166),1,0))</f>
        <v/>
      </c>
      <c r="AO48" s="13" t="str">
        <f>IF(OR(H48="",Results!H17=""),"",IF(AND(H48=Results!H17,Results!H17&lt;&gt;Games!$C$167),1,0))</f>
        <v/>
      </c>
      <c r="AP48" s="13" t="str">
        <f>IF(OR(I48="",Results!I17=""),"",IF(AND(I48=Results!I17,Results!I17&lt;&gt;Games!$C$168),1,0))</f>
        <v/>
      </c>
      <c r="AQ48" s="13" t="str">
        <f>IF(OR(J48="",Results!J17=""),"",IF(AND(J48=Results!J17,Results!J17&lt;&gt;Games!$C$169),1,0))</f>
        <v/>
      </c>
      <c r="AR48" s="13" t="str">
        <f>IF(OR(K48="",Results!K17=""),"",IF(AND(K48=Results!K17,Results!K17&lt;&gt;Games!$C$170),1,0))</f>
        <v/>
      </c>
      <c r="AS48" s="13" t="str">
        <f>IF(OR(L48="",Results!L17=""),"",IF(AND(L48=Results!L17,Results!L17&lt;&gt;Games!$C$171),1,0))</f>
        <v/>
      </c>
      <c r="AT48" s="13" t="str">
        <f>IF(OR(M48="",Results!M17=""),"",IF(AND(M48=Results!M17,Results!M17&lt;&gt;Games!$C$172),1,0))</f>
        <v/>
      </c>
      <c r="AU48" s="13" t="str">
        <f>IF(OR(N48="",Results!N17=""),"",IF(AND(N48=Results!N17,Results!N17&lt;&gt;Games!$C$173),1,0))</f>
        <v/>
      </c>
      <c r="AV48" s="14">
        <f t="shared" si="3"/>
        <v>0</v>
      </c>
    </row>
    <row r="49" spans="1:48" ht="15" customHeight="1" x14ac:dyDescent="0.25">
      <c r="A49" s="4" t="str">
        <f>INDEX(Players!$D$6:$D$69,MATCH(34,Players!$A$6:$A$69,0))</f>
        <v>Mike B.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4" t="str">
        <f>IF(OR(B49="",Results!B17=""),"",IF(B49=Results!B17,1+IF(OR($O49=1,$P49=1,$Q49=1),1,0),0))</f>
        <v/>
      </c>
      <c r="T49" s="4" t="str">
        <f>IF(OR(C49="",Results!C17=""),"",IF(C49=Results!C17,1+IF(OR($O49=2,$P49=2,$Q49=2),1,0),0))</f>
        <v/>
      </c>
      <c r="U49" s="4" t="str">
        <f>IF(OR(D49="",Results!D17=""),"",IF(D49=Results!D17,1+IF(OR($O49=3,$P49=3,$Q49=3),1,0),0))</f>
        <v/>
      </c>
      <c r="V49" s="4" t="str">
        <f>IF(OR(E49="",Results!E17=""),"",IF(E49=Results!E17,1+IF(OR($O49=4,$P49=4,$Q49=4),1,0),0))</f>
        <v/>
      </c>
      <c r="W49" s="4" t="str">
        <f>IF(OR(F49="",Results!F17=""),"",IF(F49=Results!F17,1+IF(OR($O49=5,$P49=5,$Q49=5),1,0),0))</f>
        <v/>
      </c>
      <c r="X49" s="4" t="str">
        <f>IF(OR(G49="",Results!G17=""),"",IF(G49=Results!G17,1+IF(OR($O49=6,$P49=6,$Q49=6),1,0),0))</f>
        <v/>
      </c>
      <c r="Y49" s="4" t="str">
        <f>IF(OR(H49="",Results!H17=""),"",IF(H49=Results!H17,1+IF(OR($O49=7,$P49=7,$Q49=7),1,0),0))</f>
        <v/>
      </c>
      <c r="Z49" s="4" t="str">
        <f>IF(OR(I49="",Results!I17=""),"",IF(I49=Results!I17,1+IF(OR($O49=8,$P49=8,$Q49=8),1,0),0))</f>
        <v/>
      </c>
      <c r="AA49" s="4" t="str">
        <f>IF(OR(J49="",Results!J17=""),"",IF(J49=Results!J17,1+IF(OR($O49=9,$P49=9,$Q49=9),1,0),0))</f>
        <v/>
      </c>
      <c r="AB49" s="4" t="str">
        <f>IF(OR(K49="",Results!K17=""),"",IF(K49=Results!K17,1+IF(OR($O49=10,$P49=10,$Q49=10),1,0),0))</f>
        <v/>
      </c>
      <c r="AC49" s="4" t="str">
        <f>IF(OR(L49="",Results!L17=""),"",IF(L49=Results!L17,1+IF(OR($O49=11,$P49=11,$Q49=11),1,0),0))</f>
        <v/>
      </c>
      <c r="AD49" s="4" t="str">
        <f>IF(OR(M49="",Results!M17=""),"",IF(M49=Results!M17,1+IF(OR($O49=12,$P49=12,$Q49=12),1,0),0))</f>
        <v/>
      </c>
      <c r="AE49" s="4" t="str">
        <f>IF(OR(N49="",Results!N17=""),"",IF(N49=Results!N17,1+IF(OR($O49=13,$P49=13,$Q49=13),1,0),0))</f>
        <v/>
      </c>
      <c r="AF49" s="11">
        <f t="shared" si="2"/>
        <v>0</v>
      </c>
      <c r="AG49" s="4" t="str">
        <f>IF(OR($R49="",Results!O17=""),"",ABS($R49-Results!O17))</f>
        <v/>
      </c>
      <c r="AH49" s="12">
        <v>34</v>
      </c>
      <c r="AI49" s="13" t="str">
        <f>IF(OR(B49="",Results!B17=""),"",IF(AND(B49=Results!B17,Results!B17&lt;&gt;Games!$C$161),1,0))</f>
        <v/>
      </c>
      <c r="AJ49" s="13" t="str">
        <f>IF(OR(C49="",Results!C17=""),"",IF(AND(C49=Results!C17,Results!C17&lt;&gt;Games!$C$162),1,0))</f>
        <v/>
      </c>
      <c r="AK49" s="13" t="str">
        <f>IF(OR(D49="",Results!D17=""),"",IF(AND(D49=Results!D17,Results!D17&lt;&gt;Games!$C$163),1,0))</f>
        <v/>
      </c>
      <c r="AL49" s="13" t="str">
        <f>IF(OR(E49="",Results!E17=""),"",IF(AND(E49=Results!E17,Results!E17&lt;&gt;Games!$C$164),1,0))</f>
        <v/>
      </c>
      <c r="AM49" s="13" t="str">
        <f>IF(OR(F49="",Results!F17=""),"",IF(AND(F49=Results!F17,Results!F17&lt;&gt;Games!$C$165),1,0))</f>
        <v/>
      </c>
      <c r="AN49" s="13" t="str">
        <f>IF(OR(G49="",Results!G17=""),"",IF(AND(G49=Results!G17,Results!G17&lt;&gt;Games!$C$166),1,0))</f>
        <v/>
      </c>
      <c r="AO49" s="13" t="str">
        <f>IF(OR(H49="",Results!H17=""),"",IF(AND(H49=Results!H17,Results!H17&lt;&gt;Games!$C$167),1,0))</f>
        <v/>
      </c>
      <c r="AP49" s="13" t="str">
        <f>IF(OR(I49="",Results!I17=""),"",IF(AND(I49=Results!I17,Results!I17&lt;&gt;Games!$C$168),1,0))</f>
        <v/>
      </c>
      <c r="AQ49" s="13" t="str">
        <f>IF(OR(J49="",Results!J17=""),"",IF(AND(J49=Results!J17,Results!J17&lt;&gt;Games!$C$169),1,0))</f>
        <v/>
      </c>
      <c r="AR49" s="13" t="str">
        <f>IF(OR(K49="",Results!K17=""),"",IF(AND(K49=Results!K17,Results!K17&lt;&gt;Games!$C$170),1,0))</f>
        <v/>
      </c>
      <c r="AS49" s="13" t="str">
        <f>IF(OR(L49="",Results!L17=""),"",IF(AND(L49=Results!L17,Results!L17&lt;&gt;Games!$C$171),1,0))</f>
        <v/>
      </c>
      <c r="AT49" s="13" t="str">
        <f>IF(OR(M49="",Results!M17=""),"",IF(AND(M49=Results!M17,Results!M17&lt;&gt;Games!$C$172),1,0))</f>
        <v/>
      </c>
      <c r="AU49" s="13" t="str">
        <f>IF(OR(N49="",Results!N17=""),"",IF(AND(N49=Results!N17,Results!N17&lt;&gt;Games!$C$173),1,0))</f>
        <v/>
      </c>
      <c r="AV49" s="14">
        <f t="shared" si="3"/>
        <v>0</v>
      </c>
    </row>
    <row r="50" spans="1:48" ht="15" customHeight="1" x14ac:dyDescent="0.25">
      <c r="A50" s="4" t="str">
        <f>INDEX(Players!$D$6:$D$69,MATCH(40,Players!$A$6:$A$69,0))</f>
        <v>Mike C.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4" t="str">
        <f>IF(OR(B50="",Results!B17=""),"",IF(B50=Results!B17,1+IF(OR($O50=1,$P50=1,$Q50=1),1,0),0))</f>
        <v/>
      </c>
      <c r="T50" s="4" t="str">
        <f>IF(OR(C50="",Results!C17=""),"",IF(C50=Results!C17,1+IF(OR($O50=2,$P50=2,$Q50=2),1,0),0))</f>
        <v/>
      </c>
      <c r="U50" s="4" t="str">
        <f>IF(OR(D50="",Results!D17=""),"",IF(D50=Results!D17,1+IF(OR($O50=3,$P50=3,$Q50=3),1,0),0))</f>
        <v/>
      </c>
      <c r="V50" s="4" t="str">
        <f>IF(OR(E50="",Results!E17=""),"",IF(E50=Results!E17,1+IF(OR($O50=4,$P50=4,$Q50=4),1,0),0))</f>
        <v/>
      </c>
      <c r="W50" s="4" t="str">
        <f>IF(OR(F50="",Results!F17=""),"",IF(F50=Results!F17,1+IF(OR($O50=5,$P50=5,$Q50=5),1,0),0))</f>
        <v/>
      </c>
      <c r="X50" s="4" t="str">
        <f>IF(OR(G50="",Results!G17=""),"",IF(G50=Results!G17,1+IF(OR($O50=6,$P50=6,$Q50=6),1,0),0))</f>
        <v/>
      </c>
      <c r="Y50" s="4" t="str">
        <f>IF(OR(H50="",Results!H17=""),"",IF(H50=Results!H17,1+IF(OR($O50=7,$P50=7,$Q50=7),1,0),0))</f>
        <v/>
      </c>
      <c r="Z50" s="4" t="str">
        <f>IF(OR(I50="",Results!I17=""),"",IF(I50=Results!I17,1+IF(OR($O50=8,$P50=8,$Q50=8),1,0),0))</f>
        <v/>
      </c>
      <c r="AA50" s="4" t="str">
        <f>IF(OR(J50="",Results!J17=""),"",IF(J50=Results!J17,1+IF(OR($O50=9,$P50=9,$Q50=9),1,0),0))</f>
        <v/>
      </c>
      <c r="AB50" s="4" t="str">
        <f>IF(OR(K50="",Results!K17=""),"",IF(K50=Results!K17,1+IF(OR($O50=10,$P50=10,$Q50=10),1,0),0))</f>
        <v/>
      </c>
      <c r="AC50" s="4" t="str">
        <f>IF(OR(L50="",Results!L17=""),"",IF(L50=Results!L17,1+IF(OR($O50=11,$P50=11,$Q50=11),1,0),0))</f>
        <v/>
      </c>
      <c r="AD50" s="4" t="str">
        <f>IF(OR(M50="",Results!M17=""),"",IF(M50=Results!M17,1+IF(OR($O50=12,$P50=12,$Q50=12),1,0),0))</f>
        <v/>
      </c>
      <c r="AE50" s="4" t="str">
        <f>IF(OR(N50="",Results!N17=""),"",IF(N50=Results!N17,1+IF(OR($O50=13,$P50=13,$Q50=13),1,0),0))</f>
        <v/>
      </c>
      <c r="AF50" s="11">
        <f t="shared" si="2"/>
        <v>0</v>
      </c>
      <c r="AG50" s="4" t="str">
        <f>IF(OR($R50="",Results!O17=""),"",ABS($R50-Results!O17))</f>
        <v/>
      </c>
      <c r="AH50" s="12">
        <v>40</v>
      </c>
      <c r="AI50" s="13" t="str">
        <f>IF(OR(B50="",Results!B17=""),"",IF(AND(B50=Results!B17,Results!B17&lt;&gt;Games!$C$161),1,0))</f>
        <v/>
      </c>
      <c r="AJ50" s="13" t="str">
        <f>IF(OR(C50="",Results!C17=""),"",IF(AND(C50=Results!C17,Results!C17&lt;&gt;Games!$C$162),1,0))</f>
        <v/>
      </c>
      <c r="AK50" s="13" t="str">
        <f>IF(OR(D50="",Results!D17=""),"",IF(AND(D50=Results!D17,Results!D17&lt;&gt;Games!$C$163),1,0))</f>
        <v/>
      </c>
      <c r="AL50" s="13" t="str">
        <f>IF(OR(E50="",Results!E17=""),"",IF(AND(E50=Results!E17,Results!E17&lt;&gt;Games!$C$164),1,0))</f>
        <v/>
      </c>
      <c r="AM50" s="13" t="str">
        <f>IF(OR(F50="",Results!F17=""),"",IF(AND(F50=Results!F17,Results!F17&lt;&gt;Games!$C$165),1,0))</f>
        <v/>
      </c>
      <c r="AN50" s="13" t="str">
        <f>IF(OR(G50="",Results!G17=""),"",IF(AND(G50=Results!G17,Results!G17&lt;&gt;Games!$C$166),1,0))</f>
        <v/>
      </c>
      <c r="AO50" s="13" t="str">
        <f>IF(OR(H50="",Results!H17=""),"",IF(AND(H50=Results!H17,Results!H17&lt;&gt;Games!$C$167),1,0))</f>
        <v/>
      </c>
      <c r="AP50" s="13" t="str">
        <f>IF(OR(I50="",Results!I17=""),"",IF(AND(I50=Results!I17,Results!I17&lt;&gt;Games!$C$168),1,0))</f>
        <v/>
      </c>
      <c r="AQ50" s="13" t="str">
        <f>IF(OR(J50="",Results!J17=""),"",IF(AND(J50=Results!J17,Results!J17&lt;&gt;Games!$C$169),1,0))</f>
        <v/>
      </c>
      <c r="AR50" s="13" t="str">
        <f>IF(OR(K50="",Results!K17=""),"",IF(AND(K50=Results!K17,Results!K17&lt;&gt;Games!$C$170),1,0))</f>
        <v/>
      </c>
      <c r="AS50" s="13" t="str">
        <f>IF(OR(L50="",Results!L17=""),"",IF(AND(L50=Results!L17,Results!L17&lt;&gt;Games!$C$171),1,0))</f>
        <v/>
      </c>
      <c r="AT50" s="13" t="str">
        <f>IF(OR(M50="",Results!M17=""),"",IF(AND(M50=Results!M17,Results!M17&lt;&gt;Games!$C$172),1,0))</f>
        <v/>
      </c>
      <c r="AU50" s="13" t="str">
        <f>IF(OR(N50="",Results!N17=""),"",IF(AND(N50=Results!N17,Results!N17&lt;&gt;Games!$C$173),1,0))</f>
        <v/>
      </c>
      <c r="AV50" s="14">
        <f t="shared" si="3"/>
        <v>0</v>
      </c>
    </row>
    <row r="51" spans="1:48" ht="15" customHeight="1" x14ac:dyDescent="0.25">
      <c r="A51" s="4" t="str">
        <f>INDEX(Players!$D$6:$D$69,MATCH(42,Players!$A$6:$A$69,0))</f>
        <v>Nathan P.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4" t="str">
        <f>IF(OR(B51="",Results!B17=""),"",IF(B51=Results!B17,1+IF(OR($O51=1,$P51=1,$Q51=1),1,0),0))</f>
        <v/>
      </c>
      <c r="T51" s="4" t="str">
        <f>IF(OR(C51="",Results!C17=""),"",IF(C51=Results!C17,1+IF(OR($O51=2,$P51=2,$Q51=2),1,0),0))</f>
        <v/>
      </c>
      <c r="U51" s="4" t="str">
        <f>IF(OR(D51="",Results!D17=""),"",IF(D51=Results!D17,1+IF(OR($O51=3,$P51=3,$Q51=3),1,0),0))</f>
        <v/>
      </c>
      <c r="V51" s="4" t="str">
        <f>IF(OR(E51="",Results!E17=""),"",IF(E51=Results!E17,1+IF(OR($O51=4,$P51=4,$Q51=4),1,0),0))</f>
        <v/>
      </c>
      <c r="W51" s="4" t="str">
        <f>IF(OR(F51="",Results!F17=""),"",IF(F51=Results!F17,1+IF(OR($O51=5,$P51=5,$Q51=5),1,0),0))</f>
        <v/>
      </c>
      <c r="X51" s="4" t="str">
        <f>IF(OR(G51="",Results!G17=""),"",IF(G51=Results!G17,1+IF(OR($O51=6,$P51=6,$Q51=6),1,0),0))</f>
        <v/>
      </c>
      <c r="Y51" s="4" t="str">
        <f>IF(OR(H51="",Results!H17=""),"",IF(H51=Results!H17,1+IF(OR($O51=7,$P51=7,$Q51=7),1,0),0))</f>
        <v/>
      </c>
      <c r="Z51" s="4" t="str">
        <f>IF(OR(I51="",Results!I17=""),"",IF(I51=Results!I17,1+IF(OR($O51=8,$P51=8,$Q51=8),1,0),0))</f>
        <v/>
      </c>
      <c r="AA51" s="4" t="str">
        <f>IF(OR(J51="",Results!J17=""),"",IF(J51=Results!J17,1+IF(OR($O51=9,$P51=9,$Q51=9),1,0),0))</f>
        <v/>
      </c>
      <c r="AB51" s="4" t="str">
        <f>IF(OR(K51="",Results!K17=""),"",IF(K51=Results!K17,1+IF(OR($O51=10,$P51=10,$Q51=10),1,0),0))</f>
        <v/>
      </c>
      <c r="AC51" s="4" t="str">
        <f>IF(OR(L51="",Results!L17=""),"",IF(L51=Results!L17,1+IF(OR($O51=11,$P51=11,$Q51=11),1,0),0))</f>
        <v/>
      </c>
      <c r="AD51" s="4" t="str">
        <f>IF(OR(M51="",Results!M17=""),"",IF(M51=Results!M17,1+IF(OR($O51=12,$P51=12,$Q51=12),1,0),0))</f>
        <v/>
      </c>
      <c r="AE51" s="4" t="str">
        <f>IF(OR(N51="",Results!N17=""),"",IF(N51=Results!N17,1+IF(OR($O51=13,$P51=13,$Q51=13),1,0),0))</f>
        <v/>
      </c>
      <c r="AF51" s="11">
        <f t="shared" si="2"/>
        <v>0</v>
      </c>
      <c r="AG51" s="4" t="str">
        <f>IF(OR($R51="",Results!O17=""),"",ABS($R51-Results!O17))</f>
        <v/>
      </c>
      <c r="AH51" s="12">
        <v>42</v>
      </c>
      <c r="AI51" s="13" t="str">
        <f>IF(OR(B51="",Results!B17=""),"",IF(AND(B51=Results!B17,Results!B17&lt;&gt;Games!$C$161),1,0))</f>
        <v/>
      </c>
      <c r="AJ51" s="13" t="str">
        <f>IF(OR(C51="",Results!C17=""),"",IF(AND(C51=Results!C17,Results!C17&lt;&gt;Games!$C$162),1,0))</f>
        <v/>
      </c>
      <c r="AK51" s="13" t="str">
        <f>IF(OR(D51="",Results!D17=""),"",IF(AND(D51=Results!D17,Results!D17&lt;&gt;Games!$C$163),1,0))</f>
        <v/>
      </c>
      <c r="AL51" s="13" t="str">
        <f>IF(OR(E51="",Results!E17=""),"",IF(AND(E51=Results!E17,Results!E17&lt;&gt;Games!$C$164),1,0))</f>
        <v/>
      </c>
      <c r="AM51" s="13" t="str">
        <f>IF(OR(F51="",Results!F17=""),"",IF(AND(F51=Results!F17,Results!F17&lt;&gt;Games!$C$165),1,0))</f>
        <v/>
      </c>
      <c r="AN51" s="13" t="str">
        <f>IF(OR(G51="",Results!G17=""),"",IF(AND(G51=Results!G17,Results!G17&lt;&gt;Games!$C$166),1,0))</f>
        <v/>
      </c>
      <c r="AO51" s="13" t="str">
        <f>IF(OR(H51="",Results!H17=""),"",IF(AND(H51=Results!H17,Results!H17&lt;&gt;Games!$C$167),1,0))</f>
        <v/>
      </c>
      <c r="AP51" s="13" t="str">
        <f>IF(OR(I51="",Results!I17=""),"",IF(AND(I51=Results!I17,Results!I17&lt;&gt;Games!$C$168),1,0))</f>
        <v/>
      </c>
      <c r="AQ51" s="13" t="str">
        <f>IF(OR(J51="",Results!J17=""),"",IF(AND(J51=Results!J17,Results!J17&lt;&gt;Games!$C$169),1,0))</f>
        <v/>
      </c>
      <c r="AR51" s="13" t="str">
        <f>IF(OR(K51="",Results!K17=""),"",IF(AND(K51=Results!K17,Results!K17&lt;&gt;Games!$C$170),1,0))</f>
        <v/>
      </c>
      <c r="AS51" s="13" t="str">
        <f>IF(OR(L51="",Results!L17=""),"",IF(AND(L51=Results!L17,Results!L17&lt;&gt;Games!$C$171),1,0))</f>
        <v/>
      </c>
      <c r="AT51" s="13" t="str">
        <f>IF(OR(M51="",Results!M17=""),"",IF(AND(M51=Results!M17,Results!M17&lt;&gt;Games!$C$172),1,0))</f>
        <v/>
      </c>
      <c r="AU51" s="13" t="str">
        <f>IF(OR(N51="",Results!N17=""),"",IF(AND(N51=Results!N17,Results!N17&lt;&gt;Games!$C$173),1,0))</f>
        <v/>
      </c>
      <c r="AV51" s="14">
        <f t="shared" si="3"/>
        <v>0</v>
      </c>
    </row>
    <row r="52" spans="1:48" ht="15" customHeight="1" x14ac:dyDescent="0.25">
      <c r="A52" s="4" t="str">
        <f>INDEX(Players!$D$6:$D$69,MATCH(27,Players!$A$6:$A$69,0))</f>
        <v>Nick P.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4" t="str">
        <f>IF(OR(B52="",Results!B17=""),"",IF(B52=Results!B17,1+IF(OR($O52=1,$P52=1,$Q52=1),1,0),0))</f>
        <v/>
      </c>
      <c r="T52" s="4" t="str">
        <f>IF(OR(C52="",Results!C17=""),"",IF(C52=Results!C17,1+IF(OR($O52=2,$P52=2,$Q52=2),1,0),0))</f>
        <v/>
      </c>
      <c r="U52" s="4" t="str">
        <f>IF(OR(D52="",Results!D17=""),"",IF(D52=Results!D17,1+IF(OR($O52=3,$P52=3,$Q52=3),1,0),0))</f>
        <v/>
      </c>
      <c r="V52" s="4" t="str">
        <f>IF(OR(E52="",Results!E17=""),"",IF(E52=Results!E17,1+IF(OR($O52=4,$P52=4,$Q52=4),1,0),0))</f>
        <v/>
      </c>
      <c r="W52" s="4" t="str">
        <f>IF(OR(F52="",Results!F17=""),"",IF(F52=Results!F17,1+IF(OR($O52=5,$P52=5,$Q52=5),1,0),0))</f>
        <v/>
      </c>
      <c r="X52" s="4" t="str">
        <f>IF(OR(G52="",Results!G17=""),"",IF(G52=Results!G17,1+IF(OR($O52=6,$P52=6,$Q52=6),1,0),0))</f>
        <v/>
      </c>
      <c r="Y52" s="4" t="str">
        <f>IF(OR(H52="",Results!H17=""),"",IF(H52=Results!H17,1+IF(OR($O52=7,$P52=7,$Q52=7),1,0),0))</f>
        <v/>
      </c>
      <c r="Z52" s="4" t="str">
        <f>IF(OR(I52="",Results!I17=""),"",IF(I52=Results!I17,1+IF(OR($O52=8,$P52=8,$Q52=8),1,0),0))</f>
        <v/>
      </c>
      <c r="AA52" s="4" t="str">
        <f>IF(OR(J52="",Results!J17=""),"",IF(J52=Results!J17,1+IF(OR($O52=9,$P52=9,$Q52=9),1,0),0))</f>
        <v/>
      </c>
      <c r="AB52" s="4" t="str">
        <f>IF(OR(K52="",Results!K17=""),"",IF(K52=Results!K17,1+IF(OR($O52=10,$P52=10,$Q52=10),1,0),0))</f>
        <v/>
      </c>
      <c r="AC52" s="4" t="str">
        <f>IF(OR(L52="",Results!L17=""),"",IF(L52=Results!L17,1+IF(OR($O52=11,$P52=11,$Q52=11),1,0),0))</f>
        <v/>
      </c>
      <c r="AD52" s="4" t="str">
        <f>IF(OR(M52="",Results!M17=""),"",IF(M52=Results!M17,1+IF(OR($O52=12,$P52=12,$Q52=12),1,0),0))</f>
        <v/>
      </c>
      <c r="AE52" s="4" t="str">
        <f>IF(OR(N52="",Results!N17=""),"",IF(N52=Results!N17,1+IF(OR($O52=13,$P52=13,$Q52=13),1,0),0))</f>
        <v/>
      </c>
      <c r="AF52" s="11">
        <f t="shared" si="2"/>
        <v>0</v>
      </c>
      <c r="AG52" s="4" t="str">
        <f>IF(OR($R52="",Results!O17=""),"",ABS($R52-Results!O17))</f>
        <v/>
      </c>
      <c r="AH52" s="12">
        <v>27</v>
      </c>
      <c r="AI52" s="13" t="str">
        <f>IF(OR(B52="",Results!B17=""),"",IF(AND(B52=Results!B17,Results!B17&lt;&gt;Games!$C$161),1,0))</f>
        <v/>
      </c>
      <c r="AJ52" s="13" t="str">
        <f>IF(OR(C52="",Results!C17=""),"",IF(AND(C52=Results!C17,Results!C17&lt;&gt;Games!$C$162),1,0))</f>
        <v/>
      </c>
      <c r="AK52" s="13" t="str">
        <f>IF(OR(D52="",Results!D17=""),"",IF(AND(D52=Results!D17,Results!D17&lt;&gt;Games!$C$163),1,0))</f>
        <v/>
      </c>
      <c r="AL52" s="13" t="str">
        <f>IF(OR(E52="",Results!E17=""),"",IF(AND(E52=Results!E17,Results!E17&lt;&gt;Games!$C$164),1,0))</f>
        <v/>
      </c>
      <c r="AM52" s="13" t="str">
        <f>IF(OR(F52="",Results!F17=""),"",IF(AND(F52=Results!F17,Results!F17&lt;&gt;Games!$C$165),1,0))</f>
        <v/>
      </c>
      <c r="AN52" s="13" t="str">
        <f>IF(OR(G52="",Results!G17=""),"",IF(AND(G52=Results!G17,Results!G17&lt;&gt;Games!$C$166),1,0))</f>
        <v/>
      </c>
      <c r="AO52" s="13" t="str">
        <f>IF(OR(H52="",Results!H17=""),"",IF(AND(H52=Results!H17,Results!H17&lt;&gt;Games!$C$167),1,0))</f>
        <v/>
      </c>
      <c r="AP52" s="13" t="str">
        <f>IF(OR(I52="",Results!I17=""),"",IF(AND(I52=Results!I17,Results!I17&lt;&gt;Games!$C$168),1,0))</f>
        <v/>
      </c>
      <c r="AQ52" s="13" t="str">
        <f>IF(OR(J52="",Results!J17=""),"",IF(AND(J52=Results!J17,Results!J17&lt;&gt;Games!$C$169),1,0))</f>
        <v/>
      </c>
      <c r="AR52" s="13" t="str">
        <f>IF(OR(K52="",Results!K17=""),"",IF(AND(K52=Results!K17,Results!K17&lt;&gt;Games!$C$170),1,0))</f>
        <v/>
      </c>
      <c r="AS52" s="13" t="str">
        <f>IF(OR(L52="",Results!L17=""),"",IF(AND(L52=Results!L17,Results!L17&lt;&gt;Games!$C$171),1,0))</f>
        <v/>
      </c>
      <c r="AT52" s="13" t="str">
        <f>IF(OR(M52="",Results!M17=""),"",IF(AND(M52=Results!M17,Results!M17&lt;&gt;Games!$C$172),1,0))</f>
        <v/>
      </c>
      <c r="AU52" s="13" t="str">
        <f>IF(OR(N52="",Results!N17=""),"",IF(AND(N52=Results!N17,Results!N17&lt;&gt;Games!$C$173),1,0))</f>
        <v/>
      </c>
      <c r="AV52" s="14">
        <f t="shared" si="3"/>
        <v>0</v>
      </c>
    </row>
    <row r="53" spans="1:48" ht="15" customHeight="1" x14ac:dyDescent="0.25">
      <c r="A53" s="4" t="str">
        <f>INDEX(Players!$D$6:$D$69,MATCH(35,Players!$A$6:$A$69,0))</f>
        <v>Oliver W.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4" t="str">
        <f>IF(OR(B53="",Results!B17=""),"",IF(B53=Results!B17,1+IF(OR($O53=1,$P53=1,$Q53=1),1,0),0))</f>
        <v/>
      </c>
      <c r="T53" s="4" t="str">
        <f>IF(OR(C53="",Results!C17=""),"",IF(C53=Results!C17,1+IF(OR($O53=2,$P53=2,$Q53=2),1,0),0))</f>
        <v/>
      </c>
      <c r="U53" s="4" t="str">
        <f>IF(OR(D53="",Results!D17=""),"",IF(D53=Results!D17,1+IF(OR($O53=3,$P53=3,$Q53=3),1,0),0))</f>
        <v/>
      </c>
      <c r="V53" s="4" t="str">
        <f>IF(OR(E53="",Results!E17=""),"",IF(E53=Results!E17,1+IF(OR($O53=4,$P53=4,$Q53=4),1,0),0))</f>
        <v/>
      </c>
      <c r="W53" s="4" t="str">
        <f>IF(OR(F53="",Results!F17=""),"",IF(F53=Results!F17,1+IF(OR($O53=5,$P53=5,$Q53=5),1,0),0))</f>
        <v/>
      </c>
      <c r="X53" s="4" t="str">
        <f>IF(OR(G53="",Results!G17=""),"",IF(G53=Results!G17,1+IF(OR($O53=6,$P53=6,$Q53=6),1,0),0))</f>
        <v/>
      </c>
      <c r="Y53" s="4" t="str">
        <f>IF(OR(H53="",Results!H17=""),"",IF(H53=Results!H17,1+IF(OR($O53=7,$P53=7,$Q53=7),1,0),0))</f>
        <v/>
      </c>
      <c r="Z53" s="4" t="str">
        <f>IF(OR(I53="",Results!I17=""),"",IF(I53=Results!I17,1+IF(OR($O53=8,$P53=8,$Q53=8),1,0),0))</f>
        <v/>
      </c>
      <c r="AA53" s="4" t="str">
        <f>IF(OR(J53="",Results!J17=""),"",IF(J53=Results!J17,1+IF(OR($O53=9,$P53=9,$Q53=9),1,0),0))</f>
        <v/>
      </c>
      <c r="AB53" s="4" t="str">
        <f>IF(OR(K53="",Results!K17=""),"",IF(K53=Results!K17,1+IF(OR($O53=10,$P53=10,$Q53=10),1,0),0))</f>
        <v/>
      </c>
      <c r="AC53" s="4" t="str">
        <f>IF(OR(L53="",Results!L17=""),"",IF(L53=Results!L17,1+IF(OR($O53=11,$P53=11,$Q53=11),1,0),0))</f>
        <v/>
      </c>
      <c r="AD53" s="4" t="str">
        <f>IF(OR(M53="",Results!M17=""),"",IF(M53=Results!M17,1+IF(OR($O53=12,$P53=12,$Q53=12),1,0),0))</f>
        <v/>
      </c>
      <c r="AE53" s="4" t="str">
        <f>IF(OR(N53="",Results!N17=""),"",IF(N53=Results!N17,1+IF(OR($O53=13,$P53=13,$Q53=13),1,0),0))</f>
        <v/>
      </c>
      <c r="AF53" s="11">
        <f t="shared" si="2"/>
        <v>0</v>
      </c>
      <c r="AG53" s="4" t="str">
        <f>IF(OR($R53="",Results!O17=""),"",ABS($R53-Results!O17))</f>
        <v/>
      </c>
      <c r="AH53" s="12">
        <v>35</v>
      </c>
      <c r="AI53" s="13" t="str">
        <f>IF(OR(B53="",Results!B17=""),"",IF(AND(B53=Results!B17,Results!B17&lt;&gt;Games!$C$161),1,0))</f>
        <v/>
      </c>
      <c r="AJ53" s="13" t="str">
        <f>IF(OR(C53="",Results!C17=""),"",IF(AND(C53=Results!C17,Results!C17&lt;&gt;Games!$C$162),1,0))</f>
        <v/>
      </c>
      <c r="AK53" s="13" t="str">
        <f>IF(OR(D53="",Results!D17=""),"",IF(AND(D53=Results!D17,Results!D17&lt;&gt;Games!$C$163),1,0))</f>
        <v/>
      </c>
      <c r="AL53" s="13" t="str">
        <f>IF(OR(E53="",Results!E17=""),"",IF(AND(E53=Results!E17,Results!E17&lt;&gt;Games!$C$164),1,0))</f>
        <v/>
      </c>
      <c r="AM53" s="13" t="str">
        <f>IF(OR(F53="",Results!F17=""),"",IF(AND(F53=Results!F17,Results!F17&lt;&gt;Games!$C$165),1,0))</f>
        <v/>
      </c>
      <c r="AN53" s="13" t="str">
        <f>IF(OR(G53="",Results!G17=""),"",IF(AND(G53=Results!G17,Results!G17&lt;&gt;Games!$C$166),1,0))</f>
        <v/>
      </c>
      <c r="AO53" s="13" t="str">
        <f>IF(OR(H53="",Results!H17=""),"",IF(AND(H53=Results!H17,Results!H17&lt;&gt;Games!$C$167),1,0))</f>
        <v/>
      </c>
      <c r="AP53" s="13" t="str">
        <f>IF(OR(I53="",Results!I17=""),"",IF(AND(I53=Results!I17,Results!I17&lt;&gt;Games!$C$168),1,0))</f>
        <v/>
      </c>
      <c r="AQ53" s="13" t="str">
        <f>IF(OR(J53="",Results!J17=""),"",IF(AND(J53=Results!J17,Results!J17&lt;&gt;Games!$C$169),1,0))</f>
        <v/>
      </c>
      <c r="AR53" s="13" t="str">
        <f>IF(OR(K53="",Results!K17=""),"",IF(AND(K53=Results!K17,Results!K17&lt;&gt;Games!$C$170),1,0))</f>
        <v/>
      </c>
      <c r="AS53" s="13" t="str">
        <f>IF(OR(L53="",Results!L17=""),"",IF(AND(L53=Results!L17,Results!L17&lt;&gt;Games!$C$171),1,0))</f>
        <v/>
      </c>
      <c r="AT53" s="13" t="str">
        <f>IF(OR(M53="",Results!M17=""),"",IF(AND(M53=Results!M17,Results!M17&lt;&gt;Games!$C$172),1,0))</f>
        <v/>
      </c>
      <c r="AU53" s="13" t="str">
        <f>IF(OR(N53="",Results!N17=""),"",IF(AND(N53=Results!N17,Results!N17&lt;&gt;Games!$C$173),1,0))</f>
        <v/>
      </c>
      <c r="AV53" s="14">
        <f t="shared" si="3"/>
        <v>0</v>
      </c>
    </row>
    <row r="54" spans="1:48" ht="15" customHeight="1" x14ac:dyDescent="0.25">
      <c r="A54" s="4" t="str">
        <f>INDEX(Players!$D$6:$D$69,MATCH(43,Players!$A$6:$A$69,0))</f>
        <v>Pete S.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4" t="str">
        <f>IF(OR(B54="",Results!B17=""),"",IF(B54=Results!B17,1+IF(OR($O54=1,$P54=1,$Q54=1),1,0),0))</f>
        <v/>
      </c>
      <c r="T54" s="4" t="str">
        <f>IF(OR(C54="",Results!C17=""),"",IF(C54=Results!C17,1+IF(OR($O54=2,$P54=2,$Q54=2),1,0),0))</f>
        <v/>
      </c>
      <c r="U54" s="4" t="str">
        <f>IF(OR(D54="",Results!D17=""),"",IF(D54=Results!D17,1+IF(OR($O54=3,$P54=3,$Q54=3),1,0),0))</f>
        <v/>
      </c>
      <c r="V54" s="4" t="str">
        <f>IF(OR(E54="",Results!E17=""),"",IF(E54=Results!E17,1+IF(OR($O54=4,$P54=4,$Q54=4),1,0),0))</f>
        <v/>
      </c>
      <c r="W54" s="4" t="str">
        <f>IF(OR(F54="",Results!F17=""),"",IF(F54=Results!F17,1+IF(OR($O54=5,$P54=5,$Q54=5),1,0),0))</f>
        <v/>
      </c>
      <c r="X54" s="4" t="str">
        <f>IF(OR(G54="",Results!G17=""),"",IF(G54=Results!G17,1+IF(OR($O54=6,$P54=6,$Q54=6),1,0),0))</f>
        <v/>
      </c>
      <c r="Y54" s="4" t="str">
        <f>IF(OR(H54="",Results!H17=""),"",IF(H54=Results!H17,1+IF(OR($O54=7,$P54=7,$Q54=7),1,0),0))</f>
        <v/>
      </c>
      <c r="Z54" s="4" t="str">
        <f>IF(OR(I54="",Results!I17=""),"",IF(I54=Results!I17,1+IF(OR($O54=8,$P54=8,$Q54=8),1,0),0))</f>
        <v/>
      </c>
      <c r="AA54" s="4" t="str">
        <f>IF(OR(J54="",Results!J17=""),"",IF(J54=Results!J17,1+IF(OR($O54=9,$P54=9,$Q54=9),1,0),0))</f>
        <v/>
      </c>
      <c r="AB54" s="4" t="str">
        <f>IF(OR(K54="",Results!K17=""),"",IF(K54=Results!K17,1+IF(OR($O54=10,$P54=10,$Q54=10),1,0),0))</f>
        <v/>
      </c>
      <c r="AC54" s="4" t="str">
        <f>IF(OR(L54="",Results!L17=""),"",IF(L54=Results!L17,1+IF(OR($O54=11,$P54=11,$Q54=11),1,0),0))</f>
        <v/>
      </c>
      <c r="AD54" s="4" t="str">
        <f>IF(OR(M54="",Results!M17=""),"",IF(M54=Results!M17,1+IF(OR($O54=12,$P54=12,$Q54=12),1,0),0))</f>
        <v/>
      </c>
      <c r="AE54" s="4" t="str">
        <f>IF(OR(N54="",Results!N17=""),"",IF(N54=Results!N17,1+IF(OR($O54=13,$P54=13,$Q54=13),1,0),0))</f>
        <v/>
      </c>
      <c r="AF54" s="11">
        <f t="shared" si="2"/>
        <v>0</v>
      </c>
      <c r="AG54" s="4" t="str">
        <f>IF(OR($R54="",Results!O17=""),"",ABS($R54-Results!O17))</f>
        <v/>
      </c>
      <c r="AH54" s="12">
        <v>43</v>
      </c>
      <c r="AI54" s="13" t="str">
        <f>IF(OR(B54="",Results!B17=""),"",IF(AND(B54=Results!B17,Results!B17&lt;&gt;Games!$C$161),1,0))</f>
        <v/>
      </c>
      <c r="AJ54" s="13" t="str">
        <f>IF(OR(C54="",Results!C17=""),"",IF(AND(C54=Results!C17,Results!C17&lt;&gt;Games!$C$162),1,0))</f>
        <v/>
      </c>
      <c r="AK54" s="13" t="str">
        <f>IF(OR(D54="",Results!D17=""),"",IF(AND(D54=Results!D17,Results!D17&lt;&gt;Games!$C$163),1,0))</f>
        <v/>
      </c>
      <c r="AL54" s="13" t="str">
        <f>IF(OR(E54="",Results!E17=""),"",IF(AND(E54=Results!E17,Results!E17&lt;&gt;Games!$C$164),1,0))</f>
        <v/>
      </c>
      <c r="AM54" s="13" t="str">
        <f>IF(OR(F54="",Results!F17=""),"",IF(AND(F54=Results!F17,Results!F17&lt;&gt;Games!$C$165),1,0))</f>
        <v/>
      </c>
      <c r="AN54" s="13" t="str">
        <f>IF(OR(G54="",Results!G17=""),"",IF(AND(G54=Results!G17,Results!G17&lt;&gt;Games!$C$166),1,0))</f>
        <v/>
      </c>
      <c r="AO54" s="13" t="str">
        <f>IF(OR(H54="",Results!H17=""),"",IF(AND(H54=Results!H17,Results!H17&lt;&gt;Games!$C$167),1,0))</f>
        <v/>
      </c>
      <c r="AP54" s="13" t="str">
        <f>IF(OR(I54="",Results!I17=""),"",IF(AND(I54=Results!I17,Results!I17&lt;&gt;Games!$C$168),1,0))</f>
        <v/>
      </c>
      <c r="AQ54" s="13" t="str">
        <f>IF(OR(J54="",Results!J17=""),"",IF(AND(J54=Results!J17,Results!J17&lt;&gt;Games!$C$169),1,0))</f>
        <v/>
      </c>
      <c r="AR54" s="13" t="str">
        <f>IF(OR(K54="",Results!K17=""),"",IF(AND(K54=Results!K17,Results!K17&lt;&gt;Games!$C$170),1,0))</f>
        <v/>
      </c>
      <c r="AS54" s="13" t="str">
        <f>IF(OR(L54="",Results!L17=""),"",IF(AND(L54=Results!L17,Results!L17&lt;&gt;Games!$C$171),1,0))</f>
        <v/>
      </c>
      <c r="AT54" s="13" t="str">
        <f>IF(OR(M54="",Results!M17=""),"",IF(AND(M54=Results!M17,Results!M17&lt;&gt;Games!$C$172),1,0))</f>
        <v/>
      </c>
      <c r="AU54" s="13" t="str">
        <f>IF(OR(N54="",Results!N17=""),"",IF(AND(N54=Results!N17,Results!N17&lt;&gt;Games!$C$173),1,0))</f>
        <v/>
      </c>
      <c r="AV54" s="14">
        <f t="shared" si="3"/>
        <v>0</v>
      </c>
    </row>
    <row r="55" spans="1:48" ht="15" customHeight="1" x14ac:dyDescent="0.25">
      <c r="A55" s="4" t="str">
        <f>INDEX(Players!$D$6:$D$69,MATCH(44,Players!$A$6:$A$69,0))</f>
        <v>Richie C.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4" t="str">
        <f>IF(OR(B55="",Results!B17=""),"",IF(B55=Results!B17,1+IF(OR($O55=1,$P55=1,$Q55=1),1,0),0))</f>
        <v/>
      </c>
      <c r="T55" s="4" t="str">
        <f>IF(OR(C55="",Results!C17=""),"",IF(C55=Results!C17,1+IF(OR($O55=2,$P55=2,$Q55=2),1,0),0))</f>
        <v/>
      </c>
      <c r="U55" s="4" t="str">
        <f>IF(OR(D55="",Results!D17=""),"",IF(D55=Results!D17,1+IF(OR($O55=3,$P55=3,$Q55=3),1,0),0))</f>
        <v/>
      </c>
      <c r="V55" s="4" t="str">
        <f>IF(OR(E55="",Results!E17=""),"",IF(E55=Results!E17,1+IF(OR($O55=4,$P55=4,$Q55=4),1,0),0))</f>
        <v/>
      </c>
      <c r="W55" s="4" t="str">
        <f>IF(OR(F55="",Results!F17=""),"",IF(F55=Results!F17,1+IF(OR($O55=5,$P55=5,$Q55=5),1,0),0))</f>
        <v/>
      </c>
      <c r="X55" s="4" t="str">
        <f>IF(OR(G55="",Results!G17=""),"",IF(G55=Results!G17,1+IF(OR($O55=6,$P55=6,$Q55=6),1,0),0))</f>
        <v/>
      </c>
      <c r="Y55" s="4" t="str">
        <f>IF(OR(H55="",Results!H17=""),"",IF(H55=Results!H17,1+IF(OR($O55=7,$P55=7,$Q55=7),1,0),0))</f>
        <v/>
      </c>
      <c r="Z55" s="4" t="str">
        <f>IF(OR(I55="",Results!I17=""),"",IF(I55=Results!I17,1+IF(OR($O55=8,$P55=8,$Q55=8),1,0),0))</f>
        <v/>
      </c>
      <c r="AA55" s="4" t="str">
        <f>IF(OR(J55="",Results!J17=""),"",IF(J55=Results!J17,1+IF(OR($O55=9,$P55=9,$Q55=9),1,0),0))</f>
        <v/>
      </c>
      <c r="AB55" s="4" t="str">
        <f>IF(OR(K55="",Results!K17=""),"",IF(K55=Results!K17,1+IF(OR($O55=10,$P55=10,$Q55=10),1,0),0))</f>
        <v/>
      </c>
      <c r="AC55" s="4" t="str">
        <f>IF(OR(L55="",Results!L17=""),"",IF(L55=Results!L17,1+IF(OR($O55=11,$P55=11,$Q55=11),1,0),0))</f>
        <v/>
      </c>
      <c r="AD55" s="4" t="str">
        <f>IF(OR(M55="",Results!M17=""),"",IF(M55=Results!M17,1+IF(OR($O55=12,$P55=12,$Q55=12),1,0),0))</f>
        <v/>
      </c>
      <c r="AE55" s="4" t="str">
        <f>IF(OR(N55="",Results!N17=""),"",IF(N55=Results!N17,1+IF(OR($O55=13,$P55=13,$Q55=13),1,0),0))</f>
        <v/>
      </c>
      <c r="AF55" s="11">
        <f t="shared" si="2"/>
        <v>0</v>
      </c>
      <c r="AG55" s="4" t="str">
        <f>IF(OR($R55="",Results!O17=""),"",ABS($R55-Results!O17))</f>
        <v/>
      </c>
      <c r="AH55" s="12">
        <v>44</v>
      </c>
      <c r="AI55" s="13" t="str">
        <f>IF(OR(B55="",Results!B17=""),"",IF(AND(B55=Results!B17,Results!B17&lt;&gt;Games!$C$161),1,0))</f>
        <v/>
      </c>
      <c r="AJ55" s="13" t="str">
        <f>IF(OR(C55="",Results!C17=""),"",IF(AND(C55=Results!C17,Results!C17&lt;&gt;Games!$C$162),1,0))</f>
        <v/>
      </c>
      <c r="AK55" s="13" t="str">
        <f>IF(OR(D55="",Results!D17=""),"",IF(AND(D55=Results!D17,Results!D17&lt;&gt;Games!$C$163),1,0))</f>
        <v/>
      </c>
      <c r="AL55" s="13" t="str">
        <f>IF(OR(E55="",Results!E17=""),"",IF(AND(E55=Results!E17,Results!E17&lt;&gt;Games!$C$164),1,0))</f>
        <v/>
      </c>
      <c r="AM55" s="13" t="str">
        <f>IF(OR(F55="",Results!F17=""),"",IF(AND(F55=Results!F17,Results!F17&lt;&gt;Games!$C$165),1,0))</f>
        <v/>
      </c>
      <c r="AN55" s="13" t="str">
        <f>IF(OR(G55="",Results!G17=""),"",IF(AND(G55=Results!G17,Results!G17&lt;&gt;Games!$C$166),1,0))</f>
        <v/>
      </c>
      <c r="AO55" s="13" t="str">
        <f>IF(OR(H55="",Results!H17=""),"",IF(AND(H55=Results!H17,Results!H17&lt;&gt;Games!$C$167),1,0))</f>
        <v/>
      </c>
      <c r="AP55" s="13" t="str">
        <f>IF(OR(I55="",Results!I17=""),"",IF(AND(I55=Results!I17,Results!I17&lt;&gt;Games!$C$168),1,0))</f>
        <v/>
      </c>
      <c r="AQ55" s="13" t="str">
        <f>IF(OR(J55="",Results!J17=""),"",IF(AND(J55=Results!J17,Results!J17&lt;&gt;Games!$C$169),1,0))</f>
        <v/>
      </c>
      <c r="AR55" s="13" t="str">
        <f>IF(OR(K55="",Results!K17=""),"",IF(AND(K55=Results!K17,Results!K17&lt;&gt;Games!$C$170),1,0))</f>
        <v/>
      </c>
      <c r="AS55" s="13" t="str">
        <f>IF(OR(L55="",Results!L17=""),"",IF(AND(L55=Results!L17,Results!L17&lt;&gt;Games!$C$171),1,0))</f>
        <v/>
      </c>
      <c r="AT55" s="13" t="str">
        <f>IF(OR(M55="",Results!M17=""),"",IF(AND(M55=Results!M17,Results!M17&lt;&gt;Games!$C$172),1,0))</f>
        <v/>
      </c>
      <c r="AU55" s="13" t="str">
        <f>IF(OR(N55="",Results!N17=""),"",IF(AND(N55=Results!N17,Results!N17&lt;&gt;Games!$C$173),1,0))</f>
        <v/>
      </c>
      <c r="AV55" s="14">
        <f t="shared" si="3"/>
        <v>0</v>
      </c>
    </row>
    <row r="56" spans="1:48" ht="15" customHeight="1" x14ac:dyDescent="0.25">
      <c r="A56" s="4" t="str">
        <f>INDEX(Players!$D$6:$D$69,MATCH(59,Players!$A$6:$A$69,0))</f>
        <v>Roger L.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4" t="str">
        <f>IF(OR(B56="",Results!B17=""),"",IF(B56=Results!B17,1+IF(OR($O56=1,$P56=1,$Q56=1),1,0),0))</f>
        <v/>
      </c>
      <c r="T56" s="4" t="str">
        <f>IF(OR(C56="",Results!C17=""),"",IF(C56=Results!C17,1+IF(OR($O56=2,$P56=2,$Q56=2),1,0),0))</f>
        <v/>
      </c>
      <c r="U56" s="4" t="str">
        <f>IF(OR(D56="",Results!D17=""),"",IF(D56=Results!D17,1+IF(OR($O56=3,$P56=3,$Q56=3),1,0),0))</f>
        <v/>
      </c>
      <c r="V56" s="4" t="str">
        <f>IF(OR(E56="",Results!E17=""),"",IF(E56=Results!E17,1+IF(OR($O56=4,$P56=4,$Q56=4),1,0),0))</f>
        <v/>
      </c>
      <c r="W56" s="4" t="str">
        <f>IF(OR(F56="",Results!F17=""),"",IF(F56=Results!F17,1+IF(OR($O56=5,$P56=5,$Q56=5),1,0),0))</f>
        <v/>
      </c>
      <c r="X56" s="4" t="str">
        <f>IF(OR(G56="",Results!G17=""),"",IF(G56=Results!G17,1+IF(OR($O56=6,$P56=6,$Q56=6),1,0),0))</f>
        <v/>
      </c>
      <c r="Y56" s="4" t="str">
        <f>IF(OR(H56="",Results!H17=""),"",IF(H56=Results!H17,1+IF(OR($O56=7,$P56=7,$Q56=7),1,0),0))</f>
        <v/>
      </c>
      <c r="Z56" s="4" t="str">
        <f>IF(OR(I56="",Results!I17=""),"",IF(I56=Results!I17,1+IF(OR($O56=8,$P56=8,$Q56=8),1,0),0))</f>
        <v/>
      </c>
      <c r="AA56" s="4" t="str">
        <f>IF(OR(J56="",Results!J17=""),"",IF(J56=Results!J17,1+IF(OR($O56=9,$P56=9,$Q56=9),1,0),0))</f>
        <v/>
      </c>
      <c r="AB56" s="4" t="str">
        <f>IF(OR(K56="",Results!K17=""),"",IF(K56=Results!K17,1+IF(OR($O56=10,$P56=10,$Q56=10),1,0),0))</f>
        <v/>
      </c>
      <c r="AC56" s="4" t="str">
        <f>IF(OR(L56="",Results!L17=""),"",IF(L56=Results!L17,1+IF(OR($O56=11,$P56=11,$Q56=11),1,0),0))</f>
        <v/>
      </c>
      <c r="AD56" s="4" t="str">
        <f>IF(OR(M56="",Results!M17=""),"",IF(M56=Results!M17,1+IF(OR($O56=12,$P56=12,$Q56=12),1,0),0))</f>
        <v/>
      </c>
      <c r="AE56" s="4" t="str">
        <f>IF(OR(N56="",Results!N17=""),"",IF(N56=Results!N17,1+IF(OR($O56=13,$P56=13,$Q56=13),1,0),0))</f>
        <v/>
      </c>
      <c r="AF56" s="11">
        <f t="shared" si="2"/>
        <v>0</v>
      </c>
      <c r="AG56" s="4" t="str">
        <f>IF(OR($R56="",Results!O17=""),"",ABS($R56-Results!O17))</f>
        <v/>
      </c>
      <c r="AH56" s="12">
        <v>59</v>
      </c>
      <c r="AI56" s="13" t="str">
        <f>IF(OR(B56="",Results!B17=""),"",IF(AND(B56=Results!B17,Results!B17&lt;&gt;Games!$C$161),1,0))</f>
        <v/>
      </c>
      <c r="AJ56" s="13" t="str">
        <f>IF(OR(C56="",Results!C17=""),"",IF(AND(C56=Results!C17,Results!C17&lt;&gt;Games!$C$162),1,0))</f>
        <v/>
      </c>
      <c r="AK56" s="13" t="str">
        <f>IF(OR(D56="",Results!D17=""),"",IF(AND(D56=Results!D17,Results!D17&lt;&gt;Games!$C$163),1,0))</f>
        <v/>
      </c>
      <c r="AL56" s="13" t="str">
        <f>IF(OR(E56="",Results!E17=""),"",IF(AND(E56=Results!E17,Results!E17&lt;&gt;Games!$C$164),1,0))</f>
        <v/>
      </c>
      <c r="AM56" s="13" t="str">
        <f>IF(OR(F56="",Results!F17=""),"",IF(AND(F56=Results!F17,Results!F17&lt;&gt;Games!$C$165),1,0))</f>
        <v/>
      </c>
      <c r="AN56" s="13" t="str">
        <f>IF(OR(G56="",Results!G17=""),"",IF(AND(G56=Results!G17,Results!G17&lt;&gt;Games!$C$166),1,0))</f>
        <v/>
      </c>
      <c r="AO56" s="13" t="str">
        <f>IF(OR(H56="",Results!H17=""),"",IF(AND(H56=Results!H17,Results!H17&lt;&gt;Games!$C$167),1,0))</f>
        <v/>
      </c>
      <c r="AP56" s="13" t="str">
        <f>IF(OR(I56="",Results!I17=""),"",IF(AND(I56=Results!I17,Results!I17&lt;&gt;Games!$C$168),1,0))</f>
        <v/>
      </c>
      <c r="AQ56" s="13" t="str">
        <f>IF(OR(J56="",Results!J17=""),"",IF(AND(J56=Results!J17,Results!J17&lt;&gt;Games!$C$169),1,0))</f>
        <v/>
      </c>
      <c r="AR56" s="13" t="str">
        <f>IF(OR(K56="",Results!K17=""),"",IF(AND(K56=Results!K17,Results!K17&lt;&gt;Games!$C$170),1,0))</f>
        <v/>
      </c>
      <c r="AS56" s="13" t="str">
        <f>IF(OR(L56="",Results!L17=""),"",IF(AND(L56=Results!L17,Results!L17&lt;&gt;Games!$C$171),1,0))</f>
        <v/>
      </c>
      <c r="AT56" s="13" t="str">
        <f>IF(OR(M56="",Results!M17=""),"",IF(AND(M56=Results!M17,Results!M17&lt;&gt;Games!$C$172),1,0))</f>
        <v/>
      </c>
      <c r="AU56" s="13" t="str">
        <f>IF(OR(N56="",Results!N17=""),"",IF(AND(N56=Results!N17,Results!N17&lt;&gt;Games!$C$173),1,0))</f>
        <v/>
      </c>
      <c r="AV56" s="14">
        <f t="shared" si="3"/>
        <v>0</v>
      </c>
    </row>
    <row r="57" spans="1:48" ht="15" customHeight="1" x14ac:dyDescent="0.25">
      <c r="A57" s="4" t="str">
        <f>INDEX(Players!$D$6:$D$69,MATCH(28,Players!$A$6:$A$69,0))</f>
        <v>Ryan C.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4" t="str">
        <f>IF(OR(B57="",Results!B17=""),"",IF(B57=Results!B17,1+IF(OR($O57=1,$P57=1,$Q57=1),1,0),0))</f>
        <v/>
      </c>
      <c r="T57" s="4" t="str">
        <f>IF(OR(C57="",Results!C17=""),"",IF(C57=Results!C17,1+IF(OR($O57=2,$P57=2,$Q57=2),1,0),0))</f>
        <v/>
      </c>
      <c r="U57" s="4" t="str">
        <f>IF(OR(D57="",Results!D17=""),"",IF(D57=Results!D17,1+IF(OR($O57=3,$P57=3,$Q57=3),1,0),0))</f>
        <v/>
      </c>
      <c r="V57" s="4" t="str">
        <f>IF(OR(E57="",Results!E17=""),"",IF(E57=Results!E17,1+IF(OR($O57=4,$P57=4,$Q57=4),1,0),0))</f>
        <v/>
      </c>
      <c r="W57" s="4" t="str">
        <f>IF(OR(F57="",Results!F17=""),"",IF(F57=Results!F17,1+IF(OR($O57=5,$P57=5,$Q57=5),1,0),0))</f>
        <v/>
      </c>
      <c r="X57" s="4" t="str">
        <f>IF(OR(G57="",Results!G17=""),"",IF(G57=Results!G17,1+IF(OR($O57=6,$P57=6,$Q57=6),1,0),0))</f>
        <v/>
      </c>
      <c r="Y57" s="4" t="str">
        <f>IF(OR(H57="",Results!H17=""),"",IF(H57=Results!H17,1+IF(OR($O57=7,$P57=7,$Q57=7),1,0),0))</f>
        <v/>
      </c>
      <c r="Z57" s="4" t="str">
        <f>IF(OR(I57="",Results!I17=""),"",IF(I57=Results!I17,1+IF(OR($O57=8,$P57=8,$Q57=8),1,0),0))</f>
        <v/>
      </c>
      <c r="AA57" s="4" t="str">
        <f>IF(OR(J57="",Results!J17=""),"",IF(J57=Results!J17,1+IF(OR($O57=9,$P57=9,$Q57=9),1,0),0))</f>
        <v/>
      </c>
      <c r="AB57" s="4" t="str">
        <f>IF(OR(K57="",Results!K17=""),"",IF(K57=Results!K17,1+IF(OR($O57=10,$P57=10,$Q57=10),1,0),0))</f>
        <v/>
      </c>
      <c r="AC57" s="4" t="str">
        <f>IF(OR(L57="",Results!L17=""),"",IF(L57=Results!L17,1+IF(OR($O57=11,$P57=11,$Q57=11),1,0),0))</f>
        <v/>
      </c>
      <c r="AD57" s="4" t="str">
        <f>IF(OR(M57="",Results!M17=""),"",IF(M57=Results!M17,1+IF(OR($O57=12,$P57=12,$Q57=12),1,0),0))</f>
        <v/>
      </c>
      <c r="AE57" s="4" t="str">
        <f>IF(OR(N57="",Results!N17=""),"",IF(N57=Results!N17,1+IF(OR($O57=13,$P57=13,$Q57=13),1,0),0))</f>
        <v/>
      </c>
      <c r="AF57" s="11">
        <f t="shared" si="2"/>
        <v>0</v>
      </c>
      <c r="AG57" s="4" t="str">
        <f>IF(OR($R57="",Results!O17=""),"",ABS($R57-Results!O17))</f>
        <v/>
      </c>
      <c r="AH57" s="12">
        <v>28</v>
      </c>
      <c r="AI57" s="13" t="str">
        <f>IF(OR(B57="",Results!B17=""),"",IF(AND(B57=Results!B17,Results!B17&lt;&gt;Games!$C$161),1,0))</f>
        <v/>
      </c>
      <c r="AJ57" s="13" t="str">
        <f>IF(OR(C57="",Results!C17=""),"",IF(AND(C57=Results!C17,Results!C17&lt;&gt;Games!$C$162),1,0))</f>
        <v/>
      </c>
      <c r="AK57" s="13" t="str">
        <f>IF(OR(D57="",Results!D17=""),"",IF(AND(D57=Results!D17,Results!D17&lt;&gt;Games!$C$163),1,0))</f>
        <v/>
      </c>
      <c r="AL57" s="13" t="str">
        <f>IF(OR(E57="",Results!E17=""),"",IF(AND(E57=Results!E17,Results!E17&lt;&gt;Games!$C$164),1,0))</f>
        <v/>
      </c>
      <c r="AM57" s="13" t="str">
        <f>IF(OR(F57="",Results!F17=""),"",IF(AND(F57=Results!F17,Results!F17&lt;&gt;Games!$C$165),1,0))</f>
        <v/>
      </c>
      <c r="AN57" s="13" t="str">
        <f>IF(OR(G57="",Results!G17=""),"",IF(AND(G57=Results!G17,Results!G17&lt;&gt;Games!$C$166),1,0))</f>
        <v/>
      </c>
      <c r="AO57" s="13" t="str">
        <f>IF(OR(H57="",Results!H17=""),"",IF(AND(H57=Results!H17,Results!H17&lt;&gt;Games!$C$167),1,0))</f>
        <v/>
      </c>
      <c r="AP57" s="13" t="str">
        <f>IF(OR(I57="",Results!I17=""),"",IF(AND(I57=Results!I17,Results!I17&lt;&gt;Games!$C$168),1,0))</f>
        <v/>
      </c>
      <c r="AQ57" s="13" t="str">
        <f>IF(OR(J57="",Results!J17=""),"",IF(AND(J57=Results!J17,Results!J17&lt;&gt;Games!$C$169),1,0))</f>
        <v/>
      </c>
      <c r="AR57" s="13" t="str">
        <f>IF(OR(K57="",Results!K17=""),"",IF(AND(K57=Results!K17,Results!K17&lt;&gt;Games!$C$170),1,0))</f>
        <v/>
      </c>
      <c r="AS57" s="13" t="str">
        <f>IF(OR(L57="",Results!L17=""),"",IF(AND(L57=Results!L17,Results!L17&lt;&gt;Games!$C$171),1,0))</f>
        <v/>
      </c>
      <c r="AT57" s="13" t="str">
        <f>IF(OR(M57="",Results!M17=""),"",IF(AND(M57=Results!M17,Results!M17&lt;&gt;Games!$C$172),1,0))</f>
        <v/>
      </c>
      <c r="AU57" s="13" t="str">
        <f>IF(OR(N57="",Results!N17=""),"",IF(AND(N57=Results!N17,Results!N17&lt;&gt;Games!$C$173),1,0))</f>
        <v/>
      </c>
      <c r="AV57" s="14">
        <f t="shared" si="3"/>
        <v>0</v>
      </c>
    </row>
    <row r="58" spans="1:48" ht="15" customHeight="1" x14ac:dyDescent="0.25">
      <c r="A58" s="4" t="str">
        <f>INDEX(Players!$D$6:$D$69,MATCH(29,Players!$A$6:$A$69,0))</f>
        <v>Ryan T.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4" t="str">
        <f>IF(OR(B58="",Results!B17=""),"",IF(B58=Results!B17,1+IF(OR($O58=1,$P58=1,$Q58=1),1,0),0))</f>
        <v/>
      </c>
      <c r="T58" s="4" t="str">
        <f>IF(OR(C58="",Results!C17=""),"",IF(C58=Results!C17,1+IF(OR($O58=2,$P58=2,$Q58=2),1,0),0))</f>
        <v/>
      </c>
      <c r="U58" s="4" t="str">
        <f>IF(OR(D58="",Results!D17=""),"",IF(D58=Results!D17,1+IF(OR($O58=3,$P58=3,$Q58=3),1,0),0))</f>
        <v/>
      </c>
      <c r="V58" s="4" t="str">
        <f>IF(OR(E58="",Results!E17=""),"",IF(E58=Results!E17,1+IF(OR($O58=4,$P58=4,$Q58=4),1,0),0))</f>
        <v/>
      </c>
      <c r="W58" s="4" t="str">
        <f>IF(OR(F58="",Results!F17=""),"",IF(F58=Results!F17,1+IF(OR($O58=5,$P58=5,$Q58=5),1,0),0))</f>
        <v/>
      </c>
      <c r="X58" s="4" t="str">
        <f>IF(OR(G58="",Results!G17=""),"",IF(G58=Results!G17,1+IF(OR($O58=6,$P58=6,$Q58=6),1,0),0))</f>
        <v/>
      </c>
      <c r="Y58" s="4" t="str">
        <f>IF(OR(H58="",Results!H17=""),"",IF(H58=Results!H17,1+IF(OR($O58=7,$P58=7,$Q58=7),1,0),0))</f>
        <v/>
      </c>
      <c r="Z58" s="4" t="str">
        <f>IF(OR(I58="",Results!I17=""),"",IF(I58=Results!I17,1+IF(OR($O58=8,$P58=8,$Q58=8),1,0),0))</f>
        <v/>
      </c>
      <c r="AA58" s="4" t="str">
        <f>IF(OR(J58="",Results!J17=""),"",IF(J58=Results!J17,1+IF(OR($O58=9,$P58=9,$Q58=9),1,0),0))</f>
        <v/>
      </c>
      <c r="AB58" s="4" t="str">
        <f>IF(OR(K58="",Results!K17=""),"",IF(K58=Results!K17,1+IF(OR($O58=10,$P58=10,$Q58=10),1,0),0))</f>
        <v/>
      </c>
      <c r="AC58" s="4" t="str">
        <f>IF(OR(L58="",Results!L17=""),"",IF(L58=Results!L17,1+IF(OR($O58=11,$P58=11,$Q58=11),1,0),0))</f>
        <v/>
      </c>
      <c r="AD58" s="4" t="str">
        <f>IF(OR(M58="",Results!M17=""),"",IF(M58=Results!M17,1+IF(OR($O58=12,$P58=12,$Q58=12),1,0),0))</f>
        <v/>
      </c>
      <c r="AE58" s="4" t="str">
        <f>IF(OR(N58="",Results!N17=""),"",IF(N58=Results!N17,1+IF(OR($O58=13,$P58=13,$Q58=13),1,0),0))</f>
        <v/>
      </c>
      <c r="AF58" s="11">
        <f t="shared" si="2"/>
        <v>0</v>
      </c>
      <c r="AG58" s="4" t="str">
        <f>IF(OR($R58="",Results!O17=""),"",ABS($R58-Results!O17))</f>
        <v/>
      </c>
      <c r="AH58" s="12">
        <v>29</v>
      </c>
      <c r="AI58" s="13" t="str">
        <f>IF(OR(B58="",Results!B17=""),"",IF(AND(B58=Results!B17,Results!B17&lt;&gt;Games!$C$161),1,0))</f>
        <v/>
      </c>
      <c r="AJ58" s="13" t="str">
        <f>IF(OR(C58="",Results!C17=""),"",IF(AND(C58=Results!C17,Results!C17&lt;&gt;Games!$C$162),1,0))</f>
        <v/>
      </c>
      <c r="AK58" s="13" t="str">
        <f>IF(OR(D58="",Results!D17=""),"",IF(AND(D58=Results!D17,Results!D17&lt;&gt;Games!$C$163),1,0))</f>
        <v/>
      </c>
      <c r="AL58" s="13" t="str">
        <f>IF(OR(E58="",Results!E17=""),"",IF(AND(E58=Results!E17,Results!E17&lt;&gt;Games!$C$164),1,0))</f>
        <v/>
      </c>
      <c r="AM58" s="13" t="str">
        <f>IF(OR(F58="",Results!F17=""),"",IF(AND(F58=Results!F17,Results!F17&lt;&gt;Games!$C$165),1,0))</f>
        <v/>
      </c>
      <c r="AN58" s="13" t="str">
        <f>IF(OR(G58="",Results!G17=""),"",IF(AND(G58=Results!G17,Results!G17&lt;&gt;Games!$C$166),1,0))</f>
        <v/>
      </c>
      <c r="AO58" s="13" t="str">
        <f>IF(OR(H58="",Results!H17=""),"",IF(AND(H58=Results!H17,Results!H17&lt;&gt;Games!$C$167),1,0))</f>
        <v/>
      </c>
      <c r="AP58" s="13" t="str">
        <f>IF(OR(I58="",Results!I17=""),"",IF(AND(I58=Results!I17,Results!I17&lt;&gt;Games!$C$168),1,0))</f>
        <v/>
      </c>
      <c r="AQ58" s="13" t="str">
        <f>IF(OR(J58="",Results!J17=""),"",IF(AND(J58=Results!J17,Results!J17&lt;&gt;Games!$C$169),1,0))</f>
        <v/>
      </c>
      <c r="AR58" s="13" t="str">
        <f>IF(OR(K58="",Results!K17=""),"",IF(AND(K58=Results!K17,Results!K17&lt;&gt;Games!$C$170),1,0))</f>
        <v/>
      </c>
      <c r="AS58" s="13" t="str">
        <f>IF(OR(L58="",Results!L17=""),"",IF(AND(L58=Results!L17,Results!L17&lt;&gt;Games!$C$171),1,0))</f>
        <v/>
      </c>
      <c r="AT58" s="13" t="str">
        <f>IF(OR(M58="",Results!M17=""),"",IF(AND(M58=Results!M17,Results!M17&lt;&gt;Games!$C$172),1,0))</f>
        <v/>
      </c>
      <c r="AU58" s="13" t="str">
        <f>IF(OR(N58="",Results!N17=""),"",IF(AND(N58=Results!N17,Results!N17&lt;&gt;Games!$C$173),1,0))</f>
        <v/>
      </c>
      <c r="AV58" s="14">
        <f t="shared" si="3"/>
        <v>0</v>
      </c>
    </row>
    <row r="59" spans="1:48" ht="15" customHeight="1" x14ac:dyDescent="0.25">
      <c r="A59" s="4" t="str">
        <f>INDEX(Players!$D$6:$D$69,MATCH(51,Players!$A$6:$A$69,0))</f>
        <v>Stephanie C.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4" t="str">
        <f>IF(OR(B59="",Results!B17=""),"",IF(B59=Results!B17,1+IF(OR($O59=1,$P59=1,$Q59=1),1,0),0))</f>
        <v/>
      </c>
      <c r="T59" s="4" t="str">
        <f>IF(OR(C59="",Results!C17=""),"",IF(C59=Results!C17,1+IF(OR($O59=2,$P59=2,$Q59=2),1,0),0))</f>
        <v/>
      </c>
      <c r="U59" s="4" t="str">
        <f>IF(OR(D59="",Results!D17=""),"",IF(D59=Results!D17,1+IF(OR($O59=3,$P59=3,$Q59=3),1,0),0))</f>
        <v/>
      </c>
      <c r="V59" s="4" t="str">
        <f>IF(OR(E59="",Results!E17=""),"",IF(E59=Results!E17,1+IF(OR($O59=4,$P59=4,$Q59=4),1,0),0))</f>
        <v/>
      </c>
      <c r="W59" s="4" t="str">
        <f>IF(OR(F59="",Results!F17=""),"",IF(F59=Results!F17,1+IF(OR($O59=5,$P59=5,$Q59=5),1,0),0))</f>
        <v/>
      </c>
      <c r="X59" s="4" t="str">
        <f>IF(OR(G59="",Results!G17=""),"",IF(G59=Results!G17,1+IF(OR($O59=6,$P59=6,$Q59=6),1,0),0))</f>
        <v/>
      </c>
      <c r="Y59" s="4" t="str">
        <f>IF(OR(H59="",Results!H17=""),"",IF(H59=Results!H17,1+IF(OR($O59=7,$P59=7,$Q59=7),1,0),0))</f>
        <v/>
      </c>
      <c r="Z59" s="4" t="str">
        <f>IF(OR(I59="",Results!I17=""),"",IF(I59=Results!I17,1+IF(OR($O59=8,$P59=8,$Q59=8),1,0),0))</f>
        <v/>
      </c>
      <c r="AA59" s="4" t="str">
        <f>IF(OR(J59="",Results!J17=""),"",IF(J59=Results!J17,1+IF(OR($O59=9,$P59=9,$Q59=9),1,0),0))</f>
        <v/>
      </c>
      <c r="AB59" s="4" t="str">
        <f>IF(OR(K59="",Results!K17=""),"",IF(K59=Results!K17,1+IF(OR($O59=10,$P59=10,$Q59=10),1,0),0))</f>
        <v/>
      </c>
      <c r="AC59" s="4" t="str">
        <f>IF(OR(L59="",Results!L17=""),"",IF(L59=Results!L17,1+IF(OR($O59=11,$P59=11,$Q59=11),1,0),0))</f>
        <v/>
      </c>
      <c r="AD59" s="4" t="str">
        <f>IF(OR(M59="",Results!M17=""),"",IF(M59=Results!M17,1+IF(OR($O59=12,$P59=12,$Q59=12),1,0),0))</f>
        <v/>
      </c>
      <c r="AE59" s="4" t="str">
        <f>IF(OR(N59="",Results!N17=""),"",IF(N59=Results!N17,1+IF(OR($O59=13,$P59=13,$Q59=13),1,0),0))</f>
        <v/>
      </c>
      <c r="AF59" s="11">
        <f t="shared" si="2"/>
        <v>0</v>
      </c>
      <c r="AG59" s="4" t="str">
        <f>IF(OR($R59="",Results!O17=""),"",ABS($R59-Results!O17))</f>
        <v/>
      </c>
      <c r="AH59" s="12">
        <v>51</v>
      </c>
      <c r="AI59" s="13" t="str">
        <f>IF(OR(B59="",Results!B17=""),"",IF(AND(B59=Results!B17,Results!B17&lt;&gt;Games!$C$161),1,0))</f>
        <v/>
      </c>
      <c r="AJ59" s="13" t="str">
        <f>IF(OR(C59="",Results!C17=""),"",IF(AND(C59=Results!C17,Results!C17&lt;&gt;Games!$C$162),1,0))</f>
        <v/>
      </c>
      <c r="AK59" s="13" t="str">
        <f>IF(OR(D59="",Results!D17=""),"",IF(AND(D59=Results!D17,Results!D17&lt;&gt;Games!$C$163),1,0))</f>
        <v/>
      </c>
      <c r="AL59" s="13" t="str">
        <f>IF(OR(E59="",Results!E17=""),"",IF(AND(E59=Results!E17,Results!E17&lt;&gt;Games!$C$164),1,0))</f>
        <v/>
      </c>
      <c r="AM59" s="13" t="str">
        <f>IF(OR(F59="",Results!F17=""),"",IF(AND(F59=Results!F17,Results!F17&lt;&gt;Games!$C$165),1,0))</f>
        <v/>
      </c>
      <c r="AN59" s="13" t="str">
        <f>IF(OR(G59="",Results!G17=""),"",IF(AND(G59=Results!G17,Results!G17&lt;&gt;Games!$C$166),1,0))</f>
        <v/>
      </c>
      <c r="AO59" s="13" t="str">
        <f>IF(OR(H59="",Results!H17=""),"",IF(AND(H59=Results!H17,Results!H17&lt;&gt;Games!$C$167),1,0))</f>
        <v/>
      </c>
      <c r="AP59" s="13" t="str">
        <f>IF(OR(I59="",Results!I17=""),"",IF(AND(I59=Results!I17,Results!I17&lt;&gt;Games!$C$168),1,0))</f>
        <v/>
      </c>
      <c r="AQ59" s="13" t="str">
        <f>IF(OR(J59="",Results!J17=""),"",IF(AND(J59=Results!J17,Results!J17&lt;&gt;Games!$C$169),1,0))</f>
        <v/>
      </c>
      <c r="AR59" s="13" t="str">
        <f>IF(OR(K59="",Results!K17=""),"",IF(AND(K59=Results!K17,Results!K17&lt;&gt;Games!$C$170),1,0))</f>
        <v/>
      </c>
      <c r="AS59" s="13" t="str">
        <f>IF(OR(L59="",Results!L17=""),"",IF(AND(L59=Results!L17,Results!L17&lt;&gt;Games!$C$171),1,0))</f>
        <v/>
      </c>
      <c r="AT59" s="13" t="str">
        <f>IF(OR(M59="",Results!M17=""),"",IF(AND(M59=Results!M17,Results!M17&lt;&gt;Games!$C$172),1,0))</f>
        <v/>
      </c>
      <c r="AU59" s="13" t="str">
        <f>IF(OR(N59="",Results!N17=""),"",IF(AND(N59=Results!N17,Results!N17&lt;&gt;Games!$C$173),1,0))</f>
        <v/>
      </c>
      <c r="AV59" s="14">
        <f t="shared" si="3"/>
        <v>0</v>
      </c>
    </row>
    <row r="60" spans="1:48" ht="15" customHeight="1" x14ac:dyDescent="0.25">
      <c r="A60" s="4" t="str">
        <f>INDEX(Players!$D$6:$D$69,MATCH(45,Players!$A$6:$A$69,0))</f>
        <v>Taylor M.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4" t="str">
        <f>IF(OR(B60="",Results!B17=""),"",IF(B60=Results!B17,1+IF(OR($O60=1,$P60=1,$Q60=1),1,0),0))</f>
        <v/>
      </c>
      <c r="T60" s="4" t="str">
        <f>IF(OR(C60="",Results!C17=""),"",IF(C60=Results!C17,1+IF(OR($O60=2,$P60=2,$Q60=2),1,0),0))</f>
        <v/>
      </c>
      <c r="U60" s="4" t="str">
        <f>IF(OR(D60="",Results!D17=""),"",IF(D60=Results!D17,1+IF(OR($O60=3,$P60=3,$Q60=3),1,0),0))</f>
        <v/>
      </c>
      <c r="V60" s="4" t="str">
        <f>IF(OR(E60="",Results!E17=""),"",IF(E60=Results!E17,1+IF(OR($O60=4,$P60=4,$Q60=4),1,0),0))</f>
        <v/>
      </c>
      <c r="W60" s="4" t="str">
        <f>IF(OR(F60="",Results!F17=""),"",IF(F60=Results!F17,1+IF(OR($O60=5,$P60=5,$Q60=5),1,0),0))</f>
        <v/>
      </c>
      <c r="X60" s="4" t="str">
        <f>IF(OR(G60="",Results!G17=""),"",IF(G60=Results!G17,1+IF(OR($O60=6,$P60=6,$Q60=6),1,0),0))</f>
        <v/>
      </c>
      <c r="Y60" s="4" t="str">
        <f>IF(OR(H60="",Results!H17=""),"",IF(H60=Results!H17,1+IF(OR($O60=7,$P60=7,$Q60=7),1,0),0))</f>
        <v/>
      </c>
      <c r="Z60" s="4" t="str">
        <f>IF(OR(I60="",Results!I17=""),"",IF(I60=Results!I17,1+IF(OR($O60=8,$P60=8,$Q60=8),1,0),0))</f>
        <v/>
      </c>
      <c r="AA60" s="4" t="str">
        <f>IF(OR(J60="",Results!J17=""),"",IF(J60=Results!J17,1+IF(OR($O60=9,$P60=9,$Q60=9),1,0),0))</f>
        <v/>
      </c>
      <c r="AB60" s="4" t="str">
        <f>IF(OR(K60="",Results!K17=""),"",IF(K60=Results!K17,1+IF(OR($O60=10,$P60=10,$Q60=10),1,0),0))</f>
        <v/>
      </c>
      <c r="AC60" s="4" t="str">
        <f>IF(OR(L60="",Results!L17=""),"",IF(L60=Results!L17,1+IF(OR($O60=11,$P60=11,$Q60=11),1,0),0))</f>
        <v/>
      </c>
      <c r="AD60" s="4" t="str">
        <f>IF(OR(M60="",Results!M17=""),"",IF(M60=Results!M17,1+IF(OR($O60=12,$P60=12,$Q60=12),1,0),0))</f>
        <v/>
      </c>
      <c r="AE60" s="4" t="str">
        <f>IF(OR(N60="",Results!N17=""),"",IF(N60=Results!N17,1+IF(OR($O60=13,$P60=13,$Q60=13),1,0),0))</f>
        <v/>
      </c>
      <c r="AF60" s="11">
        <f t="shared" si="2"/>
        <v>0</v>
      </c>
      <c r="AG60" s="4" t="str">
        <f>IF(OR($R60="",Results!O17=""),"",ABS($R60-Results!O17))</f>
        <v/>
      </c>
      <c r="AH60" s="12">
        <v>45</v>
      </c>
      <c r="AI60" s="13" t="str">
        <f>IF(OR(B60="",Results!B17=""),"",IF(AND(B60=Results!B17,Results!B17&lt;&gt;Games!$C$161),1,0))</f>
        <v/>
      </c>
      <c r="AJ60" s="13" t="str">
        <f>IF(OR(C60="",Results!C17=""),"",IF(AND(C60=Results!C17,Results!C17&lt;&gt;Games!$C$162),1,0))</f>
        <v/>
      </c>
      <c r="AK60" s="13" t="str">
        <f>IF(OR(D60="",Results!D17=""),"",IF(AND(D60=Results!D17,Results!D17&lt;&gt;Games!$C$163),1,0))</f>
        <v/>
      </c>
      <c r="AL60" s="13" t="str">
        <f>IF(OR(E60="",Results!E17=""),"",IF(AND(E60=Results!E17,Results!E17&lt;&gt;Games!$C$164),1,0))</f>
        <v/>
      </c>
      <c r="AM60" s="13" t="str">
        <f>IF(OR(F60="",Results!F17=""),"",IF(AND(F60=Results!F17,Results!F17&lt;&gt;Games!$C$165),1,0))</f>
        <v/>
      </c>
      <c r="AN60" s="13" t="str">
        <f>IF(OR(G60="",Results!G17=""),"",IF(AND(G60=Results!G17,Results!G17&lt;&gt;Games!$C$166),1,0))</f>
        <v/>
      </c>
      <c r="AO60" s="13" t="str">
        <f>IF(OR(H60="",Results!H17=""),"",IF(AND(H60=Results!H17,Results!H17&lt;&gt;Games!$C$167),1,0))</f>
        <v/>
      </c>
      <c r="AP60" s="13" t="str">
        <f>IF(OR(I60="",Results!I17=""),"",IF(AND(I60=Results!I17,Results!I17&lt;&gt;Games!$C$168),1,0))</f>
        <v/>
      </c>
      <c r="AQ60" s="13" t="str">
        <f>IF(OR(J60="",Results!J17=""),"",IF(AND(J60=Results!J17,Results!J17&lt;&gt;Games!$C$169),1,0))</f>
        <v/>
      </c>
      <c r="AR60" s="13" t="str">
        <f>IF(OR(K60="",Results!K17=""),"",IF(AND(K60=Results!K17,Results!K17&lt;&gt;Games!$C$170),1,0))</f>
        <v/>
      </c>
      <c r="AS60" s="13" t="str">
        <f>IF(OR(L60="",Results!L17=""),"",IF(AND(L60=Results!L17,Results!L17&lt;&gt;Games!$C$171),1,0))</f>
        <v/>
      </c>
      <c r="AT60" s="13" t="str">
        <f>IF(OR(M60="",Results!M17=""),"",IF(AND(M60=Results!M17,Results!M17&lt;&gt;Games!$C$172),1,0))</f>
        <v/>
      </c>
      <c r="AU60" s="13" t="str">
        <f>IF(OR(N60="",Results!N17=""),"",IF(AND(N60=Results!N17,Results!N17&lt;&gt;Games!$C$173),1,0))</f>
        <v/>
      </c>
      <c r="AV60" s="14">
        <f t="shared" si="3"/>
        <v>0</v>
      </c>
    </row>
    <row r="61" spans="1:48" ht="15" customHeight="1" x14ac:dyDescent="0.25">
      <c r="A61" s="4" t="str">
        <f>INDEX(Players!$D$6:$D$69,MATCH(30,Players!$A$6:$A$69,0))</f>
        <v>Tom B.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4" t="str">
        <f>IF(OR(B61="",Results!B17=""),"",IF(B61=Results!B17,1+IF(OR($O61=1,$P61=1,$Q61=1),1,0),0))</f>
        <v/>
      </c>
      <c r="T61" s="4" t="str">
        <f>IF(OR(C61="",Results!C17=""),"",IF(C61=Results!C17,1+IF(OR($O61=2,$P61=2,$Q61=2),1,0),0))</f>
        <v/>
      </c>
      <c r="U61" s="4" t="str">
        <f>IF(OR(D61="",Results!D17=""),"",IF(D61=Results!D17,1+IF(OR($O61=3,$P61=3,$Q61=3),1,0),0))</f>
        <v/>
      </c>
      <c r="V61" s="4" t="str">
        <f>IF(OR(E61="",Results!E17=""),"",IF(E61=Results!E17,1+IF(OR($O61=4,$P61=4,$Q61=4),1,0),0))</f>
        <v/>
      </c>
      <c r="W61" s="4" t="str">
        <f>IF(OR(F61="",Results!F17=""),"",IF(F61=Results!F17,1+IF(OR($O61=5,$P61=5,$Q61=5),1,0),0))</f>
        <v/>
      </c>
      <c r="X61" s="4" t="str">
        <f>IF(OR(G61="",Results!G17=""),"",IF(G61=Results!G17,1+IF(OR($O61=6,$P61=6,$Q61=6),1,0),0))</f>
        <v/>
      </c>
      <c r="Y61" s="4" t="str">
        <f>IF(OR(H61="",Results!H17=""),"",IF(H61=Results!H17,1+IF(OR($O61=7,$P61=7,$Q61=7),1,0),0))</f>
        <v/>
      </c>
      <c r="Z61" s="4" t="str">
        <f>IF(OR(I61="",Results!I17=""),"",IF(I61=Results!I17,1+IF(OR($O61=8,$P61=8,$Q61=8),1,0),0))</f>
        <v/>
      </c>
      <c r="AA61" s="4" t="str">
        <f>IF(OR(J61="",Results!J17=""),"",IF(J61=Results!J17,1+IF(OR($O61=9,$P61=9,$Q61=9),1,0),0))</f>
        <v/>
      </c>
      <c r="AB61" s="4" t="str">
        <f>IF(OR(K61="",Results!K17=""),"",IF(K61=Results!K17,1+IF(OR($O61=10,$P61=10,$Q61=10),1,0),0))</f>
        <v/>
      </c>
      <c r="AC61" s="4" t="str">
        <f>IF(OR(L61="",Results!L17=""),"",IF(L61=Results!L17,1+IF(OR($O61=11,$P61=11,$Q61=11),1,0),0))</f>
        <v/>
      </c>
      <c r="AD61" s="4" t="str">
        <f>IF(OR(M61="",Results!M17=""),"",IF(M61=Results!M17,1+IF(OR($O61=12,$P61=12,$Q61=12),1,0),0))</f>
        <v/>
      </c>
      <c r="AE61" s="4" t="str">
        <f>IF(OR(N61="",Results!N17=""),"",IF(N61=Results!N17,1+IF(OR($O61=13,$P61=13,$Q61=13),1,0),0))</f>
        <v/>
      </c>
      <c r="AF61" s="11">
        <f t="shared" si="2"/>
        <v>0</v>
      </c>
      <c r="AG61" s="4" t="str">
        <f>IF(OR($R61="",Results!O17=""),"",ABS($R61-Results!O17))</f>
        <v/>
      </c>
      <c r="AH61" s="12">
        <v>30</v>
      </c>
      <c r="AI61" s="13" t="str">
        <f>IF(OR(B61="",Results!B17=""),"",IF(AND(B61=Results!B17,Results!B17&lt;&gt;Games!$C$161),1,0))</f>
        <v/>
      </c>
      <c r="AJ61" s="13" t="str">
        <f>IF(OR(C61="",Results!C17=""),"",IF(AND(C61=Results!C17,Results!C17&lt;&gt;Games!$C$162),1,0))</f>
        <v/>
      </c>
      <c r="AK61" s="13" t="str">
        <f>IF(OR(D61="",Results!D17=""),"",IF(AND(D61=Results!D17,Results!D17&lt;&gt;Games!$C$163),1,0))</f>
        <v/>
      </c>
      <c r="AL61" s="13" t="str">
        <f>IF(OR(E61="",Results!E17=""),"",IF(AND(E61=Results!E17,Results!E17&lt;&gt;Games!$C$164),1,0))</f>
        <v/>
      </c>
      <c r="AM61" s="13" t="str">
        <f>IF(OR(F61="",Results!F17=""),"",IF(AND(F61=Results!F17,Results!F17&lt;&gt;Games!$C$165),1,0))</f>
        <v/>
      </c>
      <c r="AN61" s="13" t="str">
        <f>IF(OR(G61="",Results!G17=""),"",IF(AND(G61=Results!G17,Results!G17&lt;&gt;Games!$C$166),1,0))</f>
        <v/>
      </c>
      <c r="AO61" s="13" t="str">
        <f>IF(OR(H61="",Results!H17=""),"",IF(AND(H61=Results!H17,Results!H17&lt;&gt;Games!$C$167),1,0))</f>
        <v/>
      </c>
      <c r="AP61" s="13" t="str">
        <f>IF(OR(I61="",Results!I17=""),"",IF(AND(I61=Results!I17,Results!I17&lt;&gt;Games!$C$168),1,0))</f>
        <v/>
      </c>
      <c r="AQ61" s="13" t="str">
        <f>IF(OR(J61="",Results!J17=""),"",IF(AND(J61=Results!J17,Results!J17&lt;&gt;Games!$C$169),1,0))</f>
        <v/>
      </c>
      <c r="AR61" s="13" t="str">
        <f>IF(OR(K61="",Results!K17=""),"",IF(AND(K61=Results!K17,Results!K17&lt;&gt;Games!$C$170),1,0))</f>
        <v/>
      </c>
      <c r="AS61" s="13" t="str">
        <f>IF(OR(L61="",Results!L17=""),"",IF(AND(L61=Results!L17,Results!L17&lt;&gt;Games!$C$171),1,0))</f>
        <v/>
      </c>
      <c r="AT61" s="13" t="str">
        <f>IF(OR(M61="",Results!M17=""),"",IF(AND(M61=Results!M17,Results!M17&lt;&gt;Games!$C$172),1,0))</f>
        <v/>
      </c>
      <c r="AU61" s="13" t="str">
        <f>IF(OR(N61="",Results!N17=""),"",IF(AND(N61=Results!N17,Results!N17&lt;&gt;Games!$C$173),1,0))</f>
        <v/>
      </c>
      <c r="AV61" s="14">
        <f t="shared" si="3"/>
        <v>0</v>
      </c>
    </row>
    <row r="62" spans="1:48" ht="15" customHeight="1" x14ac:dyDescent="0.25">
      <c r="A62" s="4" t="str">
        <f>INDEX(Players!$D$6:$D$69,MATCH(31,Players!$A$6:$A$69,0))</f>
        <v>Tucker M.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4" t="str">
        <f>IF(OR(B62="",Results!B17=""),"",IF(B62=Results!B17,1+IF(OR($O62=1,$P62=1,$Q62=1),1,0),0))</f>
        <v/>
      </c>
      <c r="T62" s="4" t="str">
        <f>IF(OR(C62="",Results!C17=""),"",IF(C62=Results!C17,1+IF(OR($O62=2,$P62=2,$Q62=2),1,0),0))</f>
        <v/>
      </c>
      <c r="U62" s="4" t="str">
        <f>IF(OR(D62="",Results!D17=""),"",IF(D62=Results!D17,1+IF(OR($O62=3,$P62=3,$Q62=3),1,0),0))</f>
        <v/>
      </c>
      <c r="V62" s="4" t="str">
        <f>IF(OR(E62="",Results!E17=""),"",IF(E62=Results!E17,1+IF(OR($O62=4,$P62=4,$Q62=4),1,0),0))</f>
        <v/>
      </c>
      <c r="W62" s="4" t="str">
        <f>IF(OR(F62="",Results!F17=""),"",IF(F62=Results!F17,1+IF(OR($O62=5,$P62=5,$Q62=5),1,0),0))</f>
        <v/>
      </c>
      <c r="X62" s="4" t="str">
        <f>IF(OR(G62="",Results!G17=""),"",IF(G62=Results!G17,1+IF(OR($O62=6,$P62=6,$Q62=6),1,0),0))</f>
        <v/>
      </c>
      <c r="Y62" s="4" t="str">
        <f>IF(OR(H62="",Results!H17=""),"",IF(H62=Results!H17,1+IF(OR($O62=7,$P62=7,$Q62=7),1,0),0))</f>
        <v/>
      </c>
      <c r="Z62" s="4" t="str">
        <f>IF(OR(I62="",Results!I17=""),"",IF(I62=Results!I17,1+IF(OR($O62=8,$P62=8,$Q62=8),1,0),0))</f>
        <v/>
      </c>
      <c r="AA62" s="4" t="str">
        <f>IF(OR(J62="",Results!J17=""),"",IF(J62=Results!J17,1+IF(OR($O62=9,$P62=9,$Q62=9),1,0),0))</f>
        <v/>
      </c>
      <c r="AB62" s="4" t="str">
        <f>IF(OR(K62="",Results!K17=""),"",IF(K62=Results!K17,1+IF(OR($O62=10,$P62=10,$Q62=10),1,0),0))</f>
        <v/>
      </c>
      <c r="AC62" s="4" t="str">
        <f>IF(OR(L62="",Results!L17=""),"",IF(L62=Results!L17,1+IF(OR($O62=11,$P62=11,$Q62=11),1,0),0))</f>
        <v/>
      </c>
      <c r="AD62" s="4" t="str">
        <f>IF(OR(M62="",Results!M17=""),"",IF(M62=Results!M17,1+IF(OR($O62=12,$P62=12,$Q62=12),1,0),0))</f>
        <v/>
      </c>
      <c r="AE62" s="4" t="str">
        <f>IF(OR(N62="",Results!N17=""),"",IF(N62=Results!N17,1+IF(OR($O62=13,$P62=13,$Q62=13),1,0),0))</f>
        <v/>
      </c>
      <c r="AF62" s="11">
        <f t="shared" si="2"/>
        <v>0</v>
      </c>
      <c r="AG62" s="4" t="str">
        <f>IF(OR($R62="",Results!O17=""),"",ABS($R62-Results!O17))</f>
        <v/>
      </c>
      <c r="AH62" s="12">
        <v>31</v>
      </c>
      <c r="AI62" s="13" t="str">
        <f>IF(OR(B62="",Results!B17=""),"",IF(AND(B62=Results!B17,Results!B17&lt;&gt;Games!$C$161),1,0))</f>
        <v/>
      </c>
      <c r="AJ62" s="13" t="str">
        <f>IF(OR(C62="",Results!C17=""),"",IF(AND(C62=Results!C17,Results!C17&lt;&gt;Games!$C$162),1,0))</f>
        <v/>
      </c>
      <c r="AK62" s="13" t="str">
        <f>IF(OR(D62="",Results!D17=""),"",IF(AND(D62=Results!D17,Results!D17&lt;&gt;Games!$C$163),1,0))</f>
        <v/>
      </c>
      <c r="AL62" s="13" t="str">
        <f>IF(OR(E62="",Results!E17=""),"",IF(AND(E62=Results!E17,Results!E17&lt;&gt;Games!$C$164),1,0))</f>
        <v/>
      </c>
      <c r="AM62" s="13" t="str">
        <f>IF(OR(F62="",Results!F17=""),"",IF(AND(F62=Results!F17,Results!F17&lt;&gt;Games!$C$165),1,0))</f>
        <v/>
      </c>
      <c r="AN62" s="13" t="str">
        <f>IF(OR(G62="",Results!G17=""),"",IF(AND(G62=Results!G17,Results!G17&lt;&gt;Games!$C$166),1,0))</f>
        <v/>
      </c>
      <c r="AO62" s="13" t="str">
        <f>IF(OR(H62="",Results!H17=""),"",IF(AND(H62=Results!H17,Results!H17&lt;&gt;Games!$C$167),1,0))</f>
        <v/>
      </c>
      <c r="AP62" s="13" t="str">
        <f>IF(OR(I62="",Results!I17=""),"",IF(AND(I62=Results!I17,Results!I17&lt;&gt;Games!$C$168),1,0))</f>
        <v/>
      </c>
      <c r="AQ62" s="13" t="str">
        <f>IF(OR(J62="",Results!J17=""),"",IF(AND(J62=Results!J17,Results!J17&lt;&gt;Games!$C$169),1,0))</f>
        <v/>
      </c>
      <c r="AR62" s="13" t="str">
        <f>IF(OR(K62="",Results!K17=""),"",IF(AND(K62=Results!K17,Results!K17&lt;&gt;Games!$C$170),1,0))</f>
        <v/>
      </c>
      <c r="AS62" s="13" t="str">
        <f>IF(OR(L62="",Results!L17=""),"",IF(AND(L62=Results!L17,Results!L17&lt;&gt;Games!$C$171),1,0))</f>
        <v/>
      </c>
      <c r="AT62" s="13" t="str">
        <f>IF(OR(M62="",Results!M17=""),"",IF(AND(M62=Results!M17,Results!M17&lt;&gt;Games!$C$172),1,0))</f>
        <v/>
      </c>
      <c r="AU62" s="13" t="str">
        <f>IF(OR(N62="",Results!N17=""),"",IF(AND(N62=Results!N17,Results!N17&lt;&gt;Games!$C$173),1,0))</f>
        <v/>
      </c>
      <c r="AV62" s="14">
        <f t="shared" si="3"/>
        <v>0</v>
      </c>
    </row>
    <row r="63" spans="1:48" ht="15" customHeight="1" x14ac:dyDescent="0.25">
      <c r="A63" s="4" t="str">
        <f>INDEX(Players!$D$6:$D$69,MATCH(32,Players!$A$6:$A$69,0))</f>
        <v>Tye E.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4" t="str">
        <f>IF(OR(B63="",Results!B17=""),"",IF(B63=Results!B17,1+IF(OR($O63=1,$P63=1,$Q63=1),1,0),0))</f>
        <v/>
      </c>
      <c r="T63" s="4" t="str">
        <f>IF(OR(C63="",Results!C17=""),"",IF(C63=Results!C17,1+IF(OR($O63=2,$P63=2,$Q63=2),1,0),0))</f>
        <v/>
      </c>
      <c r="U63" s="4" t="str">
        <f>IF(OR(D63="",Results!D17=""),"",IF(D63=Results!D17,1+IF(OR($O63=3,$P63=3,$Q63=3),1,0),0))</f>
        <v/>
      </c>
      <c r="V63" s="4" t="str">
        <f>IF(OR(E63="",Results!E17=""),"",IF(E63=Results!E17,1+IF(OR($O63=4,$P63=4,$Q63=4),1,0),0))</f>
        <v/>
      </c>
      <c r="W63" s="4" t="str">
        <f>IF(OR(F63="",Results!F17=""),"",IF(F63=Results!F17,1+IF(OR($O63=5,$P63=5,$Q63=5),1,0),0))</f>
        <v/>
      </c>
      <c r="X63" s="4" t="str">
        <f>IF(OR(G63="",Results!G17=""),"",IF(G63=Results!G17,1+IF(OR($O63=6,$P63=6,$Q63=6),1,0),0))</f>
        <v/>
      </c>
      <c r="Y63" s="4" t="str">
        <f>IF(OR(H63="",Results!H17=""),"",IF(H63=Results!H17,1+IF(OR($O63=7,$P63=7,$Q63=7),1,0),0))</f>
        <v/>
      </c>
      <c r="Z63" s="4" t="str">
        <f>IF(OR(I63="",Results!I17=""),"",IF(I63=Results!I17,1+IF(OR($O63=8,$P63=8,$Q63=8),1,0),0))</f>
        <v/>
      </c>
      <c r="AA63" s="4" t="str">
        <f>IF(OR(J63="",Results!J17=""),"",IF(J63=Results!J17,1+IF(OR($O63=9,$P63=9,$Q63=9),1,0),0))</f>
        <v/>
      </c>
      <c r="AB63" s="4" t="str">
        <f>IF(OR(K63="",Results!K17=""),"",IF(K63=Results!K17,1+IF(OR($O63=10,$P63=10,$Q63=10),1,0),0))</f>
        <v/>
      </c>
      <c r="AC63" s="4" t="str">
        <f>IF(OR(L63="",Results!L17=""),"",IF(L63=Results!L17,1+IF(OR($O63=11,$P63=11,$Q63=11),1,0),0))</f>
        <v/>
      </c>
      <c r="AD63" s="4" t="str">
        <f>IF(OR(M63="",Results!M17=""),"",IF(M63=Results!M17,1+IF(OR($O63=12,$P63=12,$Q63=12),1,0),0))</f>
        <v/>
      </c>
      <c r="AE63" s="4" t="str">
        <f>IF(OR(N63="",Results!N17=""),"",IF(N63=Results!N17,1+IF(OR($O63=13,$P63=13,$Q63=13),1,0),0))</f>
        <v/>
      </c>
      <c r="AF63" s="11">
        <f t="shared" si="2"/>
        <v>0</v>
      </c>
      <c r="AG63" s="4" t="str">
        <f>IF(OR($R63="",Results!O17=""),"",ABS($R63-Results!O17))</f>
        <v/>
      </c>
      <c r="AH63" s="12">
        <v>32</v>
      </c>
      <c r="AI63" s="13" t="str">
        <f>IF(OR(B63="",Results!B17=""),"",IF(AND(B63=Results!B17,Results!B17&lt;&gt;Games!$C$161),1,0))</f>
        <v/>
      </c>
      <c r="AJ63" s="13" t="str">
        <f>IF(OR(C63="",Results!C17=""),"",IF(AND(C63=Results!C17,Results!C17&lt;&gt;Games!$C$162),1,0))</f>
        <v/>
      </c>
      <c r="AK63" s="13" t="str">
        <f>IF(OR(D63="",Results!D17=""),"",IF(AND(D63=Results!D17,Results!D17&lt;&gt;Games!$C$163),1,0))</f>
        <v/>
      </c>
      <c r="AL63" s="13" t="str">
        <f>IF(OR(E63="",Results!E17=""),"",IF(AND(E63=Results!E17,Results!E17&lt;&gt;Games!$C$164),1,0))</f>
        <v/>
      </c>
      <c r="AM63" s="13" t="str">
        <f>IF(OR(F63="",Results!F17=""),"",IF(AND(F63=Results!F17,Results!F17&lt;&gt;Games!$C$165),1,0))</f>
        <v/>
      </c>
      <c r="AN63" s="13" t="str">
        <f>IF(OR(G63="",Results!G17=""),"",IF(AND(G63=Results!G17,Results!G17&lt;&gt;Games!$C$166),1,0))</f>
        <v/>
      </c>
      <c r="AO63" s="13" t="str">
        <f>IF(OR(H63="",Results!H17=""),"",IF(AND(H63=Results!H17,Results!H17&lt;&gt;Games!$C$167),1,0))</f>
        <v/>
      </c>
      <c r="AP63" s="13" t="str">
        <f>IF(OR(I63="",Results!I17=""),"",IF(AND(I63=Results!I17,Results!I17&lt;&gt;Games!$C$168),1,0))</f>
        <v/>
      </c>
      <c r="AQ63" s="13" t="str">
        <f>IF(OR(J63="",Results!J17=""),"",IF(AND(J63=Results!J17,Results!J17&lt;&gt;Games!$C$169),1,0))</f>
        <v/>
      </c>
      <c r="AR63" s="13" t="str">
        <f>IF(OR(K63="",Results!K17=""),"",IF(AND(K63=Results!K17,Results!K17&lt;&gt;Games!$C$170),1,0))</f>
        <v/>
      </c>
      <c r="AS63" s="13" t="str">
        <f>IF(OR(L63="",Results!L17=""),"",IF(AND(L63=Results!L17,Results!L17&lt;&gt;Games!$C$171),1,0))</f>
        <v/>
      </c>
      <c r="AT63" s="13" t="str">
        <f>IF(OR(M63="",Results!M17=""),"",IF(AND(M63=Results!M17,Results!M17&lt;&gt;Games!$C$172),1,0))</f>
        <v/>
      </c>
      <c r="AU63" s="13" t="str">
        <f>IF(OR(N63="",Results!N17=""),"",IF(AND(N63=Results!N17,Results!N17&lt;&gt;Games!$C$173),1,0))</f>
        <v/>
      </c>
      <c r="AV63" s="14">
        <f t="shared" si="3"/>
        <v>0</v>
      </c>
    </row>
    <row r="64" spans="1:48" ht="15" customHeight="1" x14ac:dyDescent="0.25">
      <c r="A64" s="4" t="str">
        <f>INDEX(Players!$D$6:$D$69,MATCH(46,Players!$A$6:$A$69,0))</f>
        <v>Tyler A.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4" t="str">
        <f>IF(OR(B64="",Results!B17=""),"",IF(B64=Results!B17,1+IF(OR($O64=1,$P64=1,$Q64=1),1,0),0))</f>
        <v/>
      </c>
      <c r="T64" s="4" t="str">
        <f>IF(OR(C64="",Results!C17=""),"",IF(C64=Results!C17,1+IF(OR($O64=2,$P64=2,$Q64=2),1,0),0))</f>
        <v/>
      </c>
      <c r="U64" s="4" t="str">
        <f>IF(OR(D64="",Results!D17=""),"",IF(D64=Results!D17,1+IF(OR($O64=3,$P64=3,$Q64=3),1,0),0))</f>
        <v/>
      </c>
      <c r="V64" s="4" t="str">
        <f>IF(OR(E64="",Results!E17=""),"",IF(E64=Results!E17,1+IF(OR($O64=4,$P64=4,$Q64=4),1,0),0))</f>
        <v/>
      </c>
      <c r="W64" s="4" t="str">
        <f>IF(OR(F64="",Results!F17=""),"",IF(F64=Results!F17,1+IF(OR($O64=5,$P64=5,$Q64=5),1,0),0))</f>
        <v/>
      </c>
      <c r="X64" s="4" t="str">
        <f>IF(OR(G64="",Results!G17=""),"",IF(G64=Results!G17,1+IF(OR($O64=6,$P64=6,$Q64=6),1,0),0))</f>
        <v/>
      </c>
      <c r="Y64" s="4" t="str">
        <f>IF(OR(H64="",Results!H17=""),"",IF(H64=Results!H17,1+IF(OR($O64=7,$P64=7,$Q64=7),1,0),0))</f>
        <v/>
      </c>
      <c r="Z64" s="4" t="str">
        <f>IF(OR(I64="",Results!I17=""),"",IF(I64=Results!I17,1+IF(OR($O64=8,$P64=8,$Q64=8),1,0),0))</f>
        <v/>
      </c>
      <c r="AA64" s="4" t="str">
        <f>IF(OR(J64="",Results!J17=""),"",IF(J64=Results!J17,1+IF(OR($O64=9,$P64=9,$Q64=9),1,0),0))</f>
        <v/>
      </c>
      <c r="AB64" s="4" t="str">
        <f>IF(OR(K64="",Results!K17=""),"",IF(K64=Results!K17,1+IF(OR($O64=10,$P64=10,$Q64=10),1,0),0))</f>
        <v/>
      </c>
      <c r="AC64" s="4" t="str">
        <f>IF(OR(L64="",Results!L17=""),"",IF(L64=Results!L17,1+IF(OR($O64=11,$P64=11,$Q64=11),1,0),0))</f>
        <v/>
      </c>
      <c r="AD64" s="4" t="str">
        <f>IF(OR(M64="",Results!M17=""),"",IF(M64=Results!M17,1+IF(OR($O64=12,$P64=12,$Q64=12),1,0),0))</f>
        <v/>
      </c>
      <c r="AE64" s="4" t="str">
        <f>IF(OR(N64="",Results!N17=""),"",IF(N64=Results!N17,1+IF(OR($O64=13,$P64=13,$Q64=13),1,0),0))</f>
        <v/>
      </c>
      <c r="AF64" s="11">
        <f t="shared" si="2"/>
        <v>0</v>
      </c>
      <c r="AG64" s="4" t="str">
        <f>IF(OR($R64="",Results!O17=""),"",ABS($R64-Results!O17))</f>
        <v/>
      </c>
      <c r="AH64" s="12">
        <v>46</v>
      </c>
      <c r="AI64" s="13" t="str">
        <f>IF(OR(B64="",Results!B17=""),"",IF(AND(B64=Results!B17,Results!B17&lt;&gt;Games!$C$161),1,0))</f>
        <v/>
      </c>
      <c r="AJ64" s="13" t="str">
        <f>IF(OR(C64="",Results!C17=""),"",IF(AND(C64=Results!C17,Results!C17&lt;&gt;Games!$C$162),1,0))</f>
        <v/>
      </c>
      <c r="AK64" s="13" t="str">
        <f>IF(OR(D64="",Results!D17=""),"",IF(AND(D64=Results!D17,Results!D17&lt;&gt;Games!$C$163),1,0))</f>
        <v/>
      </c>
      <c r="AL64" s="13" t="str">
        <f>IF(OR(E64="",Results!E17=""),"",IF(AND(E64=Results!E17,Results!E17&lt;&gt;Games!$C$164),1,0))</f>
        <v/>
      </c>
      <c r="AM64" s="13" t="str">
        <f>IF(OR(F64="",Results!F17=""),"",IF(AND(F64=Results!F17,Results!F17&lt;&gt;Games!$C$165),1,0))</f>
        <v/>
      </c>
      <c r="AN64" s="13" t="str">
        <f>IF(OR(G64="",Results!G17=""),"",IF(AND(G64=Results!G17,Results!G17&lt;&gt;Games!$C$166),1,0))</f>
        <v/>
      </c>
      <c r="AO64" s="13" t="str">
        <f>IF(OR(H64="",Results!H17=""),"",IF(AND(H64=Results!H17,Results!H17&lt;&gt;Games!$C$167),1,0))</f>
        <v/>
      </c>
      <c r="AP64" s="13" t="str">
        <f>IF(OR(I64="",Results!I17=""),"",IF(AND(I64=Results!I17,Results!I17&lt;&gt;Games!$C$168),1,0))</f>
        <v/>
      </c>
      <c r="AQ64" s="13" t="str">
        <f>IF(OR(J64="",Results!J17=""),"",IF(AND(J64=Results!J17,Results!J17&lt;&gt;Games!$C$169),1,0))</f>
        <v/>
      </c>
      <c r="AR64" s="13" t="str">
        <f>IF(OR(K64="",Results!K17=""),"",IF(AND(K64=Results!K17,Results!K17&lt;&gt;Games!$C$170),1,0))</f>
        <v/>
      </c>
      <c r="AS64" s="13" t="str">
        <f>IF(OR(L64="",Results!L17=""),"",IF(AND(L64=Results!L17,Results!L17&lt;&gt;Games!$C$171),1,0))</f>
        <v/>
      </c>
      <c r="AT64" s="13" t="str">
        <f>IF(OR(M64="",Results!M17=""),"",IF(AND(M64=Results!M17,Results!M17&lt;&gt;Games!$C$172),1,0))</f>
        <v/>
      </c>
      <c r="AU64" s="13" t="str">
        <f>IF(OR(N64="",Results!N17=""),"",IF(AND(N64=Results!N17,Results!N17&lt;&gt;Games!$C$173),1,0))</f>
        <v/>
      </c>
      <c r="AV64" s="14">
        <f t="shared" si="3"/>
        <v>0</v>
      </c>
    </row>
    <row r="65" spans="1:48" ht="15" customHeight="1" x14ac:dyDescent="0.25">
      <c r="A65" s="4" t="str">
        <f>INDEX(Players!$D$6:$D$69,MATCH(33,Players!$A$6:$A$69,0))</f>
        <v>Vicki P.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4" t="str">
        <f>IF(OR(B65="",Results!B17=""),"",IF(B65=Results!B17,1+IF(OR($O65=1,$P65=1,$Q65=1),1,0),0))</f>
        <v/>
      </c>
      <c r="T65" s="4" t="str">
        <f>IF(OR(C65="",Results!C17=""),"",IF(C65=Results!C17,1+IF(OR($O65=2,$P65=2,$Q65=2),1,0),0))</f>
        <v/>
      </c>
      <c r="U65" s="4" t="str">
        <f>IF(OR(D65="",Results!D17=""),"",IF(D65=Results!D17,1+IF(OR($O65=3,$P65=3,$Q65=3),1,0),0))</f>
        <v/>
      </c>
      <c r="V65" s="4" t="str">
        <f>IF(OR(E65="",Results!E17=""),"",IF(E65=Results!E17,1+IF(OR($O65=4,$P65=4,$Q65=4),1,0),0))</f>
        <v/>
      </c>
      <c r="W65" s="4" t="str">
        <f>IF(OR(F65="",Results!F17=""),"",IF(F65=Results!F17,1+IF(OR($O65=5,$P65=5,$Q65=5),1,0),0))</f>
        <v/>
      </c>
      <c r="X65" s="4" t="str">
        <f>IF(OR(G65="",Results!G17=""),"",IF(G65=Results!G17,1+IF(OR($O65=6,$P65=6,$Q65=6),1,0),0))</f>
        <v/>
      </c>
      <c r="Y65" s="4" t="str">
        <f>IF(OR(H65="",Results!H17=""),"",IF(H65=Results!H17,1+IF(OR($O65=7,$P65=7,$Q65=7),1,0),0))</f>
        <v/>
      </c>
      <c r="Z65" s="4" t="str">
        <f>IF(OR(I65="",Results!I17=""),"",IF(I65=Results!I17,1+IF(OR($O65=8,$P65=8,$Q65=8),1,0),0))</f>
        <v/>
      </c>
      <c r="AA65" s="4" t="str">
        <f>IF(OR(J65="",Results!J17=""),"",IF(J65=Results!J17,1+IF(OR($O65=9,$P65=9,$Q65=9),1,0),0))</f>
        <v/>
      </c>
      <c r="AB65" s="4" t="str">
        <f>IF(OR(K65="",Results!K17=""),"",IF(K65=Results!K17,1+IF(OR($O65=10,$P65=10,$Q65=10),1,0),0))</f>
        <v/>
      </c>
      <c r="AC65" s="4" t="str">
        <f>IF(OR(L65="",Results!L17=""),"",IF(L65=Results!L17,1+IF(OR($O65=11,$P65=11,$Q65=11),1,0),0))</f>
        <v/>
      </c>
      <c r="AD65" s="4" t="str">
        <f>IF(OR(M65="",Results!M17=""),"",IF(M65=Results!M17,1+IF(OR($O65=12,$P65=12,$Q65=12),1,0),0))</f>
        <v/>
      </c>
      <c r="AE65" s="4" t="str">
        <f>IF(OR(N65="",Results!N17=""),"",IF(N65=Results!N17,1+IF(OR($O65=13,$P65=13,$Q65=13),1,0),0))</f>
        <v/>
      </c>
      <c r="AF65" s="11">
        <f t="shared" si="2"/>
        <v>0</v>
      </c>
      <c r="AG65" s="4" t="str">
        <f>IF(OR($R65="",Results!O17=""),"",ABS($R65-Results!O17))</f>
        <v/>
      </c>
      <c r="AH65" s="12">
        <v>33</v>
      </c>
      <c r="AI65" s="13" t="str">
        <f>IF(OR(B65="",Results!B17=""),"",IF(AND(B65=Results!B17,Results!B17&lt;&gt;Games!$C$161),1,0))</f>
        <v/>
      </c>
      <c r="AJ65" s="13" t="str">
        <f>IF(OR(C65="",Results!C17=""),"",IF(AND(C65=Results!C17,Results!C17&lt;&gt;Games!$C$162),1,0))</f>
        <v/>
      </c>
      <c r="AK65" s="13" t="str">
        <f>IF(OR(D65="",Results!D17=""),"",IF(AND(D65=Results!D17,Results!D17&lt;&gt;Games!$C$163),1,0))</f>
        <v/>
      </c>
      <c r="AL65" s="13" t="str">
        <f>IF(OR(E65="",Results!E17=""),"",IF(AND(E65=Results!E17,Results!E17&lt;&gt;Games!$C$164),1,0))</f>
        <v/>
      </c>
      <c r="AM65" s="13" t="str">
        <f>IF(OR(F65="",Results!F17=""),"",IF(AND(F65=Results!F17,Results!F17&lt;&gt;Games!$C$165),1,0))</f>
        <v/>
      </c>
      <c r="AN65" s="13" t="str">
        <f>IF(OR(G65="",Results!G17=""),"",IF(AND(G65=Results!G17,Results!G17&lt;&gt;Games!$C$166),1,0))</f>
        <v/>
      </c>
      <c r="AO65" s="13" t="str">
        <f>IF(OR(H65="",Results!H17=""),"",IF(AND(H65=Results!H17,Results!H17&lt;&gt;Games!$C$167),1,0))</f>
        <v/>
      </c>
      <c r="AP65" s="13" t="str">
        <f>IF(OR(I65="",Results!I17=""),"",IF(AND(I65=Results!I17,Results!I17&lt;&gt;Games!$C$168),1,0))</f>
        <v/>
      </c>
      <c r="AQ65" s="13" t="str">
        <f>IF(OR(J65="",Results!J17=""),"",IF(AND(J65=Results!J17,Results!J17&lt;&gt;Games!$C$169),1,0))</f>
        <v/>
      </c>
      <c r="AR65" s="13" t="str">
        <f>IF(OR(K65="",Results!K17=""),"",IF(AND(K65=Results!K17,Results!K17&lt;&gt;Games!$C$170),1,0))</f>
        <v/>
      </c>
      <c r="AS65" s="13" t="str">
        <f>IF(OR(L65="",Results!L17=""),"",IF(AND(L65=Results!L17,Results!L17&lt;&gt;Games!$C$171),1,0))</f>
        <v/>
      </c>
      <c r="AT65" s="13" t="str">
        <f>IF(OR(M65="",Results!M17=""),"",IF(AND(M65=Results!M17,Results!M17&lt;&gt;Games!$C$172),1,0))</f>
        <v/>
      </c>
      <c r="AU65" s="13" t="str">
        <f>IF(OR(N65="",Results!N17=""),"",IF(AND(N65=Results!N17,Results!N17&lt;&gt;Games!$C$173),1,0))</f>
        <v/>
      </c>
      <c r="AV65" s="14">
        <f t="shared" si="3"/>
        <v>0</v>
      </c>
    </row>
  </sheetData>
  <mergeCells count="1">
    <mergeCell ref="A2:H2"/>
  </mergeCells>
  <dataValidations count="1">
    <dataValidation type="whole" allowBlank="1" sqref="O6:Q65" xr:uid="{00000000-0002-0000-0E00-000000000000}">
      <formula1>1</formula1>
      <formula2>13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E00-000001000000}">
          <x14:formula1>
            <xm:f>Games!$C$161:$D$161</xm:f>
          </x14:formula1>
          <x14:formula2>
            <xm:f>0</xm:f>
          </x14:formula2>
          <xm:sqref>B6:B65</xm:sqref>
        </x14:dataValidation>
        <x14:dataValidation type="list" allowBlank="1" xr:uid="{00000000-0002-0000-0E00-000002000000}">
          <x14:formula1>
            <xm:f>Games!$C$162:$D$162</xm:f>
          </x14:formula1>
          <x14:formula2>
            <xm:f>0</xm:f>
          </x14:formula2>
          <xm:sqref>C6:C65</xm:sqref>
        </x14:dataValidation>
        <x14:dataValidation type="list" allowBlank="1" xr:uid="{00000000-0002-0000-0E00-000003000000}">
          <x14:formula1>
            <xm:f>Games!$C$163:$D$163</xm:f>
          </x14:formula1>
          <x14:formula2>
            <xm:f>0</xm:f>
          </x14:formula2>
          <xm:sqref>D6:D65</xm:sqref>
        </x14:dataValidation>
        <x14:dataValidation type="list" allowBlank="1" xr:uid="{00000000-0002-0000-0E00-000004000000}">
          <x14:formula1>
            <xm:f>Games!$C$164:$D$164</xm:f>
          </x14:formula1>
          <x14:formula2>
            <xm:f>0</xm:f>
          </x14:formula2>
          <xm:sqref>E6:E65</xm:sqref>
        </x14:dataValidation>
        <x14:dataValidation type="list" allowBlank="1" xr:uid="{00000000-0002-0000-0E00-000005000000}">
          <x14:formula1>
            <xm:f>Games!$C$165:$D$165</xm:f>
          </x14:formula1>
          <x14:formula2>
            <xm:f>0</xm:f>
          </x14:formula2>
          <xm:sqref>F6:F65</xm:sqref>
        </x14:dataValidation>
        <x14:dataValidation type="list" allowBlank="1" xr:uid="{00000000-0002-0000-0E00-000006000000}">
          <x14:formula1>
            <xm:f>Games!$C$166:$D$166</xm:f>
          </x14:formula1>
          <x14:formula2>
            <xm:f>0</xm:f>
          </x14:formula2>
          <xm:sqref>G6:G65</xm:sqref>
        </x14:dataValidation>
        <x14:dataValidation type="list" allowBlank="1" xr:uid="{00000000-0002-0000-0E00-000007000000}">
          <x14:formula1>
            <xm:f>Games!$C$167:$D$167</xm:f>
          </x14:formula1>
          <x14:formula2>
            <xm:f>0</xm:f>
          </x14:formula2>
          <xm:sqref>H6:H65</xm:sqref>
        </x14:dataValidation>
        <x14:dataValidation type="list" allowBlank="1" xr:uid="{00000000-0002-0000-0E00-000008000000}">
          <x14:formula1>
            <xm:f>Games!$C$168:$D$168</xm:f>
          </x14:formula1>
          <x14:formula2>
            <xm:f>0</xm:f>
          </x14:formula2>
          <xm:sqref>I6:I65</xm:sqref>
        </x14:dataValidation>
        <x14:dataValidation type="list" allowBlank="1" xr:uid="{00000000-0002-0000-0E00-000009000000}">
          <x14:formula1>
            <xm:f>Games!$C$169:$D$169</xm:f>
          </x14:formula1>
          <x14:formula2>
            <xm:f>0</xm:f>
          </x14:formula2>
          <xm:sqref>J6:J65</xm:sqref>
        </x14:dataValidation>
        <x14:dataValidation type="list" allowBlank="1" xr:uid="{00000000-0002-0000-0E00-00000A000000}">
          <x14:formula1>
            <xm:f>Games!$C$170:$D$170</xm:f>
          </x14:formula1>
          <x14:formula2>
            <xm:f>0</xm:f>
          </x14:formula2>
          <xm:sqref>K6:K65</xm:sqref>
        </x14:dataValidation>
        <x14:dataValidation type="list" allowBlank="1" xr:uid="{00000000-0002-0000-0E00-00000B000000}">
          <x14:formula1>
            <xm:f>Games!$C$171:$D$171</xm:f>
          </x14:formula1>
          <x14:formula2>
            <xm:f>0</xm:f>
          </x14:formula2>
          <xm:sqref>L6:L65</xm:sqref>
        </x14:dataValidation>
        <x14:dataValidation type="list" allowBlank="1" xr:uid="{00000000-0002-0000-0E00-00000C000000}">
          <x14:formula1>
            <xm:f>Games!$C$172:$D$172</xm:f>
          </x14:formula1>
          <x14:formula2>
            <xm:f>0</xm:f>
          </x14:formula2>
          <xm:sqref>M6:M65</xm:sqref>
        </x14:dataValidation>
        <x14:dataValidation type="list" allowBlank="1" xr:uid="{00000000-0002-0000-0E00-00000D000000}">
          <x14:formula1>
            <xm:f>Games!$C$173:$D$173</xm:f>
          </x14:formula1>
          <x14:formula2>
            <xm:f>0</xm:f>
          </x14:formula2>
          <xm:sqref>N6:N65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8" customWidth="1"/>
    <col min="2" max="15" width="16" customWidth="1"/>
  </cols>
  <sheetData>
    <row r="1" spans="1:29" ht="17.25" customHeight="1" x14ac:dyDescent="0.25">
      <c r="A1" s="2" t="s">
        <v>327</v>
      </c>
    </row>
    <row r="2" spans="1:29" ht="15" customHeight="1" x14ac:dyDescent="0.25">
      <c r="A2" s="19" t="s">
        <v>328</v>
      </c>
      <c r="B2" s="19"/>
      <c r="C2" s="19"/>
      <c r="D2" s="19"/>
      <c r="E2" s="19"/>
      <c r="F2" s="19"/>
      <c r="G2" s="19"/>
      <c r="H2" s="19"/>
    </row>
    <row r="4" spans="1:29" ht="26.25" customHeight="1" x14ac:dyDescent="0.25">
      <c r="A4" s="3" t="s">
        <v>175</v>
      </c>
      <c r="B4" s="3" t="s">
        <v>329</v>
      </c>
      <c r="C4" s="3" t="s">
        <v>330</v>
      </c>
      <c r="D4" s="3" t="s">
        <v>331</v>
      </c>
      <c r="E4" s="3" t="s">
        <v>332</v>
      </c>
      <c r="F4" s="3" t="s">
        <v>333</v>
      </c>
      <c r="G4" s="3" t="s">
        <v>334</v>
      </c>
      <c r="H4" s="3" t="s">
        <v>335</v>
      </c>
      <c r="I4" s="3" t="s">
        <v>336</v>
      </c>
      <c r="J4" s="3" t="s">
        <v>337</v>
      </c>
      <c r="K4" s="3" t="s">
        <v>338</v>
      </c>
      <c r="L4" s="3" t="s">
        <v>339</v>
      </c>
      <c r="M4" s="3" t="s">
        <v>340</v>
      </c>
      <c r="N4" s="3" t="s">
        <v>341</v>
      </c>
      <c r="O4" s="3" t="s">
        <v>342</v>
      </c>
      <c r="P4" s="3" t="s">
        <v>343</v>
      </c>
      <c r="Q4" s="3" t="s">
        <v>344</v>
      </c>
      <c r="R4" s="3" t="s">
        <v>345</v>
      </c>
      <c r="S4" s="3" t="s">
        <v>346</v>
      </c>
      <c r="T4" s="3" t="s">
        <v>347</v>
      </c>
      <c r="U4" s="3" t="s">
        <v>348</v>
      </c>
      <c r="V4" s="3" t="s">
        <v>349</v>
      </c>
      <c r="W4" s="3" t="s">
        <v>350</v>
      </c>
      <c r="X4" s="3" t="s">
        <v>351</v>
      </c>
      <c r="Y4" s="3" t="s">
        <v>352</v>
      </c>
      <c r="Z4" s="3" t="s">
        <v>353</v>
      </c>
      <c r="AA4" s="3" t="s">
        <v>354</v>
      </c>
      <c r="AB4" s="3" t="s">
        <v>355</v>
      </c>
      <c r="AC4" s="3" t="s">
        <v>356</v>
      </c>
    </row>
    <row r="5" spans="1:29" ht="15" customHeight="1" x14ac:dyDescent="0.25">
      <c r="A5" s="4">
        <v>1</v>
      </c>
      <c r="B5" s="5" t="s">
        <v>184</v>
      </c>
      <c r="C5" s="5" t="s">
        <v>188</v>
      </c>
      <c r="D5" s="5" t="s">
        <v>191</v>
      </c>
      <c r="E5" s="5" t="s">
        <v>195</v>
      </c>
      <c r="F5" s="5" t="s">
        <v>199</v>
      </c>
      <c r="G5" s="5" t="s">
        <v>202</v>
      </c>
      <c r="H5" s="5" t="s">
        <v>206</v>
      </c>
      <c r="I5" s="5" t="s">
        <v>210</v>
      </c>
      <c r="J5" s="5" t="s">
        <v>213</v>
      </c>
      <c r="K5" s="5" t="s">
        <v>217</v>
      </c>
      <c r="L5" s="5" t="s">
        <v>221</v>
      </c>
      <c r="M5" s="5" t="s">
        <v>223</v>
      </c>
      <c r="N5" s="5" t="s">
        <v>226</v>
      </c>
      <c r="O5" s="5">
        <v>51</v>
      </c>
      <c r="P5" s="13">
        <f>IF(B5="","",IF(B5&lt;&gt;Games!$C$5,1,0))</f>
        <v>1</v>
      </c>
      <c r="Q5" s="13">
        <f>IF(C5="","",IF(C5&lt;&gt;Games!$C$6,1,0))</f>
        <v>1</v>
      </c>
      <c r="R5" s="13">
        <f>IF(D5="","",IF(D5&lt;&gt;Games!$C$7,1,0))</f>
        <v>0</v>
      </c>
      <c r="S5" s="13">
        <f>IF(E5="","",IF(E5&lt;&gt;Games!$C$8,1,0))</f>
        <v>0</v>
      </c>
      <c r="T5" s="13">
        <f>IF(F5="","",IF(F5&lt;&gt;Games!$C$9,1,0))</f>
        <v>0</v>
      </c>
      <c r="U5" s="13">
        <f>IF(G5="","",IF(G5&lt;&gt;Games!$C$10,1,0))</f>
        <v>0</v>
      </c>
      <c r="V5" s="13">
        <f>IF(H5="","",IF(H5&lt;&gt;Games!$C$11,1,0))</f>
        <v>0</v>
      </c>
      <c r="W5" s="13">
        <f>IF(I5="","",IF(I5&lt;&gt;Games!$C$12,1,0))</f>
        <v>0</v>
      </c>
      <c r="X5" s="13">
        <f>IF(J5="","",IF(J5&lt;&gt;Games!$C$13,1,0))</f>
        <v>0</v>
      </c>
      <c r="Y5" s="13">
        <f>IF(K5="","",IF(K5&lt;&gt;Games!$C$14,1,0))</f>
        <v>0</v>
      </c>
      <c r="Z5" s="13">
        <f>IF(L5="","",IF(L5&lt;&gt;Games!$C$15,1,0))</f>
        <v>1</v>
      </c>
      <c r="AA5" s="13">
        <f>IF(M5="","",IF(M5&lt;&gt;Games!$C$16,1,0))</f>
        <v>0</v>
      </c>
      <c r="AB5" s="13">
        <f>IF(N5="","",IF(N5&lt;&gt;Games!$C$17,1,0))</f>
        <v>0</v>
      </c>
      <c r="AC5" s="14">
        <f t="shared" ref="AC5:AC17" si="0">SUM(P5:AB5)</f>
        <v>3</v>
      </c>
    </row>
    <row r="6" spans="1:29" ht="15" customHeight="1" x14ac:dyDescent="0.25">
      <c r="A6" s="4">
        <v>2</v>
      </c>
      <c r="B6" s="5" t="s">
        <v>196</v>
      </c>
      <c r="C6" s="5" t="s">
        <v>230</v>
      </c>
      <c r="D6" s="5" t="s">
        <v>233</v>
      </c>
      <c r="E6" s="5" t="s">
        <v>234</v>
      </c>
      <c r="F6" s="5" t="s">
        <v>238</v>
      </c>
      <c r="G6" s="5" t="s">
        <v>239</v>
      </c>
      <c r="H6" s="5" t="s">
        <v>218</v>
      </c>
      <c r="I6" s="5" t="s">
        <v>199</v>
      </c>
      <c r="J6" s="5" t="s">
        <v>245</v>
      </c>
      <c r="K6" s="5" t="s">
        <v>247</v>
      </c>
      <c r="L6" s="5" t="s">
        <v>250</v>
      </c>
      <c r="M6" s="5" t="s">
        <v>251</v>
      </c>
      <c r="N6" s="5" t="s">
        <v>253</v>
      </c>
      <c r="O6" s="5"/>
      <c r="P6" s="13">
        <f>IF(B6="","",IF(B6&lt;&gt;Games!$C$18,1,0))</f>
        <v>0</v>
      </c>
      <c r="Q6" s="13">
        <f>IF(C6="","",IF(C6&lt;&gt;Games!$C$19,1,0))</f>
        <v>0</v>
      </c>
      <c r="R6" s="13">
        <f>IF(D6="","",IF(D6&lt;&gt;Games!$C$20,1,0))</f>
        <v>1</v>
      </c>
      <c r="S6" s="13">
        <f>IF(E6="","",IF(E6&lt;&gt;Games!$C$21,1,0))</f>
        <v>0</v>
      </c>
      <c r="T6" s="13">
        <f>IF(F6="","",IF(F6&lt;&gt;Games!$C$22,1,0))</f>
        <v>1</v>
      </c>
      <c r="U6" s="13">
        <f>IF(G6="","",IF(G6&lt;&gt;Games!$C$23,1,0))</f>
        <v>0</v>
      </c>
      <c r="V6" s="13">
        <f>IF(H6="","",IF(H6&lt;&gt;Games!$C$24,1,0))</f>
        <v>1</v>
      </c>
      <c r="W6" s="13">
        <f>IF(I6="","",IF(I6&lt;&gt;Games!$C$25,1,0))</f>
        <v>1</v>
      </c>
      <c r="X6" s="13">
        <f>IF(J6="","",IF(J6&lt;&gt;Games!$C$26,1,0))</f>
        <v>0</v>
      </c>
      <c r="Y6" s="13">
        <f>IF(K6="","",IF(K6&lt;&gt;Games!$C$27,1,0))</f>
        <v>0</v>
      </c>
      <c r="Z6" s="13">
        <f>IF(L6="","",IF(L6&lt;&gt;Games!$C$28,1,0))</f>
        <v>1</v>
      </c>
      <c r="AA6" s="13">
        <f>IF(M6="","",IF(M6&lt;&gt;Games!$C$29,1,0))</f>
        <v>0</v>
      </c>
      <c r="AB6" s="13">
        <f>IF(N6="","",IF(N6&lt;&gt;Games!$C$30,1,0))</f>
        <v>0</v>
      </c>
      <c r="AC6" s="14">
        <f t="shared" si="0"/>
        <v>5</v>
      </c>
    </row>
    <row r="7" spans="1:29" ht="15" customHeight="1" x14ac:dyDescent="0.25">
      <c r="A7" s="4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13" t="str">
        <f>IF(B7="","",IF(B7&lt;&gt;Games!$C$31,1,0))</f>
        <v/>
      </c>
      <c r="Q7" s="13" t="str">
        <f>IF(C7="","",IF(C7&lt;&gt;Games!$C$32,1,0))</f>
        <v/>
      </c>
      <c r="R7" s="13" t="str">
        <f>IF(D7="","",IF(D7&lt;&gt;Games!$C$33,1,0))</f>
        <v/>
      </c>
      <c r="S7" s="13" t="str">
        <f>IF(E7="","",IF(E7&lt;&gt;Games!$C$34,1,0))</f>
        <v/>
      </c>
      <c r="T7" s="13" t="str">
        <f>IF(F7="","",IF(F7&lt;&gt;Games!$C$35,1,0))</f>
        <v/>
      </c>
      <c r="U7" s="13" t="str">
        <f>IF(G7="","",IF(G7&lt;&gt;Games!$C$36,1,0))</f>
        <v/>
      </c>
      <c r="V7" s="13" t="str">
        <f>IF(H7="","",IF(H7&lt;&gt;Games!$C$37,1,0))</f>
        <v/>
      </c>
      <c r="W7" s="13" t="str">
        <f>IF(I7="","",IF(I7&lt;&gt;Games!$C$38,1,0))</f>
        <v/>
      </c>
      <c r="X7" s="13" t="str">
        <f>IF(J7="","",IF(J7&lt;&gt;Games!$C$39,1,0))</f>
        <v/>
      </c>
      <c r="Y7" s="13" t="str">
        <f>IF(K7="","",IF(K7&lt;&gt;Games!$C$40,1,0))</f>
        <v/>
      </c>
      <c r="Z7" s="13" t="str">
        <f>IF(L7="","",IF(L7&lt;&gt;Games!$C$41,1,0))</f>
        <v/>
      </c>
      <c r="AA7" s="13" t="str">
        <f>IF(M7="","",IF(M7&lt;&gt;Games!$C$42,1,0))</f>
        <v/>
      </c>
      <c r="AB7" s="13" t="str">
        <f>IF(N7="","",IF(N7&lt;&gt;Games!$C$43,1,0))</f>
        <v/>
      </c>
      <c r="AC7" s="14">
        <f t="shared" si="0"/>
        <v>0</v>
      </c>
    </row>
    <row r="8" spans="1:29" ht="15" customHeight="1" x14ac:dyDescent="0.25">
      <c r="A8" s="4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3" t="str">
        <f>IF(B8="","",IF(B8&lt;&gt;Games!$C$44,1,0))</f>
        <v/>
      </c>
      <c r="Q8" s="13" t="str">
        <f>IF(C8="","",IF(C8&lt;&gt;Games!$C$45,1,0))</f>
        <v/>
      </c>
      <c r="R8" s="13" t="str">
        <f>IF(D8="","",IF(D8&lt;&gt;Games!$C$46,1,0))</f>
        <v/>
      </c>
      <c r="S8" s="13" t="str">
        <f>IF(E8="","",IF(E8&lt;&gt;Games!$C$47,1,0))</f>
        <v/>
      </c>
      <c r="T8" s="13" t="str">
        <f>IF(F8="","",IF(F8&lt;&gt;Games!$C$48,1,0))</f>
        <v/>
      </c>
      <c r="U8" s="13" t="str">
        <f>IF(G8="","",IF(G8&lt;&gt;Games!$C$49,1,0))</f>
        <v/>
      </c>
      <c r="V8" s="13" t="str">
        <f>IF(H8="","",IF(H8&lt;&gt;Games!$C$50,1,0))</f>
        <v/>
      </c>
      <c r="W8" s="13" t="str">
        <f>IF(I8="","",IF(I8&lt;&gt;Games!$C$51,1,0))</f>
        <v/>
      </c>
      <c r="X8" s="13" t="str">
        <f>IF(J8="","",IF(J8&lt;&gt;Games!$C$52,1,0))</f>
        <v/>
      </c>
      <c r="Y8" s="13" t="str">
        <f>IF(K8="","",IF(K8&lt;&gt;Games!$C$53,1,0))</f>
        <v/>
      </c>
      <c r="Z8" s="13" t="str">
        <f>IF(L8="","",IF(L8&lt;&gt;Games!$C$54,1,0))</f>
        <v/>
      </c>
      <c r="AA8" s="13" t="str">
        <f>IF(M8="","",IF(M8&lt;&gt;Games!$C$55,1,0))</f>
        <v/>
      </c>
      <c r="AB8" s="13" t="str">
        <f>IF(N8="","",IF(N8&lt;&gt;Games!$C$56,1,0))</f>
        <v/>
      </c>
      <c r="AC8" s="14">
        <f t="shared" si="0"/>
        <v>0</v>
      </c>
    </row>
    <row r="9" spans="1:29" ht="15" customHeight="1" x14ac:dyDescent="0.25">
      <c r="A9" s="4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13" t="str">
        <f>IF(B9="","",IF(B9&lt;&gt;Games!$C$57,1,0))</f>
        <v/>
      </c>
      <c r="Q9" s="13" t="str">
        <f>IF(C9="","",IF(C9&lt;&gt;Games!$C$58,1,0))</f>
        <v/>
      </c>
      <c r="R9" s="13" t="str">
        <f>IF(D9="","",IF(D9&lt;&gt;Games!$C$59,1,0))</f>
        <v/>
      </c>
      <c r="S9" s="13" t="str">
        <f>IF(E9="","",IF(E9&lt;&gt;Games!$C$60,1,0))</f>
        <v/>
      </c>
      <c r="T9" s="13" t="str">
        <f>IF(F9="","",IF(F9&lt;&gt;Games!$C$61,1,0))</f>
        <v/>
      </c>
      <c r="U9" s="13" t="str">
        <f>IF(G9="","",IF(G9&lt;&gt;Games!$C$62,1,0))</f>
        <v/>
      </c>
      <c r="V9" s="13" t="str">
        <f>IF(H9="","",IF(H9&lt;&gt;Games!$C$63,1,0))</f>
        <v/>
      </c>
      <c r="W9" s="13" t="str">
        <f>IF(I9="","",IF(I9&lt;&gt;Games!$C$64,1,0))</f>
        <v/>
      </c>
      <c r="X9" s="13" t="str">
        <f>IF(J9="","",IF(J9&lt;&gt;Games!$C$65,1,0))</f>
        <v/>
      </c>
      <c r="Y9" s="13" t="str">
        <f>IF(K9="","",IF(K9&lt;&gt;Games!$C$66,1,0))</f>
        <v/>
      </c>
      <c r="Z9" s="13" t="str">
        <f>IF(L9="","",IF(L9&lt;&gt;Games!$C$67,1,0))</f>
        <v/>
      </c>
      <c r="AA9" s="13" t="str">
        <f>IF(M9="","",IF(M9&lt;&gt;Games!$C$68,1,0))</f>
        <v/>
      </c>
      <c r="AB9" s="13" t="str">
        <f>IF(N9="","",IF(N9&lt;&gt;Games!$C$69,1,0))</f>
        <v/>
      </c>
      <c r="AC9" s="14">
        <f t="shared" si="0"/>
        <v>0</v>
      </c>
    </row>
    <row r="10" spans="1:29" ht="15" customHeight="1" x14ac:dyDescent="0.25">
      <c r="A10" s="4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13" t="str">
        <f>IF(B10="","",IF(B10&lt;&gt;Games!$C$70,1,0))</f>
        <v/>
      </c>
      <c r="Q10" s="13" t="str">
        <f>IF(C10="","",IF(C10&lt;&gt;Games!$C$71,1,0))</f>
        <v/>
      </c>
      <c r="R10" s="13" t="str">
        <f>IF(D10="","",IF(D10&lt;&gt;Games!$C$72,1,0))</f>
        <v/>
      </c>
      <c r="S10" s="13" t="str">
        <f>IF(E10="","",IF(E10&lt;&gt;Games!$C$73,1,0))</f>
        <v/>
      </c>
      <c r="T10" s="13" t="str">
        <f>IF(F10="","",IF(F10&lt;&gt;Games!$C$74,1,0))</f>
        <v/>
      </c>
      <c r="U10" s="13" t="str">
        <f>IF(G10="","",IF(G10&lt;&gt;Games!$C$75,1,0))</f>
        <v/>
      </c>
      <c r="V10" s="13" t="str">
        <f>IF(H10="","",IF(H10&lt;&gt;Games!$C$76,1,0))</f>
        <v/>
      </c>
      <c r="W10" s="13" t="str">
        <f>IF(I10="","",IF(I10&lt;&gt;Games!$C$77,1,0))</f>
        <v/>
      </c>
      <c r="X10" s="13" t="str">
        <f>IF(J10="","",IF(J10&lt;&gt;Games!$C$78,1,0))</f>
        <v/>
      </c>
      <c r="Y10" s="13" t="str">
        <f>IF(K10="","",IF(K10&lt;&gt;Games!$C$79,1,0))</f>
        <v/>
      </c>
      <c r="Z10" s="13" t="str">
        <f>IF(L10="","",IF(L10&lt;&gt;Games!$C$80,1,0))</f>
        <v/>
      </c>
      <c r="AA10" s="13" t="str">
        <f>IF(M10="","",IF(M10&lt;&gt;Games!$C$81,1,0))</f>
        <v/>
      </c>
      <c r="AB10" s="13" t="str">
        <f>IF(N10="","",IF(N10&lt;&gt;Games!$C$82,1,0))</f>
        <v/>
      </c>
      <c r="AC10" s="14">
        <f t="shared" si="0"/>
        <v>0</v>
      </c>
    </row>
    <row r="11" spans="1:29" ht="15" customHeight="1" x14ac:dyDescent="0.25">
      <c r="A11" s="4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13" t="str">
        <f>IF(B11="","",IF(B11&lt;&gt;Games!$C$83,1,0))</f>
        <v/>
      </c>
      <c r="Q11" s="13" t="str">
        <f>IF(C11="","",IF(C11&lt;&gt;Games!$C$84,1,0))</f>
        <v/>
      </c>
      <c r="R11" s="13" t="str">
        <f>IF(D11="","",IF(D11&lt;&gt;Games!$C$85,1,0))</f>
        <v/>
      </c>
      <c r="S11" s="13" t="str">
        <f>IF(E11="","",IF(E11&lt;&gt;Games!$C$86,1,0))</f>
        <v/>
      </c>
      <c r="T11" s="13" t="str">
        <f>IF(F11="","",IF(F11&lt;&gt;Games!$C$87,1,0))</f>
        <v/>
      </c>
      <c r="U11" s="13" t="str">
        <f>IF(G11="","",IF(G11&lt;&gt;Games!$C$88,1,0))</f>
        <v/>
      </c>
      <c r="V11" s="13" t="str">
        <f>IF(H11="","",IF(H11&lt;&gt;Games!$C$89,1,0))</f>
        <v/>
      </c>
      <c r="W11" s="13" t="str">
        <f>IF(I11="","",IF(I11&lt;&gt;Games!$C$90,1,0))</f>
        <v/>
      </c>
      <c r="X11" s="13" t="str">
        <f>IF(J11="","",IF(J11&lt;&gt;Games!$C$91,1,0))</f>
        <v/>
      </c>
      <c r="Y11" s="13" t="str">
        <f>IF(K11="","",IF(K11&lt;&gt;Games!$C$92,1,0))</f>
        <v/>
      </c>
      <c r="Z11" s="13" t="str">
        <f>IF(L11="","",IF(L11&lt;&gt;Games!$C$93,1,0))</f>
        <v/>
      </c>
      <c r="AA11" s="13" t="str">
        <f>IF(M11="","",IF(M11&lt;&gt;Games!$C$94,1,0))</f>
        <v/>
      </c>
      <c r="AB11" s="13" t="str">
        <f>IF(N11="","",IF(N11&lt;&gt;Games!$C$95,1,0))</f>
        <v/>
      </c>
      <c r="AC11" s="14">
        <f t="shared" si="0"/>
        <v>0</v>
      </c>
    </row>
    <row r="12" spans="1:29" ht="15" customHeight="1" x14ac:dyDescent="0.25">
      <c r="A12" s="4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13" t="str">
        <f>IF(B12="","",IF(B12&lt;&gt;Games!$C$96,1,0))</f>
        <v/>
      </c>
      <c r="Q12" s="13" t="str">
        <f>IF(C12="","",IF(C12&lt;&gt;Games!$C$97,1,0))</f>
        <v/>
      </c>
      <c r="R12" s="13" t="str">
        <f>IF(D12="","",IF(D12&lt;&gt;Games!$C$98,1,0))</f>
        <v/>
      </c>
      <c r="S12" s="13" t="str">
        <f>IF(E12="","",IF(E12&lt;&gt;Games!$C$99,1,0))</f>
        <v/>
      </c>
      <c r="T12" s="13" t="str">
        <f>IF(F12="","",IF(F12&lt;&gt;Games!$C$100,1,0))</f>
        <v/>
      </c>
      <c r="U12" s="13" t="str">
        <f>IF(G12="","",IF(G12&lt;&gt;Games!$C$101,1,0))</f>
        <v/>
      </c>
      <c r="V12" s="13" t="str">
        <f>IF(H12="","",IF(H12&lt;&gt;Games!$C$102,1,0))</f>
        <v/>
      </c>
      <c r="W12" s="13" t="str">
        <f>IF(I12="","",IF(I12&lt;&gt;Games!$C$103,1,0))</f>
        <v/>
      </c>
      <c r="X12" s="13" t="str">
        <f>IF(J12="","",IF(J12&lt;&gt;Games!$C$104,1,0))</f>
        <v/>
      </c>
      <c r="Y12" s="13" t="str">
        <f>IF(K12="","",IF(K12&lt;&gt;Games!$C$105,1,0))</f>
        <v/>
      </c>
      <c r="Z12" s="13" t="str">
        <f>IF(L12="","",IF(L12&lt;&gt;Games!$C$106,1,0))</f>
        <v/>
      </c>
      <c r="AA12" s="13" t="str">
        <f>IF(M12="","",IF(M12&lt;&gt;Games!$C$107,1,0))</f>
        <v/>
      </c>
      <c r="AB12" s="13" t="str">
        <f>IF(N12="","",IF(N12&lt;&gt;Games!$C$108,1,0))</f>
        <v/>
      </c>
      <c r="AC12" s="14">
        <f t="shared" si="0"/>
        <v>0</v>
      </c>
    </row>
    <row r="13" spans="1:29" ht="15" customHeight="1" x14ac:dyDescent="0.25">
      <c r="A13" s="4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13" t="str">
        <f>IF(B13="","",IF(B13&lt;&gt;Games!$C$109,1,0))</f>
        <v/>
      </c>
      <c r="Q13" s="13" t="str">
        <f>IF(C13="","",IF(C13&lt;&gt;Games!$C$110,1,0))</f>
        <v/>
      </c>
      <c r="R13" s="13" t="str">
        <f>IF(D13="","",IF(D13&lt;&gt;Games!$C$111,1,0))</f>
        <v/>
      </c>
      <c r="S13" s="13" t="str">
        <f>IF(E13="","",IF(E13&lt;&gt;Games!$C$112,1,0))</f>
        <v/>
      </c>
      <c r="T13" s="13" t="str">
        <f>IF(F13="","",IF(F13&lt;&gt;Games!$C$113,1,0))</f>
        <v/>
      </c>
      <c r="U13" s="13" t="str">
        <f>IF(G13="","",IF(G13&lt;&gt;Games!$C$114,1,0))</f>
        <v/>
      </c>
      <c r="V13" s="13" t="str">
        <f>IF(H13="","",IF(H13&lt;&gt;Games!$C$115,1,0))</f>
        <v/>
      </c>
      <c r="W13" s="13" t="str">
        <f>IF(I13="","",IF(I13&lt;&gt;Games!$C$116,1,0))</f>
        <v/>
      </c>
      <c r="X13" s="13" t="str">
        <f>IF(J13="","",IF(J13&lt;&gt;Games!$C$117,1,0))</f>
        <v/>
      </c>
      <c r="Y13" s="13" t="str">
        <f>IF(K13="","",IF(K13&lt;&gt;Games!$C$118,1,0))</f>
        <v/>
      </c>
      <c r="Z13" s="13" t="str">
        <f>IF(L13="","",IF(L13&lt;&gt;Games!$C$119,1,0))</f>
        <v/>
      </c>
      <c r="AA13" s="13" t="str">
        <f>IF(M13="","",IF(M13&lt;&gt;Games!$C$120,1,0))</f>
        <v/>
      </c>
      <c r="AB13" s="13" t="str">
        <f>IF(N13="","",IF(N13&lt;&gt;Games!$C$121,1,0))</f>
        <v/>
      </c>
      <c r="AC13" s="14">
        <f t="shared" si="0"/>
        <v>0</v>
      </c>
    </row>
    <row r="14" spans="1:29" ht="15" customHeight="1" x14ac:dyDescent="0.25">
      <c r="A14" s="4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13" t="str">
        <f>IF(B14="","",IF(B14&lt;&gt;Games!$C$122,1,0))</f>
        <v/>
      </c>
      <c r="Q14" s="13" t="str">
        <f>IF(C14="","",IF(C14&lt;&gt;Games!$C$123,1,0))</f>
        <v/>
      </c>
      <c r="R14" s="13" t="str">
        <f>IF(D14="","",IF(D14&lt;&gt;Games!$C$124,1,0))</f>
        <v/>
      </c>
      <c r="S14" s="13" t="str">
        <f>IF(E14="","",IF(E14&lt;&gt;Games!$C$125,1,0))</f>
        <v/>
      </c>
      <c r="T14" s="13" t="str">
        <f>IF(F14="","",IF(F14&lt;&gt;Games!$C$126,1,0))</f>
        <v/>
      </c>
      <c r="U14" s="13" t="str">
        <f>IF(G14="","",IF(G14&lt;&gt;Games!$C$127,1,0))</f>
        <v/>
      </c>
      <c r="V14" s="13" t="str">
        <f>IF(H14="","",IF(H14&lt;&gt;Games!$C$128,1,0))</f>
        <v/>
      </c>
      <c r="W14" s="13" t="str">
        <f>IF(I14="","",IF(I14&lt;&gt;Games!$C$129,1,0))</f>
        <v/>
      </c>
      <c r="X14" s="13" t="str">
        <f>IF(J14="","",IF(J14&lt;&gt;Games!$C$130,1,0))</f>
        <v/>
      </c>
      <c r="Y14" s="13" t="str">
        <f>IF(K14="","",IF(K14&lt;&gt;Games!$C$131,1,0))</f>
        <v/>
      </c>
      <c r="Z14" s="13" t="str">
        <f>IF(L14="","",IF(L14&lt;&gt;Games!$C$132,1,0))</f>
        <v/>
      </c>
      <c r="AA14" s="13" t="str">
        <f>IF(M14="","",IF(M14&lt;&gt;Games!$C$133,1,0))</f>
        <v/>
      </c>
      <c r="AB14" s="13" t="str">
        <f>IF(N14="","",IF(N14&lt;&gt;Games!$C$134,1,0))</f>
        <v/>
      </c>
      <c r="AC14" s="14">
        <f t="shared" si="0"/>
        <v>0</v>
      </c>
    </row>
    <row r="15" spans="1:29" ht="15" customHeight="1" x14ac:dyDescent="0.25">
      <c r="A15" s="4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13" t="str">
        <f>IF(B15="","",IF(B15&lt;&gt;Games!$C$135,1,0))</f>
        <v/>
      </c>
      <c r="Q15" s="13" t="str">
        <f>IF(C15="","",IF(C15&lt;&gt;Games!$C$136,1,0))</f>
        <v/>
      </c>
      <c r="R15" s="13" t="str">
        <f>IF(D15="","",IF(D15&lt;&gt;Games!$C$137,1,0))</f>
        <v/>
      </c>
      <c r="S15" s="13" t="str">
        <f>IF(E15="","",IF(E15&lt;&gt;Games!$C$138,1,0))</f>
        <v/>
      </c>
      <c r="T15" s="13" t="str">
        <f>IF(F15="","",IF(F15&lt;&gt;Games!$C$139,1,0))</f>
        <v/>
      </c>
      <c r="U15" s="13" t="str">
        <f>IF(G15="","",IF(G15&lt;&gt;Games!$C$140,1,0))</f>
        <v/>
      </c>
      <c r="V15" s="13" t="str">
        <f>IF(H15="","",IF(H15&lt;&gt;Games!$C$141,1,0))</f>
        <v/>
      </c>
      <c r="W15" s="13" t="str">
        <f>IF(I15="","",IF(I15&lt;&gt;Games!$C$142,1,0))</f>
        <v/>
      </c>
      <c r="X15" s="13" t="str">
        <f>IF(J15="","",IF(J15&lt;&gt;Games!$C$143,1,0))</f>
        <v/>
      </c>
      <c r="Y15" s="13" t="str">
        <f>IF(K15="","",IF(K15&lt;&gt;Games!$C$144,1,0))</f>
        <v/>
      </c>
      <c r="Z15" s="13" t="str">
        <f>IF(L15="","",IF(L15&lt;&gt;Games!$C$145,1,0))</f>
        <v/>
      </c>
      <c r="AA15" s="13" t="str">
        <f>IF(M15="","",IF(M15&lt;&gt;Games!$C$146,1,0))</f>
        <v/>
      </c>
      <c r="AB15" s="13" t="str">
        <f>IF(N15="","",IF(N15&lt;&gt;Games!$C$147,1,0))</f>
        <v/>
      </c>
      <c r="AC15" s="14">
        <f t="shared" si="0"/>
        <v>0</v>
      </c>
    </row>
    <row r="16" spans="1:29" ht="15" customHeight="1" x14ac:dyDescent="0.25">
      <c r="A16" s="4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3" t="str">
        <f>IF(B16="","",IF(B16&lt;&gt;Games!$C$148,1,0))</f>
        <v/>
      </c>
      <c r="Q16" s="13" t="str">
        <f>IF(C16="","",IF(C16&lt;&gt;Games!$C$149,1,0))</f>
        <v/>
      </c>
      <c r="R16" s="13" t="str">
        <f>IF(D16="","",IF(D16&lt;&gt;Games!$C$150,1,0))</f>
        <v/>
      </c>
      <c r="S16" s="13" t="str">
        <f>IF(E16="","",IF(E16&lt;&gt;Games!$C$151,1,0))</f>
        <v/>
      </c>
      <c r="T16" s="13" t="str">
        <f>IF(F16="","",IF(F16&lt;&gt;Games!$C$152,1,0))</f>
        <v/>
      </c>
      <c r="U16" s="13" t="str">
        <f>IF(G16="","",IF(G16&lt;&gt;Games!$C$153,1,0))</f>
        <v/>
      </c>
      <c r="V16" s="13" t="str">
        <f>IF(H16="","",IF(H16&lt;&gt;Games!$C$154,1,0))</f>
        <v/>
      </c>
      <c r="W16" s="13" t="str">
        <f>IF(I16="","",IF(I16&lt;&gt;Games!$C$155,1,0))</f>
        <v/>
      </c>
      <c r="X16" s="13" t="str">
        <f>IF(J16="","",IF(J16&lt;&gt;Games!$C$156,1,0))</f>
        <v/>
      </c>
      <c r="Y16" s="13" t="str">
        <f>IF(K16="","",IF(K16&lt;&gt;Games!$C$157,1,0))</f>
        <v/>
      </c>
      <c r="Z16" s="13" t="str">
        <f>IF(L16="","",IF(L16&lt;&gt;Games!$C$158,1,0))</f>
        <v/>
      </c>
      <c r="AA16" s="13" t="str">
        <f>IF(M16="","",IF(M16&lt;&gt;Games!$C$159,1,0))</f>
        <v/>
      </c>
      <c r="AB16" s="13" t="str">
        <f>IF(N16="","",IF(N16&lt;&gt;Games!$C$160,1,0))</f>
        <v/>
      </c>
      <c r="AC16" s="14">
        <f t="shared" si="0"/>
        <v>0</v>
      </c>
    </row>
    <row r="17" spans="1:29" ht="15" customHeight="1" x14ac:dyDescent="0.25">
      <c r="A17" s="4">
        <v>13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3" t="str">
        <f>IF(B17="","",IF(B17&lt;&gt;Games!$C$161,1,0))</f>
        <v/>
      </c>
      <c r="Q17" s="13" t="str">
        <f>IF(C17="","",IF(C17&lt;&gt;Games!$C$162,1,0))</f>
        <v/>
      </c>
      <c r="R17" s="13" t="str">
        <f>IF(D17="","",IF(D17&lt;&gt;Games!$C$163,1,0))</f>
        <v/>
      </c>
      <c r="S17" s="13" t="str">
        <f>IF(E17="","",IF(E17&lt;&gt;Games!$C$164,1,0))</f>
        <v/>
      </c>
      <c r="T17" s="13" t="str">
        <f>IF(F17="","",IF(F17&lt;&gt;Games!$C$165,1,0))</f>
        <v/>
      </c>
      <c r="U17" s="13" t="str">
        <f>IF(G17="","",IF(G17&lt;&gt;Games!$C$166,1,0))</f>
        <v/>
      </c>
      <c r="V17" s="13" t="str">
        <f>IF(H17="","",IF(H17&lt;&gt;Games!$C$167,1,0))</f>
        <v/>
      </c>
      <c r="W17" s="13" t="str">
        <f>IF(I17="","",IF(I17&lt;&gt;Games!$C$168,1,0))</f>
        <v/>
      </c>
      <c r="X17" s="13" t="str">
        <f>IF(J17="","",IF(J17&lt;&gt;Games!$C$169,1,0))</f>
        <v/>
      </c>
      <c r="Y17" s="13" t="str">
        <f>IF(K17="","",IF(K17&lt;&gt;Games!$C$170,1,0))</f>
        <v/>
      </c>
      <c r="Z17" s="13" t="str">
        <f>IF(L17="","",IF(L17&lt;&gt;Games!$C$171,1,0))</f>
        <v/>
      </c>
      <c r="AA17" s="13" t="str">
        <f>IF(M17="","",IF(M17&lt;&gt;Games!$C$172,1,0))</f>
        <v/>
      </c>
      <c r="AB17" s="13" t="str">
        <f>IF(N17="","",IF(N17&lt;&gt;Games!$C$173,1,0))</f>
        <v/>
      </c>
      <c r="AC17" s="14">
        <f t="shared" si="0"/>
        <v>0</v>
      </c>
    </row>
    <row r="19" spans="1:29" ht="15" customHeight="1" x14ac:dyDescent="0.25">
      <c r="A19" s="1" t="s">
        <v>357</v>
      </c>
    </row>
    <row r="20" spans="1:29" ht="39" customHeight="1" x14ac:dyDescent="0.25">
      <c r="A20" s="3" t="s">
        <v>175</v>
      </c>
      <c r="B20" s="3" t="s">
        <v>358</v>
      </c>
      <c r="C20" s="3" t="s">
        <v>359</v>
      </c>
    </row>
    <row r="21" spans="1:29" ht="15" customHeight="1" x14ac:dyDescent="0.25">
      <c r="A21" s="12">
        <v>1</v>
      </c>
      <c r="B21" s="15">
        <f>MAX(Picks_W1!AF6:AF69)</f>
        <v>15</v>
      </c>
      <c r="C21" s="15">
        <f>_xlfn.MINIFS(Picks_W1!AG6:AG69,Picks_W1!AF6:AF69,B21)</f>
        <v>1</v>
      </c>
    </row>
    <row r="22" spans="1:29" ht="15" customHeight="1" x14ac:dyDescent="0.25">
      <c r="A22" s="12">
        <v>2</v>
      </c>
      <c r="B22" s="15">
        <f>MAX(Picks_W2!AF6:AF69)</f>
        <v>13</v>
      </c>
      <c r="C22" s="15">
        <f>_xlfn.MINIFS(Picks_W2!AG6:AG69,Picks_W2!AF6:AF69,B22)</f>
        <v>0</v>
      </c>
    </row>
    <row r="23" spans="1:29" ht="15" customHeight="1" x14ac:dyDescent="0.25">
      <c r="A23" s="12">
        <v>3</v>
      </c>
      <c r="B23" s="15">
        <f>MAX(Picks_W3!AF6:AF69)</f>
        <v>0</v>
      </c>
      <c r="C23" s="15">
        <f>_xlfn.MINIFS(Picks_W3!AG6:AG69,Picks_W3!AF6:AF69,B23)</f>
        <v>0</v>
      </c>
    </row>
    <row r="24" spans="1:29" ht="15" customHeight="1" x14ac:dyDescent="0.25">
      <c r="A24" s="12">
        <v>4</v>
      </c>
      <c r="B24" s="15">
        <f>MAX(Picks_W4!AF6:AF69)</f>
        <v>0</v>
      </c>
      <c r="C24" s="15">
        <f>_xlfn.MINIFS(Picks_W4!AG6:AG69,Picks_W4!AF6:AF69,B24)</f>
        <v>0</v>
      </c>
    </row>
    <row r="25" spans="1:29" ht="15" customHeight="1" x14ac:dyDescent="0.25">
      <c r="A25" s="12">
        <v>5</v>
      </c>
      <c r="B25" s="15">
        <f>MAX(Picks_W5!AF6:AF69)</f>
        <v>0</v>
      </c>
      <c r="C25" s="15">
        <f>_xlfn.MINIFS(Picks_W5!AG6:AG69,Picks_W5!AF6:AF69,B25)</f>
        <v>0</v>
      </c>
    </row>
    <row r="26" spans="1:29" ht="15" customHeight="1" x14ac:dyDescent="0.25">
      <c r="A26" s="12">
        <v>6</v>
      </c>
      <c r="B26" s="15">
        <f>MAX(Picks_W6!AF6:AF69)</f>
        <v>0</v>
      </c>
      <c r="C26" s="15">
        <f>_xlfn.MINIFS(Picks_W6!AG6:AG69,Picks_W6!AF6:AF69,B26)</f>
        <v>0</v>
      </c>
    </row>
    <row r="27" spans="1:29" ht="15" customHeight="1" x14ac:dyDescent="0.25">
      <c r="A27" s="12">
        <v>7</v>
      </c>
      <c r="B27" s="15">
        <f>MAX(Picks_W7!AF6:AF69)</f>
        <v>0</v>
      </c>
      <c r="C27" s="15">
        <f>_xlfn.MINIFS(Picks_W7!AG6:AG69,Picks_W7!AF6:AF69,B27)</f>
        <v>0</v>
      </c>
    </row>
    <row r="28" spans="1:29" ht="15" customHeight="1" x14ac:dyDescent="0.25">
      <c r="A28" s="12">
        <v>8</v>
      </c>
      <c r="B28" s="15">
        <f>MAX(Picks_W8!AF6:AF69)</f>
        <v>0</v>
      </c>
      <c r="C28" s="15">
        <f>_xlfn.MINIFS(Picks_W8!AG6:AG69,Picks_W8!AF6:AF69,B28)</f>
        <v>0</v>
      </c>
    </row>
    <row r="29" spans="1:29" ht="15" customHeight="1" x14ac:dyDescent="0.25">
      <c r="A29" s="12">
        <v>9</v>
      </c>
      <c r="B29" s="15">
        <f>MAX(Picks_W9!AF6:AF69)</f>
        <v>0</v>
      </c>
      <c r="C29" s="15">
        <f>_xlfn.MINIFS(Picks_W9!AG6:AG69,Picks_W9!AF6:AF69,B29)</f>
        <v>0</v>
      </c>
    </row>
    <row r="30" spans="1:29" ht="15" customHeight="1" x14ac:dyDescent="0.25">
      <c r="A30" s="12">
        <v>10</v>
      </c>
      <c r="B30" s="15">
        <f>MAX(Picks_W10!AF6:AF69)</f>
        <v>0</v>
      </c>
      <c r="C30" s="15">
        <f>_xlfn.MINIFS(Picks_W10!AG6:AG69,Picks_W10!AF6:AF69,B30)</f>
        <v>0</v>
      </c>
    </row>
    <row r="31" spans="1:29" ht="15" customHeight="1" x14ac:dyDescent="0.25">
      <c r="A31" s="12">
        <v>11</v>
      </c>
      <c r="B31" s="15">
        <f>MAX(Picks_W11!AF6:AF69)</f>
        <v>0</v>
      </c>
      <c r="C31" s="15">
        <f>_xlfn.MINIFS(Picks_W11!AG6:AG69,Picks_W11!AF6:AF69,B31)</f>
        <v>0</v>
      </c>
    </row>
    <row r="32" spans="1:29" ht="15" customHeight="1" x14ac:dyDescent="0.25">
      <c r="A32" s="12">
        <v>12</v>
      </c>
      <c r="B32" s="15">
        <f>MAX(Picks_W12!AF6:AF69)</f>
        <v>0</v>
      </c>
      <c r="C32" s="15">
        <f>_xlfn.MINIFS(Picks_W12!AG6:AG69,Picks_W12!AF6:AF69,B32)</f>
        <v>0</v>
      </c>
    </row>
    <row r="33" spans="1:3" ht="15" customHeight="1" x14ac:dyDescent="0.25">
      <c r="A33" s="12">
        <v>13</v>
      </c>
      <c r="B33" s="15">
        <f>MAX(Picks_W13!AF6:AF69)</f>
        <v>0</v>
      </c>
      <c r="C33" s="15">
        <f>_xlfn.MINIFS(Picks_W13!AG6:AG69,Picks_W13!AF6:AF69,B33)</f>
        <v>0</v>
      </c>
    </row>
    <row r="35" spans="1:3" ht="15" customHeight="1" x14ac:dyDescent="0.25">
      <c r="A35" s="1" t="s">
        <v>360</v>
      </c>
      <c r="B35" s="16">
        <f>SUM(AC5:AC17)</f>
        <v>8</v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69">
        <x14:dataValidation type="list" allowBlank="1" xr:uid="{00000000-0002-0000-0F00-000000000000}">
          <x14:formula1>
            <xm:f>Games!$C$5:$D$5</xm:f>
          </x14:formula1>
          <x14:formula2>
            <xm:f>0</xm:f>
          </x14:formula2>
          <xm:sqref>B5</xm:sqref>
        </x14:dataValidation>
        <x14:dataValidation type="list" allowBlank="1" xr:uid="{00000000-0002-0000-0F00-000001000000}">
          <x14:formula1>
            <xm:f>Games!$C$6:$D$6</xm:f>
          </x14:formula1>
          <x14:formula2>
            <xm:f>0</xm:f>
          </x14:formula2>
          <xm:sqref>C5</xm:sqref>
        </x14:dataValidation>
        <x14:dataValidation type="list" allowBlank="1" xr:uid="{00000000-0002-0000-0F00-000002000000}">
          <x14:formula1>
            <xm:f>Games!$C$7:$D$7</xm:f>
          </x14:formula1>
          <x14:formula2>
            <xm:f>0</xm:f>
          </x14:formula2>
          <xm:sqref>D5</xm:sqref>
        </x14:dataValidation>
        <x14:dataValidation type="list" allowBlank="1" xr:uid="{00000000-0002-0000-0F00-000003000000}">
          <x14:formula1>
            <xm:f>Games!$C$8:$D$8</xm:f>
          </x14:formula1>
          <x14:formula2>
            <xm:f>0</xm:f>
          </x14:formula2>
          <xm:sqref>E5</xm:sqref>
        </x14:dataValidation>
        <x14:dataValidation type="list" allowBlank="1" xr:uid="{00000000-0002-0000-0F00-000004000000}">
          <x14:formula1>
            <xm:f>Games!$C$9:$D$9</xm:f>
          </x14:formula1>
          <x14:formula2>
            <xm:f>0</xm:f>
          </x14:formula2>
          <xm:sqref>F5</xm:sqref>
        </x14:dataValidation>
        <x14:dataValidation type="list" allowBlank="1" xr:uid="{00000000-0002-0000-0F00-000005000000}">
          <x14:formula1>
            <xm:f>Games!$C$10:$D$10</xm:f>
          </x14:formula1>
          <x14:formula2>
            <xm:f>0</xm:f>
          </x14:formula2>
          <xm:sqref>G5</xm:sqref>
        </x14:dataValidation>
        <x14:dataValidation type="list" allowBlank="1" xr:uid="{00000000-0002-0000-0F00-000006000000}">
          <x14:formula1>
            <xm:f>Games!$C$11:$D$11</xm:f>
          </x14:formula1>
          <x14:formula2>
            <xm:f>0</xm:f>
          </x14:formula2>
          <xm:sqref>H5</xm:sqref>
        </x14:dataValidation>
        <x14:dataValidation type="list" allowBlank="1" xr:uid="{00000000-0002-0000-0F00-000007000000}">
          <x14:formula1>
            <xm:f>Games!$C$12:$D$12</xm:f>
          </x14:formula1>
          <x14:formula2>
            <xm:f>0</xm:f>
          </x14:formula2>
          <xm:sqref>I5</xm:sqref>
        </x14:dataValidation>
        <x14:dataValidation type="list" allowBlank="1" xr:uid="{00000000-0002-0000-0F00-000008000000}">
          <x14:formula1>
            <xm:f>Games!$C$13:$D$13</xm:f>
          </x14:formula1>
          <x14:formula2>
            <xm:f>0</xm:f>
          </x14:formula2>
          <xm:sqref>J5</xm:sqref>
        </x14:dataValidation>
        <x14:dataValidation type="list" allowBlank="1" xr:uid="{00000000-0002-0000-0F00-000009000000}">
          <x14:formula1>
            <xm:f>Games!$C$14:$D$14</xm:f>
          </x14:formula1>
          <x14:formula2>
            <xm:f>0</xm:f>
          </x14:formula2>
          <xm:sqref>K5</xm:sqref>
        </x14:dataValidation>
        <x14:dataValidation type="list" allowBlank="1" xr:uid="{00000000-0002-0000-0F00-00000A000000}">
          <x14:formula1>
            <xm:f>Games!$C$15:$D$15</xm:f>
          </x14:formula1>
          <x14:formula2>
            <xm:f>0</xm:f>
          </x14:formula2>
          <xm:sqref>L5</xm:sqref>
        </x14:dataValidation>
        <x14:dataValidation type="list" allowBlank="1" xr:uid="{00000000-0002-0000-0F00-00000B000000}">
          <x14:formula1>
            <xm:f>Games!$C$16:$D$16</xm:f>
          </x14:formula1>
          <x14:formula2>
            <xm:f>0</xm:f>
          </x14:formula2>
          <xm:sqref>M5</xm:sqref>
        </x14:dataValidation>
        <x14:dataValidation type="list" allowBlank="1" xr:uid="{00000000-0002-0000-0F00-00000C000000}">
          <x14:formula1>
            <xm:f>Games!$C$17:$D$17</xm:f>
          </x14:formula1>
          <x14:formula2>
            <xm:f>0</xm:f>
          </x14:formula2>
          <xm:sqref>N5</xm:sqref>
        </x14:dataValidation>
        <x14:dataValidation type="list" allowBlank="1" xr:uid="{00000000-0002-0000-0F00-00000D000000}">
          <x14:formula1>
            <xm:f>Games!$C$18:$D$18</xm:f>
          </x14:formula1>
          <x14:formula2>
            <xm:f>0</xm:f>
          </x14:formula2>
          <xm:sqref>B6</xm:sqref>
        </x14:dataValidation>
        <x14:dataValidation type="list" allowBlank="1" xr:uid="{00000000-0002-0000-0F00-00000E000000}">
          <x14:formula1>
            <xm:f>Games!$C$19:$D$19</xm:f>
          </x14:formula1>
          <x14:formula2>
            <xm:f>0</xm:f>
          </x14:formula2>
          <xm:sqref>C6</xm:sqref>
        </x14:dataValidation>
        <x14:dataValidation type="list" allowBlank="1" xr:uid="{00000000-0002-0000-0F00-00000F000000}">
          <x14:formula1>
            <xm:f>Games!$C$20:$D$20</xm:f>
          </x14:formula1>
          <x14:formula2>
            <xm:f>0</xm:f>
          </x14:formula2>
          <xm:sqref>D6</xm:sqref>
        </x14:dataValidation>
        <x14:dataValidation type="list" allowBlank="1" xr:uid="{00000000-0002-0000-0F00-000010000000}">
          <x14:formula1>
            <xm:f>Games!$C$21:$D$21</xm:f>
          </x14:formula1>
          <x14:formula2>
            <xm:f>0</xm:f>
          </x14:formula2>
          <xm:sqref>E6</xm:sqref>
        </x14:dataValidation>
        <x14:dataValidation type="list" allowBlank="1" xr:uid="{00000000-0002-0000-0F00-000011000000}">
          <x14:formula1>
            <xm:f>Games!$C$22:$D$22</xm:f>
          </x14:formula1>
          <x14:formula2>
            <xm:f>0</xm:f>
          </x14:formula2>
          <xm:sqref>F6</xm:sqref>
        </x14:dataValidation>
        <x14:dataValidation type="list" allowBlank="1" xr:uid="{00000000-0002-0000-0F00-000012000000}">
          <x14:formula1>
            <xm:f>Games!$C$23:$D$23</xm:f>
          </x14:formula1>
          <x14:formula2>
            <xm:f>0</xm:f>
          </x14:formula2>
          <xm:sqref>G6</xm:sqref>
        </x14:dataValidation>
        <x14:dataValidation type="list" allowBlank="1" xr:uid="{00000000-0002-0000-0F00-000013000000}">
          <x14:formula1>
            <xm:f>Games!$C$24:$D$24</xm:f>
          </x14:formula1>
          <x14:formula2>
            <xm:f>0</xm:f>
          </x14:formula2>
          <xm:sqref>H6</xm:sqref>
        </x14:dataValidation>
        <x14:dataValidation type="list" allowBlank="1" xr:uid="{00000000-0002-0000-0F00-000014000000}">
          <x14:formula1>
            <xm:f>Games!$C$25:$D$25</xm:f>
          </x14:formula1>
          <x14:formula2>
            <xm:f>0</xm:f>
          </x14:formula2>
          <xm:sqref>I6</xm:sqref>
        </x14:dataValidation>
        <x14:dataValidation type="list" allowBlank="1" xr:uid="{00000000-0002-0000-0F00-000015000000}">
          <x14:formula1>
            <xm:f>Games!$C$26:$D$26</xm:f>
          </x14:formula1>
          <x14:formula2>
            <xm:f>0</xm:f>
          </x14:formula2>
          <xm:sqref>J6</xm:sqref>
        </x14:dataValidation>
        <x14:dataValidation type="list" allowBlank="1" xr:uid="{00000000-0002-0000-0F00-000016000000}">
          <x14:formula1>
            <xm:f>Games!$C$27:$D$27</xm:f>
          </x14:formula1>
          <x14:formula2>
            <xm:f>0</xm:f>
          </x14:formula2>
          <xm:sqref>K6</xm:sqref>
        </x14:dataValidation>
        <x14:dataValidation type="list" allowBlank="1" xr:uid="{00000000-0002-0000-0F00-000017000000}">
          <x14:formula1>
            <xm:f>Games!$C$28:$D$28</xm:f>
          </x14:formula1>
          <x14:formula2>
            <xm:f>0</xm:f>
          </x14:formula2>
          <xm:sqref>L6</xm:sqref>
        </x14:dataValidation>
        <x14:dataValidation type="list" allowBlank="1" xr:uid="{00000000-0002-0000-0F00-000018000000}">
          <x14:formula1>
            <xm:f>Games!$C$29:$D$29</xm:f>
          </x14:formula1>
          <x14:formula2>
            <xm:f>0</xm:f>
          </x14:formula2>
          <xm:sqref>M6</xm:sqref>
        </x14:dataValidation>
        <x14:dataValidation type="list" allowBlank="1" xr:uid="{00000000-0002-0000-0F00-000019000000}">
          <x14:formula1>
            <xm:f>Games!$C$30:$D$30</xm:f>
          </x14:formula1>
          <x14:formula2>
            <xm:f>0</xm:f>
          </x14:formula2>
          <xm:sqref>N6</xm:sqref>
        </x14:dataValidation>
        <x14:dataValidation type="list" allowBlank="1" xr:uid="{00000000-0002-0000-0F00-00001A000000}">
          <x14:formula1>
            <xm:f>Games!$C$31:$D$31</xm:f>
          </x14:formula1>
          <x14:formula2>
            <xm:f>0</xm:f>
          </x14:formula2>
          <xm:sqref>B7</xm:sqref>
        </x14:dataValidation>
        <x14:dataValidation type="list" allowBlank="1" xr:uid="{00000000-0002-0000-0F00-00001B000000}">
          <x14:formula1>
            <xm:f>Games!$C$32:$D$32</xm:f>
          </x14:formula1>
          <x14:formula2>
            <xm:f>0</xm:f>
          </x14:formula2>
          <xm:sqref>C7</xm:sqref>
        </x14:dataValidation>
        <x14:dataValidation type="list" allowBlank="1" xr:uid="{00000000-0002-0000-0F00-00001C000000}">
          <x14:formula1>
            <xm:f>Games!$C$33:$D$33</xm:f>
          </x14:formula1>
          <x14:formula2>
            <xm:f>0</xm:f>
          </x14:formula2>
          <xm:sqref>D7</xm:sqref>
        </x14:dataValidation>
        <x14:dataValidation type="list" allowBlank="1" xr:uid="{00000000-0002-0000-0F00-00001D000000}">
          <x14:formula1>
            <xm:f>Games!$C$34:$D$34</xm:f>
          </x14:formula1>
          <x14:formula2>
            <xm:f>0</xm:f>
          </x14:formula2>
          <xm:sqref>E7</xm:sqref>
        </x14:dataValidation>
        <x14:dataValidation type="list" allowBlank="1" xr:uid="{00000000-0002-0000-0F00-00001E000000}">
          <x14:formula1>
            <xm:f>Games!$C$35:$D$35</xm:f>
          </x14:formula1>
          <x14:formula2>
            <xm:f>0</xm:f>
          </x14:formula2>
          <xm:sqref>F7</xm:sqref>
        </x14:dataValidation>
        <x14:dataValidation type="list" allowBlank="1" xr:uid="{00000000-0002-0000-0F00-00001F000000}">
          <x14:formula1>
            <xm:f>Games!$C$36:$D$36</xm:f>
          </x14:formula1>
          <x14:formula2>
            <xm:f>0</xm:f>
          </x14:formula2>
          <xm:sqref>G7</xm:sqref>
        </x14:dataValidation>
        <x14:dataValidation type="list" allowBlank="1" xr:uid="{00000000-0002-0000-0F00-000020000000}">
          <x14:formula1>
            <xm:f>Games!$C$37:$D$37</xm:f>
          </x14:formula1>
          <x14:formula2>
            <xm:f>0</xm:f>
          </x14:formula2>
          <xm:sqref>H7</xm:sqref>
        </x14:dataValidation>
        <x14:dataValidation type="list" allowBlank="1" xr:uid="{00000000-0002-0000-0F00-000021000000}">
          <x14:formula1>
            <xm:f>Games!$C$38:$D$38</xm:f>
          </x14:formula1>
          <x14:formula2>
            <xm:f>0</xm:f>
          </x14:formula2>
          <xm:sqref>I7</xm:sqref>
        </x14:dataValidation>
        <x14:dataValidation type="list" allowBlank="1" xr:uid="{00000000-0002-0000-0F00-000022000000}">
          <x14:formula1>
            <xm:f>Games!$C$39:$D$39</xm:f>
          </x14:formula1>
          <x14:formula2>
            <xm:f>0</xm:f>
          </x14:formula2>
          <xm:sqref>J7</xm:sqref>
        </x14:dataValidation>
        <x14:dataValidation type="list" allowBlank="1" xr:uid="{00000000-0002-0000-0F00-000023000000}">
          <x14:formula1>
            <xm:f>Games!$C$40:$D$40</xm:f>
          </x14:formula1>
          <x14:formula2>
            <xm:f>0</xm:f>
          </x14:formula2>
          <xm:sqref>K7</xm:sqref>
        </x14:dataValidation>
        <x14:dataValidation type="list" allowBlank="1" xr:uid="{00000000-0002-0000-0F00-000024000000}">
          <x14:formula1>
            <xm:f>Games!$C$41:$D$41</xm:f>
          </x14:formula1>
          <x14:formula2>
            <xm:f>0</xm:f>
          </x14:formula2>
          <xm:sqref>L7</xm:sqref>
        </x14:dataValidation>
        <x14:dataValidation type="list" allowBlank="1" xr:uid="{00000000-0002-0000-0F00-000025000000}">
          <x14:formula1>
            <xm:f>Games!$C$42:$D$42</xm:f>
          </x14:formula1>
          <x14:formula2>
            <xm:f>0</xm:f>
          </x14:formula2>
          <xm:sqref>M7</xm:sqref>
        </x14:dataValidation>
        <x14:dataValidation type="list" allowBlank="1" xr:uid="{00000000-0002-0000-0F00-000026000000}">
          <x14:formula1>
            <xm:f>Games!$C$43:$D$43</xm:f>
          </x14:formula1>
          <x14:formula2>
            <xm:f>0</xm:f>
          </x14:formula2>
          <xm:sqref>N7</xm:sqref>
        </x14:dataValidation>
        <x14:dataValidation type="list" allowBlank="1" xr:uid="{00000000-0002-0000-0F00-000027000000}">
          <x14:formula1>
            <xm:f>Games!$C$44:$D$44</xm:f>
          </x14:formula1>
          <x14:formula2>
            <xm:f>0</xm:f>
          </x14:formula2>
          <xm:sqref>B8</xm:sqref>
        </x14:dataValidation>
        <x14:dataValidation type="list" allowBlank="1" xr:uid="{00000000-0002-0000-0F00-000028000000}">
          <x14:formula1>
            <xm:f>Games!$C$45:$D$45</xm:f>
          </x14:formula1>
          <x14:formula2>
            <xm:f>0</xm:f>
          </x14:formula2>
          <xm:sqref>C8</xm:sqref>
        </x14:dataValidation>
        <x14:dataValidation type="list" allowBlank="1" xr:uid="{00000000-0002-0000-0F00-000029000000}">
          <x14:formula1>
            <xm:f>Games!$C$46:$D$46</xm:f>
          </x14:formula1>
          <x14:formula2>
            <xm:f>0</xm:f>
          </x14:formula2>
          <xm:sqref>D8</xm:sqref>
        </x14:dataValidation>
        <x14:dataValidation type="list" allowBlank="1" xr:uid="{00000000-0002-0000-0F00-00002A000000}">
          <x14:formula1>
            <xm:f>Games!$C$47:$D$47</xm:f>
          </x14:formula1>
          <x14:formula2>
            <xm:f>0</xm:f>
          </x14:formula2>
          <xm:sqref>E8</xm:sqref>
        </x14:dataValidation>
        <x14:dataValidation type="list" allowBlank="1" xr:uid="{00000000-0002-0000-0F00-00002B000000}">
          <x14:formula1>
            <xm:f>Games!$C$48:$D$48</xm:f>
          </x14:formula1>
          <x14:formula2>
            <xm:f>0</xm:f>
          </x14:formula2>
          <xm:sqref>F8</xm:sqref>
        </x14:dataValidation>
        <x14:dataValidation type="list" allowBlank="1" xr:uid="{00000000-0002-0000-0F00-00002C000000}">
          <x14:formula1>
            <xm:f>Games!$C$49:$D$49</xm:f>
          </x14:formula1>
          <x14:formula2>
            <xm:f>0</xm:f>
          </x14:formula2>
          <xm:sqref>G8</xm:sqref>
        </x14:dataValidation>
        <x14:dataValidation type="list" allowBlank="1" xr:uid="{00000000-0002-0000-0F00-00002D000000}">
          <x14:formula1>
            <xm:f>Games!$C$50:$D$50</xm:f>
          </x14:formula1>
          <x14:formula2>
            <xm:f>0</xm:f>
          </x14:formula2>
          <xm:sqref>H8</xm:sqref>
        </x14:dataValidation>
        <x14:dataValidation type="list" allowBlank="1" xr:uid="{00000000-0002-0000-0F00-00002E000000}">
          <x14:formula1>
            <xm:f>Games!$C$51:$D$51</xm:f>
          </x14:formula1>
          <x14:formula2>
            <xm:f>0</xm:f>
          </x14:formula2>
          <xm:sqref>I8</xm:sqref>
        </x14:dataValidation>
        <x14:dataValidation type="list" allowBlank="1" xr:uid="{00000000-0002-0000-0F00-00002F000000}">
          <x14:formula1>
            <xm:f>Games!$C$52:$D$52</xm:f>
          </x14:formula1>
          <x14:formula2>
            <xm:f>0</xm:f>
          </x14:formula2>
          <xm:sqref>J8</xm:sqref>
        </x14:dataValidation>
        <x14:dataValidation type="list" allowBlank="1" xr:uid="{00000000-0002-0000-0F00-000030000000}">
          <x14:formula1>
            <xm:f>Games!$C$53:$D$53</xm:f>
          </x14:formula1>
          <x14:formula2>
            <xm:f>0</xm:f>
          </x14:formula2>
          <xm:sqref>K8</xm:sqref>
        </x14:dataValidation>
        <x14:dataValidation type="list" allowBlank="1" xr:uid="{00000000-0002-0000-0F00-000031000000}">
          <x14:formula1>
            <xm:f>Games!$C$54:$D$54</xm:f>
          </x14:formula1>
          <x14:formula2>
            <xm:f>0</xm:f>
          </x14:formula2>
          <xm:sqref>L8</xm:sqref>
        </x14:dataValidation>
        <x14:dataValidation type="list" allowBlank="1" xr:uid="{00000000-0002-0000-0F00-000032000000}">
          <x14:formula1>
            <xm:f>Games!$C$55:$D$55</xm:f>
          </x14:formula1>
          <x14:formula2>
            <xm:f>0</xm:f>
          </x14:formula2>
          <xm:sqref>M8</xm:sqref>
        </x14:dataValidation>
        <x14:dataValidation type="list" allowBlank="1" xr:uid="{00000000-0002-0000-0F00-000033000000}">
          <x14:formula1>
            <xm:f>Games!$C$56:$D$56</xm:f>
          </x14:formula1>
          <x14:formula2>
            <xm:f>0</xm:f>
          </x14:formula2>
          <xm:sqref>N8</xm:sqref>
        </x14:dataValidation>
        <x14:dataValidation type="list" allowBlank="1" xr:uid="{00000000-0002-0000-0F00-000034000000}">
          <x14:formula1>
            <xm:f>Games!$C$57:$D$57</xm:f>
          </x14:formula1>
          <x14:formula2>
            <xm:f>0</xm:f>
          </x14:formula2>
          <xm:sqref>B9</xm:sqref>
        </x14:dataValidation>
        <x14:dataValidation type="list" allowBlank="1" xr:uid="{00000000-0002-0000-0F00-000035000000}">
          <x14:formula1>
            <xm:f>Games!$C$58:$D$58</xm:f>
          </x14:formula1>
          <x14:formula2>
            <xm:f>0</xm:f>
          </x14:formula2>
          <xm:sqref>C9</xm:sqref>
        </x14:dataValidation>
        <x14:dataValidation type="list" allowBlank="1" xr:uid="{00000000-0002-0000-0F00-000036000000}">
          <x14:formula1>
            <xm:f>Games!$C$59:$D$59</xm:f>
          </x14:formula1>
          <x14:formula2>
            <xm:f>0</xm:f>
          </x14:formula2>
          <xm:sqref>D9</xm:sqref>
        </x14:dataValidation>
        <x14:dataValidation type="list" allowBlank="1" xr:uid="{00000000-0002-0000-0F00-000037000000}">
          <x14:formula1>
            <xm:f>Games!$C$60:$D$60</xm:f>
          </x14:formula1>
          <x14:formula2>
            <xm:f>0</xm:f>
          </x14:formula2>
          <xm:sqref>E9</xm:sqref>
        </x14:dataValidation>
        <x14:dataValidation type="list" allowBlank="1" xr:uid="{00000000-0002-0000-0F00-000038000000}">
          <x14:formula1>
            <xm:f>Games!$C$61:$D$61</xm:f>
          </x14:formula1>
          <x14:formula2>
            <xm:f>0</xm:f>
          </x14:formula2>
          <xm:sqref>F9</xm:sqref>
        </x14:dataValidation>
        <x14:dataValidation type="list" allowBlank="1" xr:uid="{00000000-0002-0000-0F00-000039000000}">
          <x14:formula1>
            <xm:f>Games!$C$62:$D$62</xm:f>
          </x14:formula1>
          <x14:formula2>
            <xm:f>0</xm:f>
          </x14:formula2>
          <xm:sqref>G9</xm:sqref>
        </x14:dataValidation>
        <x14:dataValidation type="list" allowBlank="1" xr:uid="{00000000-0002-0000-0F00-00003A000000}">
          <x14:formula1>
            <xm:f>Games!$C$63:$D$63</xm:f>
          </x14:formula1>
          <x14:formula2>
            <xm:f>0</xm:f>
          </x14:formula2>
          <xm:sqref>H9</xm:sqref>
        </x14:dataValidation>
        <x14:dataValidation type="list" allowBlank="1" xr:uid="{00000000-0002-0000-0F00-00003B000000}">
          <x14:formula1>
            <xm:f>Games!$C$64:$D$64</xm:f>
          </x14:formula1>
          <x14:formula2>
            <xm:f>0</xm:f>
          </x14:formula2>
          <xm:sqref>I9</xm:sqref>
        </x14:dataValidation>
        <x14:dataValidation type="list" allowBlank="1" xr:uid="{00000000-0002-0000-0F00-00003C000000}">
          <x14:formula1>
            <xm:f>Games!$C$65:$D$65</xm:f>
          </x14:formula1>
          <x14:formula2>
            <xm:f>0</xm:f>
          </x14:formula2>
          <xm:sqref>J9</xm:sqref>
        </x14:dataValidation>
        <x14:dataValidation type="list" allowBlank="1" xr:uid="{00000000-0002-0000-0F00-00003D000000}">
          <x14:formula1>
            <xm:f>Games!$C$66:$D$66</xm:f>
          </x14:formula1>
          <x14:formula2>
            <xm:f>0</xm:f>
          </x14:formula2>
          <xm:sqref>K9</xm:sqref>
        </x14:dataValidation>
        <x14:dataValidation type="list" allowBlank="1" xr:uid="{00000000-0002-0000-0F00-00003E000000}">
          <x14:formula1>
            <xm:f>Games!$C$67:$D$67</xm:f>
          </x14:formula1>
          <x14:formula2>
            <xm:f>0</xm:f>
          </x14:formula2>
          <xm:sqref>L9</xm:sqref>
        </x14:dataValidation>
        <x14:dataValidation type="list" allowBlank="1" xr:uid="{00000000-0002-0000-0F00-00003F000000}">
          <x14:formula1>
            <xm:f>Games!$C$68:$D$68</xm:f>
          </x14:formula1>
          <x14:formula2>
            <xm:f>0</xm:f>
          </x14:formula2>
          <xm:sqref>M9</xm:sqref>
        </x14:dataValidation>
        <x14:dataValidation type="list" allowBlank="1" xr:uid="{00000000-0002-0000-0F00-000040000000}">
          <x14:formula1>
            <xm:f>Games!$C$69:$D$69</xm:f>
          </x14:formula1>
          <x14:formula2>
            <xm:f>0</xm:f>
          </x14:formula2>
          <xm:sqref>N9</xm:sqref>
        </x14:dataValidation>
        <x14:dataValidation type="list" allowBlank="1" xr:uid="{00000000-0002-0000-0F00-000041000000}">
          <x14:formula1>
            <xm:f>Games!$C$70:$D$70</xm:f>
          </x14:formula1>
          <x14:formula2>
            <xm:f>0</xm:f>
          </x14:formula2>
          <xm:sqref>B10</xm:sqref>
        </x14:dataValidation>
        <x14:dataValidation type="list" allowBlank="1" xr:uid="{00000000-0002-0000-0F00-000042000000}">
          <x14:formula1>
            <xm:f>Games!$C$71:$D$71</xm:f>
          </x14:formula1>
          <x14:formula2>
            <xm:f>0</xm:f>
          </x14:formula2>
          <xm:sqref>C10</xm:sqref>
        </x14:dataValidation>
        <x14:dataValidation type="list" allowBlank="1" xr:uid="{00000000-0002-0000-0F00-000043000000}">
          <x14:formula1>
            <xm:f>Games!$C$72:$D$72</xm:f>
          </x14:formula1>
          <x14:formula2>
            <xm:f>0</xm:f>
          </x14:formula2>
          <xm:sqref>D10</xm:sqref>
        </x14:dataValidation>
        <x14:dataValidation type="list" allowBlank="1" xr:uid="{00000000-0002-0000-0F00-000044000000}">
          <x14:formula1>
            <xm:f>Games!$C$73:$D$73</xm:f>
          </x14:formula1>
          <x14:formula2>
            <xm:f>0</xm:f>
          </x14:formula2>
          <xm:sqref>E10</xm:sqref>
        </x14:dataValidation>
        <x14:dataValidation type="list" allowBlank="1" xr:uid="{00000000-0002-0000-0F00-000045000000}">
          <x14:formula1>
            <xm:f>Games!$C$74:$D$74</xm:f>
          </x14:formula1>
          <x14:formula2>
            <xm:f>0</xm:f>
          </x14:formula2>
          <xm:sqref>F10</xm:sqref>
        </x14:dataValidation>
        <x14:dataValidation type="list" allowBlank="1" xr:uid="{00000000-0002-0000-0F00-000046000000}">
          <x14:formula1>
            <xm:f>Games!$C$75:$D$75</xm:f>
          </x14:formula1>
          <x14:formula2>
            <xm:f>0</xm:f>
          </x14:formula2>
          <xm:sqref>G10</xm:sqref>
        </x14:dataValidation>
        <x14:dataValidation type="list" allowBlank="1" xr:uid="{00000000-0002-0000-0F00-000047000000}">
          <x14:formula1>
            <xm:f>Games!$C$76:$D$76</xm:f>
          </x14:formula1>
          <x14:formula2>
            <xm:f>0</xm:f>
          </x14:formula2>
          <xm:sqref>H10</xm:sqref>
        </x14:dataValidation>
        <x14:dataValidation type="list" allowBlank="1" xr:uid="{00000000-0002-0000-0F00-000048000000}">
          <x14:formula1>
            <xm:f>Games!$C$77:$D$77</xm:f>
          </x14:formula1>
          <x14:formula2>
            <xm:f>0</xm:f>
          </x14:formula2>
          <xm:sqref>I10</xm:sqref>
        </x14:dataValidation>
        <x14:dataValidation type="list" allowBlank="1" xr:uid="{00000000-0002-0000-0F00-000049000000}">
          <x14:formula1>
            <xm:f>Games!$C$78:$D$78</xm:f>
          </x14:formula1>
          <x14:formula2>
            <xm:f>0</xm:f>
          </x14:formula2>
          <xm:sqref>J10</xm:sqref>
        </x14:dataValidation>
        <x14:dataValidation type="list" allowBlank="1" xr:uid="{00000000-0002-0000-0F00-00004A000000}">
          <x14:formula1>
            <xm:f>Games!$C$79:$D$79</xm:f>
          </x14:formula1>
          <x14:formula2>
            <xm:f>0</xm:f>
          </x14:formula2>
          <xm:sqref>K10</xm:sqref>
        </x14:dataValidation>
        <x14:dataValidation type="list" allowBlank="1" xr:uid="{00000000-0002-0000-0F00-00004B000000}">
          <x14:formula1>
            <xm:f>Games!$C$80:$D$80</xm:f>
          </x14:formula1>
          <x14:formula2>
            <xm:f>0</xm:f>
          </x14:formula2>
          <xm:sqref>L10</xm:sqref>
        </x14:dataValidation>
        <x14:dataValidation type="list" allowBlank="1" xr:uid="{00000000-0002-0000-0F00-00004C000000}">
          <x14:formula1>
            <xm:f>Games!$C$81:$D$81</xm:f>
          </x14:formula1>
          <x14:formula2>
            <xm:f>0</xm:f>
          </x14:formula2>
          <xm:sqref>M10</xm:sqref>
        </x14:dataValidation>
        <x14:dataValidation type="list" allowBlank="1" xr:uid="{00000000-0002-0000-0F00-00004D000000}">
          <x14:formula1>
            <xm:f>Games!$C$82:$D$82</xm:f>
          </x14:formula1>
          <x14:formula2>
            <xm:f>0</xm:f>
          </x14:formula2>
          <xm:sqref>N10</xm:sqref>
        </x14:dataValidation>
        <x14:dataValidation type="list" allowBlank="1" xr:uid="{00000000-0002-0000-0F00-00004E000000}">
          <x14:formula1>
            <xm:f>Games!$C$83:$D$83</xm:f>
          </x14:formula1>
          <x14:formula2>
            <xm:f>0</xm:f>
          </x14:formula2>
          <xm:sqref>B11</xm:sqref>
        </x14:dataValidation>
        <x14:dataValidation type="list" allowBlank="1" xr:uid="{00000000-0002-0000-0F00-00004F000000}">
          <x14:formula1>
            <xm:f>Games!$C$84:$D$84</xm:f>
          </x14:formula1>
          <x14:formula2>
            <xm:f>0</xm:f>
          </x14:formula2>
          <xm:sqref>C11</xm:sqref>
        </x14:dataValidation>
        <x14:dataValidation type="list" allowBlank="1" xr:uid="{00000000-0002-0000-0F00-000050000000}">
          <x14:formula1>
            <xm:f>Games!$C$85:$D$85</xm:f>
          </x14:formula1>
          <x14:formula2>
            <xm:f>0</xm:f>
          </x14:formula2>
          <xm:sqref>D11</xm:sqref>
        </x14:dataValidation>
        <x14:dataValidation type="list" allowBlank="1" xr:uid="{00000000-0002-0000-0F00-000051000000}">
          <x14:formula1>
            <xm:f>Games!$C$86:$D$86</xm:f>
          </x14:formula1>
          <x14:formula2>
            <xm:f>0</xm:f>
          </x14:formula2>
          <xm:sqref>E11</xm:sqref>
        </x14:dataValidation>
        <x14:dataValidation type="list" allowBlank="1" xr:uid="{00000000-0002-0000-0F00-000052000000}">
          <x14:formula1>
            <xm:f>Games!$C$87:$D$87</xm:f>
          </x14:formula1>
          <x14:formula2>
            <xm:f>0</xm:f>
          </x14:formula2>
          <xm:sqref>F11</xm:sqref>
        </x14:dataValidation>
        <x14:dataValidation type="list" allowBlank="1" xr:uid="{00000000-0002-0000-0F00-000053000000}">
          <x14:formula1>
            <xm:f>Games!$C$88:$D$88</xm:f>
          </x14:formula1>
          <x14:formula2>
            <xm:f>0</xm:f>
          </x14:formula2>
          <xm:sqref>G11</xm:sqref>
        </x14:dataValidation>
        <x14:dataValidation type="list" allowBlank="1" xr:uid="{00000000-0002-0000-0F00-000054000000}">
          <x14:formula1>
            <xm:f>Games!$C$89:$D$89</xm:f>
          </x14:formula1>
          <x14:formula2>
            <xm:f>0</xm:f>
          </x14:formula2>
          <xm:sqref>H11</xm:sqref>
        </x14:dataValidation>
        <x14:dataValidation type="list" allowBlank="1" xr:uid="{00000000-0002-0000-0F00-000055000000}">
          <x14:formula1>
            <xm:f>Games!$C$90:$D$90</xm:f>
          </x14:formula1>
          <x14:formula2>
            <xm:f>0</xm:f>
          </x14:formula2>
          <xm:sqref>I11</xm:sqref>
        </x14:dataValidation>
        <x14:dataValidation type="list" allowBlank="1" xr:uid="{00000000-0002-0000-0F00-000056000000}">
          <x14:formula1>
            <xm:f>Games!$C$91:$D$91</xm:f>
          </x14:formula1>
          <x14:formula2>
            <xm:f>0</xm:f>
          </x14:formula2>
          <xm:sqref>J11</xm:sqref>
        </x14:dataValidation>
        <x14:dataValidation type="list" allowBlank="1" xr:uid="{00000000-0002-0000-0F00-000057000000}">
          <x14:formula1>
            <xm:f>Games!$C$92:$D$92</xm:f>
          </x14:formula1>
          <x14:formula2>
            <xm:f>0</xm:f>
          </x14:formula2>
          <xm:sqref>K11</xm:sqref>
        </x14:dataValidation>
        <x14:dataValidation type="list" allowBlank="1" xr:uid="{00000000-0002-0000-0F00-000058000000}">
          <x14:formula1>
            <xm:f>Games!$C$93:$D$93</xm:f>
          </x14:formula1>
          <x14:formula2>
            <xm:f>0</xm:f>
          </x14:formula2>
          <xm:sqref>L11</xm:sqref>
        </x14:dataValidation>
        <x14:dataValidation type="list" allowBlank="1" xr:uid="{00000000-0002-0000-0F00-000059000000}">
          <x14:formula1>
            <xm:f>Games!$C$94:$D$94</xm:f>
          </x14:formula1>
          <x14:formula2>
            <xm:f>0</xm:f>
          </x14:formula2>
          <xm:sqref>M11</xm:sqref>
        </x14:dataValidation>
        <x14:dataValidation type="list" allowBlank="1" xr:uid="{00000000-0002-0000-0F00-00005A000000}">
          <x14:formula1>
            <xm:f>Games!$C$95:$D$95</xm:f>
          </x14:formula1>
          <x14:formula2>
            <xm:f>0</xm:f>
          </x14:formula2>
          <xm:sqref>N11</xm:sqref>
        </x14:dataValidation>
        <x14:dataValidation type="list" allowBlank="1" xr:uid="{00000000-0002-0000-0F00-00005B000000}">
          <x14:formula1>
            <xm:f>Games!$C$96:$D$96</xm:f>
          </x14:formula1>
          <x14:formula2>
            <xm:f>0</xm:f>
          </x14:formula2>
          <xm:sqref>B12</xm:sqref>
        </x14:dataValidation>
        <x14:dataValidation type="list" allowBlank="1" xr:uid="{00000000-0002-0000-0F00-00005C000000}">
          <x14:formula1>
            <xm:f>Games!$C$97:$D$97</xm:f>
          </x14:formula1>
          <x14:formula2>
            <xm:f>0</xm:f>
          </x14:formula2>
          <xm:sqref>C12</xm:sqref>
        </x14:dataValidation>
        <x14:dataValidation type="list" allowBlank="1" xr:uid="{00000000-0002-0000-0F00-00005D000000}">
          <x14:formula1>
            <xm:f>Games!$C$98:$D$98</xm:f>
          </x14:formula1>
          <x14:formula2>
            <xm:f>0</xm:f>
          </x14:formula2>
          <xm:sqref>D12</xm:sqref>
        </x14:dataValidation>
        <x14:dataValidation type="list" allowBlank="1" xr:uid="{00000000-0002-0000-0F00-00005E000000}">
          <x14:formula1>
            <xm:f>Games!$C$99:$D$99</xm:f>
          </x14:formula1>
          <x14:formula2>
            <xm:f>0</xm:f>
          </x14:formula2>
          <xm:sqref>E12</xm:sqref>
        </x14:dataValidation>
        <x14:dataValidation type="list" allowBlank="1" xr:uid="{00000000-0002-0000-0F00-00005F000000}">
          <x14:formula1>
            <xm:f>Games!$C$100:$D$100</xm:f>
          </x14:formula1>
          <x14:formula2>
            <xm:f>0</xm:f>
          </x14:formula2>
          <xm:sqref>F12</xm:sqref>
        </x14:dataValidation>
        <x14:dataValidation type="list" allowBlank="1" xr:uid="{00000000-0002-0000-0F00-000060000000}">
          <x14:formula1>
            <xm:f>Games!$C$101:$D$101</xm:f>
          </x14:formula1>
          <x14:formula2>
            <xm:f>0</xm:f>
          </x14:formula2>
          <xm:sqref>G12</xm:sqref>
        </x14:dataValidation>
        <x14:dataValidation type="list" allowBlank="1" xr:uid="{00000000-0002-0000-0F00-000061000000}">
          <x14:formula1>
            <xm:f>Games!$C$102:$D$102</xm:f>
          </x14:formula1>
          <x14:formula2>
            <xm:f>0</xm:f>
          </x14:formula2>
          <xm:sqref>H12</xm:sqref>
        </x14:dataValidation>
        <x14:dataValidation type="list" allowBlank="1" xr:uid="{00000000-0002-0000-0F00-000062000000}">
          <x14:formula1>
            <xm:f>Games!$C$103:$D$103</xm:f>
          </x14:formula1>
          <x14:formula2>
            <xm:f>0</xm:f>
          </x14:formula2>
          <xm:sqref>I12</xm:sqref>
        </x14:dataValidation>
        <x14:dataValidation type="list" allowBlank="1" xr:uid="{00000000-0002-0000-0F00-000063000000}">
          <x14:formula1>
            <xm:f>Games!$C$104:$D$104</xm:f>
          </x14:formula1>
          <x14:formula2>
            <xm:f>0</xm:f>
          </x14:formula2>
          <xm:sqref>J12</xm:sqref>
        </x14:dataValidation>
        <x14:dataValidation type="list" allowBlank="1" xr:uid="{00000000-0002-0000-0F00-000064000000}">
          <x14:formula1>
            <xm:f>Games!$C$105:$D$105</xm:f>
          </x14:formula1>
          <x14:formula2>
            <xm:f>0</xm:f>
          </x14:formula2>
          <xm:sqref>K12</xm:sqref>
        </x14:dataValidation>
        <x14:dataValidation type="list" allowBlank="1" xr:uid="{00000000-0002-0000-0F00-000065000000}">
          <x14:formula1>
            <xm:f>Games!$C$106:$D$106</xm:f>
          </x14:formula1>
          <x14:formula2>
            <xm:f>0</xm:f>
          </x14:formula2>
          <xm:sqref>L12</xm:sqref>
        </x14:dataValidation>
        <x14:dataValidation type="list" allowBlank="1" xr:uid="{00000000-0002-0000-0F00-000066000000}">
          <x14:formula1>
            <xm:f>Games!$C$107:$D$107</xm:f>
          </x14:formula1>
          <x14:formula2>
            <xm:f>0</xm:f>
          </x14:formula2>
          <xm:sqref>M12</xm:sqref>
        </x14:dataValidation>
        <x14:dataValidation type="list" allowBlank="1" xr:uid="{00000000-0002-0000-0F00-000067000000}">
          <x14:formula1>
            <xm:f>Games!$C$108:$D$108</xm:f>
          </x14:formula1>
          <x14:formula2>
            <xm:f>0</xm:f>
          </x14:formula2>
          <xm:sqref>N12</xm:sqref>
        </x14:dataValidation>
        <x14:dataValidation type="list" allowBlank="1" xr:uid="{00000000-0002-0000-0F00-000068000000}">
          <x14:formula1>
            <xm:f>Games!$C$109:$D$109</xm:f>
          </x14:formula1>
          <x14:formula2>
            <xm:f>0</xm:f>
          </x14:formula2>
          <xm:sqref>B13</xm:sqref>
        </x14:dataValidation>
        <x14:dataValidation type="list" allowBlank="1" xr:uid="{00000000-0002-0000-0F00-000069000000}">
          <x14:formula1>
            <xm:f>Games!$C$110:$D$110</xm:f>
          </x14:formula1>
          <x14:formula2>
            <xm:f>0</xm:f>
          </x14:formula2>
          <xm:sqref>C13</xm:sqref>
        </x14:dataValidation>
        <x14:dataValidation type="list" allowBlank="1" xr:uid="{00000000-0002-0000-0F00-00006A000000}">
          <x14:formula1>
            <xm:f>Games!$C$111:$D$111</xm:f>
          </x14:formula1>
          <x14:formula2>
            <xm:f>0</xm:f>
          </x14:formula2>
          <xm:sqref>D13</xm:sqref>
        </x14:dataValidation>
        <x14:dataValidation type="list" allowBlank="1" xr:uid="{00000000-0002-0000-0F00-00006B000000}">
          <x14:formula1>
            <xm:f>Games!$C$112:$D$112</xm:f>
          </x14:formula1>
          <x14:formula2>
            <xm:f>0</xm:f>
          </x14:formula2>
          <xm:sqref>E13</xm:sqref>
        </x14:dataValidation>
        <x14:dataValidation type="list" allowBlank="1" xr:uid="{00000000-0002-0000-0F00-00006C000000}">
          <x14:formula1>
            <xm:f>Games!$C$113:$D$113</xm:f>
          </x14:formula1>
          <x14:formula2>
            <xm:f>0</xm:f>
          </x14:formula2>
          <xm:sqref>F13</xm:sqref>
        </x14:dataValidation>
        <x14:dataValidation type="list" allowBlank="1" xr:uid="{00000000-0002-0000-0F00-00006D000000}">
          <x14:formula1>
            <xm:f>Games!$C$114:$D$114</xm:f>
          </x14:formula1>
          <x14:formula2>
            <xm:f>0</xm:f>
          </x14:formula2>
          <xm:sqref>G13</xm:sqref>
        </x14:dataValidation>
        <x14:dataValidation type="list" allowBlank="1" xr:uid="{00000000-0002-0000-0F00-00006E000000}">
          <x14:formula1>
            <xm:f>Games!$C$115:$D$115</xm:f>
          </x14:formula1>
          <x14:formula2>
            <xm:f>0</xm:f>
          </x14:formula2>
          <xm:sqref>H13</xm:sqref>
        </x14:dataValidation>
        <x14:dataValidation type="list" allowBlank="1" xr:uid="{00000000-0002-0000-0F00-00006F000000}">
          <x14:formula1>
            <xm:f>Games!$C$116:$D$116</xm:f>
          </x14:formula1>
          <x14:formula2>
            <xm:f>0</xm:f>
          </x14:formula2>
          <xm:sqref>I13</xm:sqref>
        </x14:dataValidation>
        <x14:dataValidation type="list" allowBlank="1" xr:uid="{00000000-0002-0000-0F00-000070000000}">
          <x14:formula1>
            <xm:f>Games!$C$117:$D$117</xm:f>
          </x14:formula1>
          <x14:formula2>
            <xm:f>0</xm:f>
          </x14:formula2>
          <xm:sqref>J13</xm:sqref>
        </x14:dataValidation>
        <x14:dataValidation type="list" allowBlank="1" xr:uid="{00000000-0002-0000-0F00-000071000000}">
          <x14:formula1>
            <xm:f>Games!$C$118:$D$118</xm:f>
          </x14:formula1>
          <x14:formula2>
            <xm:f>0</xm:f>
          </x14:formula2>
          <xm:sqref>K13</xm:sqref>
        </x14:dataValidation>
        <x14:dataValidation type="list" allowBlank="1" xr:uid="{00000000-0002-0000-0F00-000072000000}">
          <x14:formula1>
            <xm:f>Games!$C$119:$D$119</xm:f>
          </x14:formula1>
          <x14:formula2>
            <xm:f>0</xm:f>
          </x14:formula2>
          <xm:sqref>L13</xm:sqref>
        </x14:dataValidation>
        <x14:dataValidation type="list" allowBlank="1" xr:uid="{00000000-0002-0000-0F00-000073000000}">
          <x14:formula1>
            <xm:f>Games!$C$120:$D$120</xm:f>
          </x14:formula1>
          <x14:formula2>
            <xm:f>0</xm:f>
          </x14:formula2>
          <xm:sqref>M13</xm:sqref>
        </x14:dataValidation>
        <x14:dataValidation type="list" allowBlank="1" xr:uid="{00000000-0002-0000-0F00-000074000000}">
          <x14:formula1>
            <xm:f>Games!$C$121:$D$121</xm:f>
          </x14:formula1>
          <x14:formula2>
            <xm:f>0</xm:f>
          </x14:formula2>
          <xm:sqref>N13</xm:sqref>
        </x14:dataValidation>
        <x14:dataValidation type="list" allowBlank="1" xr:uid="{00000000-0002-0000-0F00-000075000000}">
          <x14:formula1>
            <xm:f>Games!$C$122:$D$122</xm:f>
          </x14:formula1>
          <x14:formula2>
            <xm:f>0</xm:f>
          </x14:formula2>
          <xm:sqref>B14</xm:sqref>
        </x14:dataValidation>
        <x14:dataValidation type="list" allowBlank="1" xr:uid="{00000000-0002-0000-0F00-000076000000}">
          <x14:formula1>
            <xm:f>Games!$C$123:$D$123</xm:f>
          </x14:formula1>
          <x14:formula2>
            <xm:f>0</xm:f>
          </x14:formula2>
          <xm:sqref>C14</xm:sqref>
        </x14:dataValidation>
        <x14:dataValidation type="list" allowBlank="1" xr:uid="{00000000-0002-0000-0F00-000077000000}">
          <x14:formula1>
            <xm:f>Games!$C$124:$D$124</xm:f>
          </x14:formula1>
          <x14:formula2>
            <xm:f>0</xm:f>
          </x14:formula2>
          <xm:sqref>D14</xm:sqref>
        </x14:dataValidation>
        <x14:dataValidation type="list" allowBlank="1" xr:uid="{00000000-0002-0000-0F00-000078000000}">
          <x14:formula1>
            <xm:f>Games!$C$125:$D$125</xm:f>
          </x14:formula1>
          <x14:formula2>
            <xm:f>0</xm:f>
          </x14:formula2>
          <xm:sqref>E14</xm:sqref>
        </x14:dataValidation>
        <x14:dataValidation type="list" allowBlank="1" xr:uid="{00000000-0002-0000-0F00-000079000000}">
          <x14:formula1>
            <xm:f>Games!$C$126:$D$126</xm:f>
          </x14:formula1>
          <x14:formula2>
            <xm:f>0</xm:f>
          </x14:formula2>
          <xm:sqref>F14</xm:sqref>
        </x14:dataValidation>
        <x14:dataValidation type="list" allowBlank="1" xr:uid="{00000000-0002-0000-0F00-00007A000000}">
          <x14:formula1>
            <xm:f>Games!$C$127:$D$127</xm:f>
          </x14:formula1>
          <x14:formula2>
            <xm:f>0</xm:f>
          </x14:formula2>
          <xm:sqref>G14</xm:sqref>
        </x14:dataValidation>
        <x14:dataValidation type="list" allowBlank="1" xr:uid="{00000000-0002-0000-0F00-00007B000000}">
          <x14:formula1>
            <xm:f>Games!$C$128:$D$128</xm:f>
          </x14:formula1>
          <x14:formula2>
            <xm:f>0</xm:f>
          </x14:formula2>
          <xm:sqref>H14</xm:sqref>
        </x14:dataValidation>
        <x14:dataValidation type="list" allowBlank="1" xr:uid="{00000000-0002-0000-0F00-00007C000000}">
          <x14:formula1>
            <xm:f>Games!$C$129:$D$129</xm:f>
          </x14:formula1>
          <x14:formula2>
            <xm:f>0</xm:f>
          </x14:formula2>
          <xm:sqref>I14</xm:sqref>
        </x14:dataValidation>
        <x14:dataValidation type="list" allowBlank="1" xr:uid="{00000000-0002-0000-0F00-00007D000000}">
          <x14:formula1>
            <xm:f>Games!$C$130:$D$130</xm:f>
          </x14:formula1>
          <x14:formula2>
            <xm:f>0</xm:f>
          </x14:formula2>
          <xm:sqref>J14</xm:sqref>
        </x14:dataValidation>
        <x14:dataValidation type="list" allowBlank="1" xr:uid="{00000000-0002-0000-0F00-00007E000000}">
          <x14:formula1>
            <xm:f>Games!$C$131:$D$131</xm:f>
          </x14:formula1>
          <x14:formula2>
            <xm:f>0</xm:f>
          </x14:formula2>
          <xm:sqref>K14</xm:sqref>
        </x14:dataValidation>
        <x14:dataValidation type="list" allowBlank="1" xr:uid="{00000000-0002-0000-0F00-00007F000000}">
          <x14:formula1>
            <xm:f>Games!$C$132:$D$132</xm:f>
          </x14:formula1>
          <x14:formula2>
            <xm:f>0</xm:f>
          </x14:formula2>
          <xm:sqref>L14</xm:sqref>
        </x14:dataValidation>
        <x14:dataValidation type="list" allowBlank="1" xr:uid="{00000000-0002-0000-0F00-000080000000}">
          <x14:formula1>
            <xm:f>Games!$C$133:$D$133</xm:f>
          </x14:formula1>
          <x14:formula2>
            <xm:f>0</xm:f>
          </x14:formula2>
          <xm:sqref>M14</xm:sqref>
        </x14:dataValidation>
        <x14:dataValidation type="list" allowBlank="1" xr:uid="{00000000-0002-0000-0F00-000081000000}">
          <x14:formula1>
            <xm:f>Games!$C$134:$D$134</xm:f>
          </x14:formula1>
          <x14:formula2>
            <xm:f>0</xm:f>
          </x14:formula2>
          <xm:sqref>N14</xm:sqref>
        </x14:dataValidation>
        <x14:dataValidation type="list" allowBlank="1" xr:uid="{00000000-0002-0000-0F00-000082000000}">
          <x14:formula1>
            <xm:f>Games!$C$135:$D$135</xm:f>
          </x14:formula1>
          <x14:formula2>
            <xm:f>0</xm:f>
          </x14:formula2>
          <xm:sqref>B15</xm:sqref>
        </x14:dataValidation>
        <x14:dataValidation type="list" allowBlank="1" xr:uid="{00000000-0002-0000-0F00-000083000000}">
          <x14:formula1>
            <xm:f>Games!$C$136:$D$136</xm:f>
          </x14:formula1>
          <x14:formula2>
            <xm:f>0</xm:f>
          </x14:formula2>
          <xm:sqref>C15</xm:sqref>
        </x14:dataValidation>
        <x14:dataValidation type="list" allowBlank="1" xr:uid="{00000000-0002-0000-0F00-000084000000}">
          <x14:formula1>
            <xm:f>Games!$C$137:$D$137</xm:f>
          </x14:formula1>
          <x14:formula2>
            <xm:f>0</xm:f>
          </x14:formula2>
          <xm:sqref>D15</xm:sqref>
        </x14:dataValidation>
        <x14:dataValidation type="list" allowBlank="1" xr:uid="{00000000-0002-0000-0F00-000085000000}">
          <x14:formula1>
            <xm:f>Games!$C$138:$D$138</xm:f>
          </x14:formula1>
          <x14:formula2>
            <xm:f>0</xm:f>
          </x14:formula2>
          <xm:sqref>E15</xm:sqref>
        </x14:dataValidation>
        <x14:dataValidation type="list" allowBlank="1" xr:uid="{00000000-0002-0000-0F00-000086000000}">
          <x14:formula1>
            <xm:f>Games!$C$139:$D$139</xm:f>
          </x14:formula1>
          <x14:formula2>
            <xm:f>0</xm:f>
          </x14:formula2>
          <xm:sqref>F15</xm:sqref>
        </x14:dataValidation>
        <x14:dataValidation type="list" allowBlank="1" xr:uid="{00000000-0002-0000-0F00-000087000000}">
          <x14:formula1>
            <xm:f>Games!$C$140:$D$140</xm:f>
          </x14:formula1>
          <x14:formula2>
            <xm:f>0</xm:f>
          </x14:formula2>
          <xm:sqref>G15</xm:sqref>
        </x14:dataValidation>
        <x14:dataValidation type="list" allowBlank="1" xr:uid="{00000000-0002-0000-0F00-000088000000}">
          <x14:formula1>
            <xm:f>Games!$C$141:$D$141</xm:f>
          </x14:formula1>
          <x14:formula2>
            <xm:f>0</xm:f>
          </x14:formula2>
          <xm:sqref>H15</xm:sqref>
        </x14:dataValidation>
        <x14:dataValidation type="list" allowBlank="1" xr:uid="{00000000-0002-0000-0F00-000089000000}">
          <x14:formula1>
            <xm:f>Games!$C$142:$D$142</xm:f>
          </x14:formula1>
          <x14:formula2>
            <xm:f>0</xm:f>
          </x14:formula2>
          <xm:sqref>I15</xm:sqref>
        </x14:dataValidation>
        <x14:dataValidation type="list" allowBlank="1" xr:uid="{00000000-0002-0000-0F00-00008A000000}">
          <x14:formula1>
            <xm:f>Games!$C$143:$D$143</xm:f>
          </x14:formula1>
          <x14:formula2>
            <xm:f>0</xm:f>
          </x14:formula2>
          <xm:sqref>J15</xm:sqref>
        </x14:dataValidation>
        <x14:dataValidation type="list" allowBlank="1" xr:uid="{00000000-0002-0000-0F00-00008B000000}">
          <x14:formula1>
            <xm:f>Games!$C$144:$D$144</xm:f>
          </x14:formula1>
          <x14:formula2>
            <xm:f>0</xm:f>
          </x14:formula2>
          <xm:sqref>K15</xm:sqref>
        </x14:dataValidation>
        <x14:dataValidation type="list" allowBlank="1" xr:uid="{00000000-0002-0000-0F00-00008C000000}">
          <x14:formula1>
            <xm:f>Games!$C$145:$D$145</xm:f>
          </x14:formula1>
          <x14:formula2>
            <xm:f>0</xm:f>
          </x14:formula2>
          <xm:sqref>L15</xm:sqref>
        </x14:dataValidation>
        <x14:dataValidation type="list" allowBlank="1" xr:uid="{00000000-0002-0000-0F00-00008D000000}">
          <x14:formula1>
            <xm:f>Games!$C$146:$D$146</xm:f>
          </x14:formula1>
          <x14:formula2>
            <xm:f>0</xm:f>
          </x14:formula2>
          <xm:sqref>M15</xm:sqref>
        </x14:dataValidation>
        <x14:dataValidation type="list" allowBlank="1" xr:uid="{00000000-0002-0000-0F00-00008E000000}">
          <x14:formula1>
            <xm:f>Games!$C$147:$D$147</xm:f>
          </x14:formula1>
          <x14:formula2>
            <xm:f>0</xm:f>
          </x14:formula2>
          <xm:sqref>N15</xm:sqref>
        </x14:dataValidation>
        <x14:dataValidation type="list" allowBlank="1" xr:uid="{00000000-0002-0000-0F00-00008F000000}">
          <x14:formula1>
            <xm:f>Games!$C$148:$D$148</xm:f>
          </x14:formula1>
          <x14:formula2>
            <xm:f>0</xm:f>
          </x14:formula2>
          <xm:sqref>B16</xm:sqref>
        </x14:dataValidation>
        <x14:dataValidation type="list" allowBlank="1" xr:uid="{00000000-0002-0000-0F00-000090000000}">
          <x14:formula1>
            <xm:f>Games!$C$149:$D$149</xm:f>
          </x14:formula1>
          <x14:formula2>
            <xm:f>0</xm:f>
          </x14:formula2>
          <xm:sqref>C16</xm:sqref>
        </x14:dataValidation>
        <x14:dataValidation type="list" allowBlank="1" xr:uid="{00000000-0002-0000-0F00-000091000000}">
          <x14:formula1>
            <xm:f>Games!$C$150:$D$150</xm:f>
          </x14:formula1>
          <x14:formula2>
            <xm:f>0</xm:f>
          </x14:formula2>
          <xm:sqref>D16</xm:sqref>
        </x14:dataValidation>
        <x14:dataValidation type="list" allowBlank="1" xr:uid="{00000000-0002-0000-0F00-000092000000}">
          <x14:formula1>
            <xm:f>Games!$C$151:$D$151</xm:f>
          </x14:formula1>
          <x14:formula2>
            <xm:f>0</xm:f>
          </x14:formula2>
          <xm:sqref>E16</xm:sqref>
        </x14:dataValidation>
        <x14:dataValidation type="list" allowBlank="1" xr:uid="{00000000-0002-0000-0F00-000093000000}">
          <x14:formula1>
            <xm:f>Games!$C$152:$D$152</xm:f>
          </x14:formula1>
          <x14:formula2>
            <xm:f>0</xm:f>
          </x14:formula2>
          <xm:sqref>F16</xm:sqref>
        </x14:dataValidation>
        <x14:dataValidation type="list" allowBlank="1" xr:uid="{00000000-0002-0000-0F00-000094000000}">
          <x14:formula1>
            <xm:f>Games!$C$153:$D$153</xm:f>
          </x14:formula1>
          <x14:formula2>
            <xm:f>0</xm:f>
          </x14:formula2>
          <xm:sqref>G16</xm:sqref>
        </x14:dataValidation>
        <x14:dataValidation type="list" allowBlank="1" xr:uid="{00000000-0002-0000-0F00-000095000000}">
          <x14:formula1>
            <xm:f>Games!$C$154:$D$154</xm:f>
          </x14:formula1>
          <x14:formula2>
            <xm:f>0</xm:f>
          </x14:formula2>
          <xm:sqref>H16</xm:sqref>
        </x14:dataValidation>
        <x14:dataValidation type="list" allowBlank="1" xr:uid="{00000000-0002-0000-0F00-000096000000}">
          <x14:formula1>
            <xm:f>Games!$C$155:$D$155</xm:f>
          </x14:formula1>
          <x14:formula2>
            <xm:f>0</xm:f>
          </x14:formula2>
          <xm:sqref>I16</xm:sqref>
        </x14:dataValidation>
        <x14:dataValidation type="list" allowBlank="1" xr:uid="{00000000-0002-0000-0F00-000097000000}">
          <x14:formula1>
            <xm:f>Games!$C$156:$D$156</xm:f>
          </x14:formula1>
          <x14:formula2>
            <xm:f>0</xm:f>
          </x14:formula2>
          <xm:sqref>J16</xm:sqref>
        </x14:dataValidation>
        <x14:dataValidation type="list" allowBlank="1" xr:uid="{00000000-0002-0000-0F00-000098000000}">
          <x14:formula1>
            <xm:f>Games!$C$157:$D$157</xm:f>
          </x14:formula1>
          <x14:formula2>
            <xm:f>0</xm:f>
          </x14:formula2>
          <xm:sqref>K16</xm:sqref>
        </x14:dataValidation>
        <x14:dataValidation type="list" allowBlank="1" xr:uid="{00000000-0002-0000-0F00-000099000000}">
          <x14:formula1>
            <xm:f>Games!$C$158:$D$158</xm:f>
          </x14:formula1>
          <x14:formula2>
            <xm:f>0</xm:f>
          </x14:formula2>
          <xm:sqref>L16</xm:sqref>
        </x14:dataValidation>
        <x14:dataValidation type="list" allowBlank="1" xr:uid="{00000000-0002-0000-0F00-00009A000000}">
          <x14:formula1>
            <xm:f>Games!$C$159:$D$159</xm:f>
          </x14:formula1>
          <x14:formula2>
            <xm:f>0</xm:f>
          </x14:formula2>
          <xm:sqref>M16</xm:sqref>
        </x14:dataValidation>
        <x14:dataValidation type="list" allowBlank="1" xr:uid="{00000000-0002-0000-0F00-00009B000000}">
          <x14:formula1>
            <xm:f>Games!$C$160:$D$160</xm:f>
          </x14:formula1>
          <x14:formula2>
            <xm:f>0</xm:f>
          </x14:formula2>
          <xm:sqref>N16</xm:sqref>
        </x14:dataValidation>
        <x14:dataValidation type="list" allowBlank="1" xr:uid="{00000000-0002-0000-0F00-00009C000000}">
          <x14:formula1>
            <xm:f>Games!$C$161:$D$161</xm:f>
          </x14:formula1>
          <x14:formula2>
            <xm:f>0</xm:f>
          </x14:formula2>
          <xm:sqref>B17</xm:sqref>
        </x14:dataValidation>
        <x14:dataValidation type="list" allowBlank="1" xr:uid="{00000000-0002-0000-0F00-00009D000000}">
          <x14:formula1>
            <xm:f>Games!$C$162:$D$162</xm:f>
          </x14:formula1>
          <x14:formula2>
            <xm:f>0</xm:f>
          </x14:formula2>
          <xm:sqref>C17</xm:sqref>
        </x14:dataValidation>
        <x14:dataValidation type="list" allowBlank="1" xr:uid="{00000000-0002-0000-0F00-00009E000000}">
          <x14:formula1>
            <xm:f>Games!$C$163:$D$163</xm:f>
          </x14:formula1>
          <x14:formula2>
            <xm:f>0</xm:f>
          </x14:formula2>
          <xm:sqref>D17</xm:sqref>
        </x14:dataValidation>
        <x14:dataValidation type="list" allowBlank="1" xr:uid="{00000000-0002-0000-0F00-00009F000000}">
          <x14:formula1>
            <xm:f>Games!$C$164:$D$164</xm:f>
          </x14:formula1>
          <x14:formula2>
            <xm:f>0</xm:f>
          </x14:formula2>
          <xm:sqref>E17</xm:sqref>
        </x14:dataValidation>
        <x14:dataValidation type="list" allowBlank="1" xr:uid="{00000000-0002-0000-0F00-0000A0000000}">
          <x14:formula1>
            <xm:f>Games!$C$165:$D$165</xm:f>
          </x14:formula1>
          <x14:formula2>
            <xm:f>0</xm:f>
          </x14:formula2>
          <xm:sqref>F17</xm:sqref>
        </x14:dataValidation>
        <x14:dataValidation type="list" allowBlank="1" xr:uid="{00000000-0002-0000-0F00-0000A1000000}">
          <x14:formula1>
            <xm:f>Games!$C$166:$D$166</xm:f>
          </x14:formula1>
          <x14:formula2>
            <xm:f>0</xm:f>
          </x14:formula2>
          <xm:sqref>G17</xm:sqref>
        </x14:dataValidation>
        <x14:dataValidation type="list" allowBlank="1" xr:uid="{00000000-0002-0000-0F00-0000A2000000}">
          <x14:formula1>
            <xm:f>Games!$C$167:$D$167</xm:f>
          </x14:formula1>
          <x14:formula2>
            <xm:f>0</xm:f>
          </x14:formula2>
          <xm:sqref>H17</xm:sqref>
        </x14:dataValidation>
        <x14:dataValidation type="list" allowBlank="1" xr:uid="{00000000-0002-0000-0F00-0000A3000000}">
          <x14:formula1>
            <xm:f>Games!$C$168:$D$168</xm:f>
          </x14:formula1>
          <x14:formula2>
            <xm:f>0</xm:f>
          </x14:formula2>
          <xm:sqref>I17</xm:sqref>
        </x14:dataValidation>
        <x14:dataValidation type="list" allowBlank="1" xr:uid="{00000000-0002-0000-0F00-0000A4000000}">
          <x14:formula1>
            <xm:f>Games!$C$169:$D$169</xm:f>
          </x14:formula1>
          <x14:formula2>
            <xm:f>0</xm:f>
          </x14:formula2>
          <xm:sqref>J17</xm:sqref>
        </x14:dataValidation>
        <x14:dataValidation type="list" allowBlank="1" xr:uid="{00000000-0002-0000-0F00-0000A5000000}">
          <x14:formula1>
            <xm:f>Games!$C$170:$D$170</xm:f>
          </x14:formula1>
          <x14:formula2>
            <xm:f>0</xm:f>
          </x14:formula2>
          <xm:sqref>K17</xm:sqref>
        </x14:dataValidation>
        <x14:dataValidation type="list" allowBlank="1" xr:uid="{00000000-0002-0000-0F00-0000A6000000}">
          <x14:formula1>
            <xm:f>Games!$C$171:$D$171</xm:f>
          </x14:formula1>
          <x14:formula2>
            <xm:f>0</xm:f>
          </x14:formula2>
          <xm:sqref>L17</xm:sqref>
        </x14:dataValidation>
        <x14:dataValidation type="list" allowBlank="1" xr:uid="{00000000-0002-0000-0F00-0000A7000000}">
          <x14:formula1>
            <xm:f>Games!$C$172:$D$172</xm:f>
          </x14:formula1>
          <x14:formula2>
            <xm:f>0</xm:f>
          </x14:formula2>
          <xm:sqref>M17</xm:sqref>
        </x14:dataValidation>
        <x14:dataValidation type="list" allowBlank="1" xr:uid="{00000000-0002-0000-0F00-0000A8000000}">
          <x14:formula1>
            <xm:f>Games!$C$173:$D$173</xm:f>
          </x14:formula1>
          <x14:formula2>
            <xm:f>0</xm:f>
          </x14:formula2>
          <xm:sqref>N17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69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16" customWidth="1"/>
    <col min="2" max="14" width="8" customWidth="1"/>
    <col min="15" max="15" width="12" customWidth="1"/>
    <col min="16" max="18" width="10" customWidth="1"/>
    <col min="19" max="19" width="14" customWidth="1"/>
    <col min="20" max="20" width="12" customWidth="1"/>
    <col min="21" max="21" width="10" customWidth="1"/>
    <col min="22" max="22" width="14" customWidth="1"/>
  </cols>
  <sheetData>
    <row r="1" spans="1:22" ht="17.25" customHeight="1" x14ac:dyDescent="0.25">
      <c r="A1" s="2" t="s">
        <v>361</v>
      </c>
    </row>
    <row r="2" spans="1:22" ht="15" customHeight="1" x14ac:dyDescent="0.25">
      <c r="A2" s="19" t="s">
        <v>362</v>
      </c>
      <c r="B2" s="19"/>
      <c r="C2" s="19"/>
      <c r="D2" s="19"/>
      <c r="E2" s="19"/>
      <c r="F2" s="19"/>
      <c r="G2" s="19"/>
      <c r="H2" s="19"/>
    </row>
    <row r="4" spans="1:22" ht="26.25" customHeight="1" x14ac:dyDescent="0.25">
      <c r="A4" s="3" t="s">
        <v>279</v>
      </c>
      <c r="B4" s="3" t="s">
        <v>363</v>
      </c>
      <c r="C4" s="3" t="s">
        <v>364</v>
      </c>
      <c r="D4" s="3" t="s">
        <v>365</v>
      </c>
      <c r="E4" s="3" t="s">
        <v>366</v>
      </c>
      <c r="F4" s="3" t="s">
        <v>367</v>
      </c>
      <c r="G4" s="3" t="s">
        <v>368</v>
      </c>
      <c r="H4" s="3" t="s">
        <v>369</v>
      </c>
      <c r="I4" s="3" t="s">
        <v>370</v>
      </c>
      <c r="J4" s="3" t="s">
        <v>371</v>
      </c>
      <c r="K4" s="3" t="s">
        <v>372</v>
      </c>
      <c r="L4" s="3" t="s">
        <v>373</v>
      </c>
      <c r="M4" s="3" t="s">
        <v>374</v>
      </c>
      <c r="N4" s="3" t="s">
        <v>375</v>
      </c>
      <c r="O4" s="3" t="s">
        <v>376</v>
      </c>
      <c r="P4" s="3" t="s">
        <v>377</v>
      </c>
      <c r="Q4" s="3" t="s">
        <v>378</v>
      </c>
      <c r="R4" s="3" t="s">
        <v>379</v>
      </c>
      <c r="S4" s="3" t="s">
        <v>380</v>
      </c>
      <c r="T4" s="3" t="s">
        <v>381</v>
      </c>
      <c r="U4" s="3" t="s">
        <v>382</v>
      </c>
      <c r="V4" s="3" t="s">
        <v>299</v>
      </c>
    </row>
    <row r="6" spans="1:22" ht="15" customHeight="1" x14ac:dyDescent="0.25">
      <c r="A6" s="4" t="str">
        <f>IFERROR(INDEX(Players!$D$6:$D$69,MATCH(V6,Players!$A$6:$A$69,0)),"")</f>
        <v>Amie M.</v>
      </c>
      <c r="B6" s="4">
        <f>IFERROR(INDEX(Picks_W1!$AF$6:$AF$69,MATCH($V6,Picks_W1!$AH$6:$AH$69,0)),0)</f>
        <v>11</v>
      </c>
      <c r="C6" s="4">
        <f>IFERROR(INDEX(Picks_W2!$AF$6:$AF$69,MATCH($V6,Picks_W2!$AH$6:$AH$69,0)),0)</f>
        <v>9</v>
      </c>
      <c r="D6" s="4">
        <f>IFERROR(INDEX(Picks_W3!$AF$6:$AF$69,MATCH($V6,Picks_W3!$AH$6:$AH$69,0)),0)</f>
        <v>0</v>
      </c>
      <c r="E6" s="4">
        <f>IFERROR(INDEX(Picks_W4!$AF$6:$AF$69,MATCH($V6,Picks_W4!$AH$6:$AH$69,0)),0)</f>
        <v>0</v>
      </c>
      <c r="F6" s="4">
        <f>IFERROR(INDEX(Picks_W5!$AF$6:$AF$69,MATCH($V6,Picks_W5!$AH$6:$AH$69,0)),0)</f>
        <v>0</v>
      </c>
      <c r="G6" s="4">
        <f>IFERROR(INDEX(Picks_W6!$AF$6:$AF$69,MATCH($V6,Picks_W6!$AH$6:$AH$69,0)),0)</f>
        <v>0</v>
      </c>
      <c r="H6" s="4">
        <f>IFERROR(INDEX(Picks_W7!$AF$6:$AF$69,MATCH($V6,Picks_W7!$AH$6:$AH$69,0)),0)</f>
        <v>0</v>
      </c>
      <c r="I6" s="4">
        <f>IFERROR(INDEX(Picks_W8!$AF$6:$AF$69,MATCH($V6,Picks_W8!$AH$6:$AH$69,0)),0)</f>
        <v>0</v>
      </c>
      <c r="J6" s="4">
        <f>IFERROR(INDEX(Picks_W9!$AF$6:$AF$69,MATCH($V6,Picks_W9!$AH$6:$AH$69,0)),0)</f>
        <v>0</v>
      </c>
      <c r="K6" s="4">
        <f>IFERROR(INDEX(Picks_W10!$AF$6:$AF$69,MATCH($V6,Picks_W10!$AH$6:$AH$69,0)),0)</f>
        <v>0</v>
      </c>
      <c r="L6" s="4">
        <f>IFERROR(INDEX(Picks_W11!$AF$6:$AF$69,MATCH($V6,Picks_W11!$AH$6:$AH$69,0)),0)</f>
        <v>0</v>
      </c>
      <c r="M6" s="4">
        <f>IFERROR(INDEX(Picks_W12!$AF$6:$AF$69,MATCH($V6,Picks_W12!$AH$6:$AH$69,0)),0)</f>
        <v>0</v>
      </c>
      <c r="N6" s="4">
        <f>IFERROR(INDEX(Picks_W13!$AF$6:$AF$69,MATCH($V6,Picks_W13!$AH$6:$AH$69,0)),0)</f>
        <v>0</v>
      </c>
      <c r="O6" s="4">
        <f t="shared" ref="O6:O37" si="0">SUM(B6:N6)</f>
        <v>20</v>
      </c>
      <c r="P6" s="4">
        <f>(IFERROR(INDEX(Picks_W1!$AF$6:$AF$69,MATCH($V6,Picks_W1!$AH$6:$AH$69,0)),"")=Results!$B$21)*(IFERROR(INDEX(Picks_W1!$AG$6:$AG$69,MATCH($V6,Picks_W1!$AH$6:$AH$69,0)),"")=Results!$C$21)+(IFERROR(INDEX(Picks_W2!$AF$6:$AF$69,MATCH($V6,Picks_W2!$AH$6:$AH$69,0)),"")=Results!$B$22)*(IFERROR(INDEX(Picks_W2!$AG$6:$AG$69,MATCH($V6,Picks_W2!$AH$6:$AH$69,0)),"")=Results!$C$22)+(IFERROR(INDEX(Picks_W3!$AF$6:$AF$69,MATCH($V6,Picks_W3!$AH$6:$AH$69,0)),"")=Results!$B$23)*(IFERROR(INDEX(Picks_W3!$AG$6:$AG$69,MATCH($V6,Picks_W3!$AH$6:$AH$69,0)),"")=Results!$C$23)+(IFERROR(INDEX(Picks_W4!$AF$6:$AF$69,MATCH($V6,Picks_W4!$AH$6:$AH$69,0)),"")=Results!$B$24)*(IFERROR(INDEX(Picks_W4!$AG$6:$AG$69,MATCH($V6,Picks_W4!$AH$6:$AH$69,0)),"")=Results!$C$24)+(IFERROR(INDEX(Picks_W5!$AF$6:$AF$69,MATCH($V6,Picks_W5!$AH$6:$AH$69,0)),"")=Results!$B$25)*(IFERROR(INDEX(Picks_W5!$AG$6:$AG$69,MATCH($V6,Picks_W5!$AH$6:$AH$69,0)),"")=Results!$C$25)+(IFERROR(INDEX(Picks_W6!$AF$6:$AF$69,MATCH($V6,Picks_W6!$AH$6:$AH$69,0)),"")=Results!$B$26)*(IFERROR(INDEX(Picks_W6!$AG$6:$AG$69,MATCH($V6,Picks_W6!$AH$6:$AH$69,0)),"")=Results!$C$26)+(IFERROR(INDEX(Picks_W7!$AF$6:$AF$69,MATCH($V6,Picks_W7!$AH$6:$AH$69,0)),"")=Results!$B$27)*(IFERROR(INDEX(Picks_W7!$AG$6:$AG$69,MATCH($V6,Picks_W7!$AH$6:$AH$69,0)),"")=Results!$C$27)+(IFERROR(INDEX(Picks_W8!$AF$6:$AF$69,MATCH($V6,Picks_W8!$AH$6:$AH$69,0)),"")=Results!$B$28)*(IFERROR(INDEX(Picks_W8!$AG$6:$AG$69,MATCH($V6,Picks_W8!$AH$6:$AH$69,0)),"")=Results!$C$28)+(IFERROR(INDEX(Picks_W9!$AF$6:$AF$69,MATCH($V6,Picks_W9!$AH$6:$AH$69,0)),"")=Results!$B$29)*(IFERROR(INDEX(Picks_W9!$AG$6:$AG$69,MATCH($V6,Picks_W9!$AH$6:$AH$69,0)),"")=Results!$C$29)+(IFERROR(INDEX(Picks_W10!$AF$6:$AF$69,MATCH($V6,Picks_W10!$AH$6:$AH$69,0)),"")=Results!$B$30)*(IFERROR(INDEX(Picks_W10!$AG$6:$AG$69,MATCH($V6,Picks_W10!$AH$6:$AH$69,0)),"")=Results!$C$30)+(IFERROR(INDEX(Picks_W11!$AF$6:$AF$69,MATCH($V6,Picks_W11!$AH$6:$AH$69,0)),"")=Results!$B$31)*(IFERROR(INDEX(Picks_W11!$AG$6:$AG$69,MATCH($V6,Picks_W11!$AH$6:$AH$69,0)),"")=Results!$C$31)+(IFERROR(INDEX(Picks_W12!$AF$6:$AF$69,MATCH($V6,Picks_W12!$AH$6:$AH$69,0)),"")=Results!$B$32)*(IFERROR(INDEX(Picks_W12!$AG$6:$AG$69,MATCH($V6,Picks_W12!$AH$6:$AH$69,0)),"")=Results!$C$32)+(IFERROR(INDEX(Picks_W13!$AF$6:$AF$69,MATCH($V6,Picks_W13!$AH$6:$AH$69,0)),"")=Results!$B$33)*(IFERROR(INDEX(Picks_W13!$AG$6:$AG$69,MATCH($V6,Picks_W13!$AH$6:$AH$69,0)),"")=Results!$C$33)</f>
        <v>0</v>
      </c>
      <c r="Q6" s="4">
        <f t="shared" ref="Q6:Q37" si="1">IF(COUNT(B6:N6)=0,0,MAX(B6:N6))</f>
        <v>11</v>
      </c>
      <c r="R6" s="4">
        <f t="shared" ref="R6:R37" si="2">IF(COUNT(B6:N6)=0,0,MIN(B6:N6))</f>
        <v>0</v>
      </c>
      <c r="S6" s="4">
        <f t="shared" ref="S6:S37" si="3">O6+(U6/1000)-(ROW()*0.0000001)</f>
        <v>19.9999994</v>
      </c>
      <c r="T6" s="4">
        <f>IFERROR(INDEX(Picks_W1!$AV$6:$AV$69,MATCH($V6,Picks_W1!$AH$6:$AH$69,0)),0)+IFERROR(INDEX(Picks_W2!$AV$6:$AV$69,MATCH($V6,Picks_W2!$AH$6:$AH$69,0)),0)+IFERROR(INDEX(Picks_W3!$AV$6:$AV$69,MATCH($V6,Picks_W3!$AH$6:$AH$69,0)),0)+IFERROR(INDEX(Picks_W4!$AV$6:$AV$69,MATCH($V6,Picks_W4!$AH$6:$AH$69,0)),0)+IFERROR(INDEX(Picks_W5!$AV$6:$AV$69,MATCH($V6,Picks_W5!$AH$6:$AH$69,0)),0)+IFERROR(INDEX(Picks_W6!$AV$6:$AV$69,MATCH($V6,Picks_W6!$AH$6:$AH$69,0)),0)+IFERROR(INDEX(Picks_W7!$AV$6:$AV$69,MATCH($V6,Picks_W7!$AH$6:$AH$69,0)),0)+IFERROR(INDEX(Picks_W8!$AV$6:$AV$69,MATCH($V6,Picks_W8!$AH$6:$AH$69,0)),0)+IFERROR(INDEX(Picks_W9!$AV$6:$AV$69,MATCH($V6,Picks_W9!$AH$6:$AH$69,0)),0)+IFERROR(INDEX(Picks_W10!$AV$6:$AV$69,MATCH($V6,Picks_W10!$AH$6:$AH$69,0)),0)+IFERROR(INDEX(Picks_W11!$AV$6:$AV$69,MATCH($V6,Picks_W11!$AH$6:$AH$69,0)),0)+IFERROR(INDEX(Picks_W12!$AV$6:$AV$69,MATCH($V6,Picks_W12!$AH$6:$AH$69,0)),0)+IFERROR(INDEX(Picks_W13!$AV$6:$AV$69,MATCH($V6,Picks_W13!$AH$6:$AH$69,0)),0)</f>
        <v>0</v>
      </c>
      <c r="U6" s="17">
        <f>IF(Results!$B$35=0,0,T6/Results!$B$35)</f>
        <v>0</v>
      </c>
      <c r="V6" s="4">
        <v>2</v>
      </c>
    </row>
    <row r="7" spans="1:22" ht="15" customHeight="1" x14ac:dyDescent="0.25">
      <c r="A7" s="4" t="str">
        <f>IFERROR(INDEX(Players!$D$6:$D$69,MATCH(V7,Players!$A$6:$A$69,0)),"")</f>
        <v>Andy K.</v>
      </c>
      <c r="B7" s="4">
        <f>IFERROR(INDEX(Picks_W1!$AF$6:$AF$69,MATCH($V7,Picks_W1!$AH$6:$AH$69,0)),0)</f>
        <v>11</v>
      </c>
      <c r="C7" s="4">
        <f>IFERROR(INDEX(Picks_W2!$AF$6:$AF$69,MATCH($V7,Picks_W2!$AH$6:$AH$69,0)),0)</f>
        <v>7</v>
      </c>
      <c r="D7" s="4">
        <f>IFERROR(INDEX(Picks_W3!$AF$6:$AF$69,MATCH($V7,Picks_W3!$AH$6:$AH$69,0)),0)</f>
        <v>0</v>
      </c>
      <c r="E7" s="4">
        <f>IFERROR(INDEX(Picks_W4!$AF$6:$AF$69,MATCH($V7,Picks_W4!$AH$6:$AH$69,0)),0)</f>
        <v>0</v>
      </c>
      <c r="F7" s="4">
        <f>IFERROR(INDEX(Picks_W5!$AF$6:$AF$69,MATCH($V7,Picks_W5!$AH$6:$AH$69,0)),0)</f>
        <v>0</v>
      </c>
      <c r="G7" s="4">
        <f>IFERROR(INDEX(Picks_W6!$AF$6:$AF$69,MATCH($V7,Picks_W6!$AH$6:$AH$69,0)),0)</f>
        <v>0</v>
      </c>
      <c r="H7" s="4">
        <f>IFERROR(INDEX(Picks_W7!$AF$6:$AF$69,MATCH($V7,Picks_W7!$AH$6:$AH$69,0)),0)</f>
        <v>0</v>
      </c>
      <c r="I7" s="4">
        <f>IFERROR(INDEX(Picks_W8!$AF$6:$AF$69,MATCH($V7,Picks_W8!$AH$6:$AH$69,0)),0)</f>
        <v>0</v>
      </c>
      <c r="J7" s="4">
        <f>IFERROR(INDEX(Picks_W9!$AF$6:$AF$69,MATCH($V7,Picks_W9!$AH$6:$AH$69,0)),0)</f>
        <v>0</v>
      </c>
      <c r="K7" s="4">
        <f>IFERROR(INDEX(Picks_W10!$AF$6:$AF$69,MATCH($V7,Picks_W10!$AH$6:$AH$69,0)),0)</f>
        <v>0</v>
      </c>
      <c r="L7" s="4">
        <f>IFERROR(INDEX(Picks_W11!$AF$6:$AF$69,MATCH($V7,Picks_W11!$AH$6:$AH$69,0)),0)</f>
        <v>0</v>
      </c>
      <c r="M7" s="4">
        <f>IFERROR(INDEX(Picks_W12!$AF$6:$AF$69,MATCH($V7,Picks_W12!$AH$6:$AH$69,0)),0)</f>
        <v>0</v>
      </c>
      <c r="N7" s="4">
        <f>IFERROR(INDEX(Picks_W13!$AF$6:$AF$69,MATCH($V7,Picks_W13!$AH$6:$AH$69,0)),0)</f>
        <v>0</v>
      </c>
      <c r="O7" s="4">
        <f t="shared" si="0"/>
        <v>18</v>
      </c>
      <c r="P7" s="4">
        <f>(IFERROR(INDEX(Picks_W1!$AF$6:$AF$69,MATCH($V7,Picks_W1!$AH$6:$AH$69,0)),"")=Results!$B$21)*(IFERROR(INDEX(Picks_W1!$AG$6:$AG$69,MATCH($V7,Picks_W1!$AH$6:$AH$69,0)),"")=Results!$C$21)+(IFERROR(INDEX(Picks_W2!$AF$6:$AF$69,MATCH($V7,Picks_W2!$AH$6:$AH$69,0)),"")=Results!$B$22)*(IFERROR(INDEX(Picks_W2!$AG$6:$AG$69,MATCH($V7,Picks_W2!$AH$6:$AH$69,0)),"")=Results!$C$22)+(IFERROR(INDEX(Picks_W3!$AF$6:$AF$69,MATCH($V7,Picks_W3!$AH$6:$AH$69,0)),"")=Results!$B$23)*(IFERROR(INDEX(Picks_W3!$AG$6:$AG$69,MATCH($V7,Picks_W3!$AH$6:$AH$69,0)),"")=Results!$C$23)+(IFERROR(INDEX(Picks_W4!$AF$6:$AF$69,MATCH($V7,Picks_W4!$AH$6:$AH$69,0)),"")=Results!$B$24)*(IFERROR(INDEX(Picks_W4!$AG$6:$AG$69,MATCH($V7,Picks_W4!$AH$6:$AH$69,0)),"")=Results!$C$24)+(IFERROR(INDEX(Picks_W5!$AF$6:$AF$69,MATCH($V7,Picks_W5!$AH$6:$AH$69,0)),"")=Results!$B$25)*(IFERROR(INDEX(Picks_W5!$AG$6:$AG$69,MATCH($V7,Picks_W5!$AH$6:$AH$69,0)),"")=Results!$C$25)+(IFERROR(INDEX(Picks_W6!$AF$6:$AF$69,MATCH($V7,Picks_W6!$AH$6:$AH$69,0)),"")=Results!$B$26)*(IFERROR(INDEX(Picks_W6!$AG$6:$AG$69,MATCH($V7,Picks_W6!$AH$6:$AH$69,0)),"")=Results!$C$26)+(IFERROR(INDEX(Picks_W7!$AF$6:$AF$69,MATCH($V7,Picks_W7!$AH$6:$AH$69,0)),"")=Results!$B$27)*(IFERROR(INDEX(Picks_W7!$AG$6:$AG$69,MATCH($V7,Picks_W7!$AH$6:$AH$69,0)),"")=Results!$C$27)+(IFERROR(INDEX(Picks_W8!$AF$6:$AF$69,MATCH($V7,Picks_W8!$AH$6:$AH$69,0)),"")=Results!$B$28)*(IFERROR(INDEX(Picks_W8!$AG$6:$AG$69,MATCH($V7,Picks_W8!$AH$6:$AH$69,0)),"")=Results!$C$28)+(IFERROR(INDEX(Picks_W9!$AF$6:$AF$69,MATCH($V7,Picks_W9!$AH$6:$AH$69,0)),"")=Results!$B$29)*(IFERROR(INDEX(Picks_W9!$AG$6:$AG$69,MATCH($V7,Picks_W9!$AH$6:$AH$69,0)),"")=Results!$C$29)+(IFERROR(INDEX(Picks_W10!$AF$6:$AF$69,MATCH($V7,Picks_W10!$AH$6:$AH$69,0)),"")=Results!$B$30)*(IFERROR(INDEX(Picks_W10!$AG$6:$AG$69,MATCH($V7,Picks_W10!$AH$6:$AH$69,0)),"")=Results!$C$30)+(IFERROR(INDEX(Picks_W11!$AF$6:$AF$69,MATCH($V7,Picks_W11!$AH$6:$AH$69,0)),"")=Results!$B$31)*(IFERROR(INDEX(Picks_W11!$AG$6:$AG$69,MATCH($V7,Picks_W11!$AH$6:$AH$69,0)),"")=Results!$C$31)+(IFERROR(INDEX(Picks_W12!$AF$6:$AF$69,MATCH($V7,Picks_W12!$AH$6:$AH$69,0)),"")=Results!$B$32)*(IFERROR(INDEX(Picks_W12!$AG$6:$AG$69,MATCH($V7,Picks_W12!$AH$6:$AH$69,0)),"")=Results!$C$32)+(IFERROR(INDEX(Picks_W13!$AF$6:$AF$69,MATCH($V7,Picks_W13!$AH$6:$AH$69,0)),"")=Results!$B$33)*(IFERROR(INDEX(Picks_W13!$AG$6:$AG$69,MATCH($V7,Picks_W13!$AH$6:$AH$69,0)),"")=Results!$C$33)</f>
        <v>0</v>
      </c>
      <c r="Q7" s="4">
        <f t="shared" si="1"/>
        <v>11</v>
      </c>
      <c r="R7" s="4">
        <f t="shared" si="2"/>
        <v>0</v>
      </c>
      <c r="S7" s="4">
        <f t="shared" si="3"/>
        <v>18.0001243</v>
      </c>
      <c r="T7" s="4">
        <f>IFERROR(INDEX(Picks_W1!$AV$6:$AV$69,MATCH($V7,Picks_W1!$AH$6:$AH$69,0)),0)+IFERROR(INDEX(Picks_W2!$AV$6:$AV$69,MATCH($V7,Picks_W2!$AH$6:$AH$69,0)),0)+IFERROR(INDEX(Picks_W3!$AV$6:$AV$69,MATCH($V7,Picks_W3!$AH$6:$AH$69,0)),0)+IFERROR(INDEX(Picks_W4!$AV$6:$AV$69,MATCH($V7,Picks_W4!$AH$6:$AH$69,0)),0)+IFERROR(INDEX(Picks_W5!$AV$6:$AV$69,MATCH($V7,Picks_W5!$AH$6:$AH$69,0)),0)+IFERROR(INDEX(Picks_W6!$AV$6:$AV$69,MATCH($V7,Picks_W6!$AH$6:$AH$69,0)),0)+IFERROR(INDEX(Picks_W7!$AV$6:$AV$69,MATCH($V7,Picks_W7!$AH$6:$AH$69,0)),0)+IFERROR(INDEX(Picks_W8!$AV$6:$AV$69,MATCH($V7,Picks_W8!$AH$6:$AH$69,0)),0)+IFERROR(INDEX(Picks_W9!$AV$6:$AV$69,MATCH($V7,Picks_W9!$AH$6:$AH$69,0)),0)+IFERROR(INDEX(Picks_W10!$AV$6:$AV$69,MATCH($V7,Picks_W10!$AH$6:$AH$69,0)),0)+IFERROR(INDEX(Picks_W11!$AV$6:$AV$69,MATCH($V7,Picks_W11!$AH$6:$AH$69,0)),0)+IFERROR(INDEX(Picks_W12!$AV$6:$AV$69,MATCH($V7,Picks_W12!$AH$6:$AH$69,0)),0)+IFERROR(INDEX(Picks_W13!$AV$6:$AV$69,MATCH($V7,Picks_W13!$AH$6:$AH$69,0)),0)</f>
        <v>1</v>
      </c>
      <c r="U7" s="17">
        <f>IF(Results!$B$35=0,0,T7/Results!$B$35)</f>
        <v>0.125</v>
      </c>
      <c r="V7" s="4">
        <v>53</v>
      </c>
    </row>
    <row r="8" spans="1:22" ht="15" customHeight="1" x14ac:dyDescent="0.25">
      <c r="A8" s="4" t="str">
        <f>IFERROR(INDEX(Players!$D$6:$D$69,MATCH(V8,Players!$A$6:$A$69,0)),"")</f>
        <v>Bryan C.</v>
      </c>
      <c r="B8" s="4">
        <f>IFERROR(INDEX(Picks_W1!$AF$6:$AF$69,MATCH($V8,Picks_W1!$AH$6:$AH$69,0)),0)</f>
        <v>13</v>
      </c>
      <c r="C8" s="4">
        <f>IFERROR(INDEX(Picks_W2!$AF$6:$AF$69,MATCH($V8,Picks_W2!$AH$6:$AH$69,0)),0)</f>
        <v>9</v>
      </c>
      <c r="D8" s="4">
        <f>IFERROR(INDEX(Picks_W3!$AF$6:$AF$69,MATCH($V8,Picks_W3!$AH$6:$AH$69,0)),0)</f>
        <v>0</v>
      </c>
      <c r="E8" s="4">
        <f>IFERROR(INDEX(Picks_W4!$AF$6:$AF$69,MATCH($V8,Picks_W4!$AH$6:$AH$69,0)),0)</f>
        <v>0</v>
      </c>
      <c r="F8" s="4">
        <f>IFERROR(INDEX(Picks_W5!$AF$6:$AF$69,MATCH($V8,Picks_W5!$AH$6:$AH$69,0)),0)</f>
        <v>0</v>
      </c>
      <c r="G8" s="4">
        <f>IFERROR(INDEX(Picks_W6!$AF$6:$AF$69,MATCH($V8,Picks_W6!$AH$6:$AH$69,0)),0)</f>
        <v>0</v>
      </c>
      <c r="H8" s="4">
        <f>IFERROR(INDEX(Picks_W7!$AF$6:$AF$69,MATCH($V8,Picks_W7!$AH$6:$AH$69,0)),0)</f>
        <v>0</v>
      </c>
      <c r="I8" s="4">
        <f>IFERROR(INDEX(Picks_W8!$AF$6:$AF$69,MATCH($V8,Picks_W8!$AH$6:$AH$69,0)),0)</f>
        <v>0</v>
      </c>
      <c r="J8" s="4">
        <f>IFERROR(INDEX(Picks_W9!$AF$6:$AF$69,MATCH($V8,Picks_W9!$AH$6:$AH$69,0)),0)</f>
        <v>0</v>
      </c>
      <c r="K8" s="4">
        <f>IFERROR(INDEX(Picks_W10!$AF$6:$AF$69,MATCH($V8,Picks_W10!$AH$6:$AH$69,0)),0)</f>
        <v>0</v>
      </c>
      <c r="L8" s="4">
        <f>IFERROR(INDEX(Picks_W11!$AF$6:$AF$69,MATCH($V8,Picks_W11!$AH$6:$AH$69,0)),0)</f>
        <v>0</v>
      </c>
      <c r="M8" s="4">
        <f>IFERROR(INDEX(Picks_W12!$AF$6:$AF$69,MATCH($V8,Picks_W12!$AH$6:$AH$69,0)),0)</f>
        <v>0</v>
      </c>
      <c r="N8" s="4">
        <f>IFERROR(INDEX(Picks_W13!$AF$6:$AF$69,MATCH($V8,Picks_W13!$AH$6:$AH$69,0)),0)</f>
        <v>0</v>
      </c>
      <c r="O8" s="4">
        <f t="shared" si="0"/>
        <v>22</v>
      </c>
      <c r="P8" s="4">
        <f>(IFERROR(INDEX(Picks_W1!$AF$6:$AF$69,MATCH($V8,Picks_W1!$AH$6:$AH$69,0)),"")=Results!$B$21)*(IFERROR(INDEX(Picks_W1!$AG$6:$AG$69,MATCH($V8,Picks_W1!$AH$6:$AH$69,0)),"")=Results!$C$21)+(IFERROR(INDEX(Picks_W2!$AF$6:$AF$69,MATCH($V8,Picks_W2!$AH$6:$AH$69,0)),"")=Results!$B$22)*(IFERROR(INDEX(Picks_W2!$AG$6:$AG$69,MATCH($V8,Picks_W2!$AH$6:$AH$69,0)),"")=Results!$C$22)+(IFERROR(INDEX(Picks_W3!$AF$6:$AF$69,MATCH($V8,Picks_W3!$AH$6:$AH$69,0)),"")=Results!$B$23)*(IFERROR(INDEX(Picks_W3!$AG$6:$AG$69,MATCH($V8,Picks_W3!$AH$6:$AH$69,0)),"")=Results!$C$23)+(IFERROR(INDEX(Picks_W4!$AF$6:$AF$69,MATCH($V8,Picks_W4!$AH$6:$AH$69,0)),"")=Results!$B$24)*(IFERROR(INDEX(Picks_W4!$AG$6:$AG$69,MATCH($V8,Picks_W4!$AH$6:$AH$69,0)),"")=Results!$C$24)+(IFERROR(INDEX(Picks_W5!$AF$6:$AF$69,MATCH($V8,Picks_W5!$AH$6:$AH$69,0)),"")=Results!$B$25)*(IFERROR(INDEX(Picks_W5!$AG$6:$AG$69,MATCH($V8,Picks_W5!$AH$6:$AH$69,0)),"")=Results!$C$25)+(IFERROR(INDEX(Picks_W6!$AF$6:$AF$69,MATCH($V8,Picks_W6!$AH$6:$AH$69,0)),"")=Results!$B$26)*(IFERROR(INDEX(Picks_W6!$AG$6:$AG$69,MATCH($V8,Picks_W6!$AH$6:$AH$69,0)),"")=Results!$C$26)+(IFERROR(INDEX(Picks_W7!$AF$6:$AF$69,MATCH($V8,Picks_W7!$AH$6:$AH$69,0)),"")=Results!$B$27)*(IFERROR(INDEX(Picks_W7!$AG$6:$AG$69,MATCH($V8,Picks_W7!$AH$6:$AH$69,0)),"")=Results!$C$27)+(IFERROR(INDEX(Picks_W8!$AF$6:$AF$69,MATCH($V8,Picks_W8!$AH$6:$AH$69,0)),"")=Results!$B$28)*(IFERROR(INDEX(Picks_W8!$AG$6:$AG$69,MATCH($V8,Picks_W8!$AH$6:$AH$69,0)),"")=Results!$C$28)+(IFERROR(INDEX(Picks_W9!$AF$6:$AF$69,MATCH($V8,Picks_W9!$AH$6:$AH$69,0)),"")=Results!$B$29)*(IFERROR(INDEX(Picks_W9!$AG$6:$AG$69,MATCH($V8,Picks_W9!$AH$6:$AH$69,0)),"")=Results!$C$29)+(IFERROR(INDEX(Picks_W10!$AF$6:$AF$69,MATCH($V8,Picks_W10!$AH$6:$AH$69,0)),"")=Results!$B$30)*(IFERROR(INDEX(Picks_W10!$AG$6:$AG$69,MATCH($V8,Picks_W10!$AH$6:$AH$69,0)),"")=Results!$C$30)+(IFERROR(INDEX(Picks_W11!$AF$6:$AF$69,MATCH($V8,Picks_W11!$AH$6:$AH$69,0)),"")=Results!$B$31)*(IFERROR(INDEX(Picks_W11!$AG$6:$AG$69,MATCH($V8,Picks_W11!$AH$6:$AH$69,0)),"")=Results!$C$31)+(IFERROR(INDEX(Picks_W12!$AF$6:$AF$69,MATCH($V8,Picks_W12!$AH$6:$AH$69,0)),"")=Results!$B$32)*(IFERROR(INDEX(Picks_W12!$AG$6:$AG$69,MATCH($V8,Picks_W12!$AH$6:$AH$69,0)),"")=Results!$C$32)+(IFERROR(INDEX(Picks_W13!$AF$6:$AF$69,MATCH($V8,Picks_W13!$AH$6:$AH$69,0)),"")=Results!$B$33)*(IFERROR(INDEX(Picks_W13!$AG$6:$AG$69,MATCH($V8,Picks_W13!$AH$6:$AH$69,0)),"")=Results!$C$33)</f>
        <v>0</v>
      </c>
      <c r="Q8" s="4">
        <f t="shared" si="1"/>
        <v>13</v>
      </c>
      <c r="R8" s="4">
        <f t="shared" si="2"/>
        <v>0</v>
      </c>
      <c r="S8" s="4">
        <f t="shared" si="3"/>
        <v>22.000124200000002</v>
      </c>
      <c r="T8" s="4">
        <f>IFERROR(INDEX(Picks_W1!$AV$6:$AV$69,MATCH($V8,Picks_W1!$AH$6:$AH$69,0)),0)+IFERROR(INDEX(Picks_W2!$AV$6:$AV$69,MATCH($V8,Picks_W2!$AH$6:$AH$69,0)),0)+IFERROR(INDEX(Picks_W3!$AV$6:$AV$69,MATCH($V8,Picks_W3!$AH$6:$AH$69,0)),0)+IFERROR(INDEX(Picks_W4!$AV$6:$AV$69,MATCH($V8,Picks_W4!$AH$6:$AH$69,0)),0)+IFERROR(INDEX(Picks_W5!$AV$6:$AV$69,MATCH($V8,Picks_W5!$AH$6:$AH$69,0)),0)+IFERROR(INDEX(Picks_W6!$AV$6:$AV$69,MATCH($V8,Picks_W6!$AH$6:$AH$69,0)),0)+IFERROR(INDEX(Picks_W7!$AV$6:$AV$69,MATCH($V8,Picks_W7!$AH$6:$AH$69,0)),0)+IFERROR(INDEX(Picks_W8!$AV$6:$AV$69,MATCH($V8,Picks_W8!$AH$6:$AH$69,0)),0)+IFERROR(INDEX(Picks_W9!$AV$6:$AV$69,MATCH($V8,Picks_W9!$AH$6:$AH$69,0)),0)+IFERROR(INDEX(Picks_W10!$AV$6:$AV$69,MATCH($V8,Picks_W10!$AH$6:$AH$69,0)),0)+IFERROR(INDEX(Picks_W11!$AV$6:$AV$69,MATCH($V8,Picks_W11!$AH$6:$AH$69,0)),0)+IFERROR(INDEX(Picks_W12!$AV$6:$AV$69,MATCH($V8,Picks_W12!$AH$6:$AH$69,0)),0)+IFERROR(INDEX(Picks_W13!$AV$6:$AV$69,MATCH($V8,Picks_W13!$AH$6:$AH$69,0)),0)</f>
        <v>1</v>
      </c>
      <c r="U8" s="17">
        <f>IF(Results!$B$35=0,0,T8/Results!$B$35)</f>
        <v>0.125</v>
      </c>
      <c r="V8" s="4">
        <v>61</v>
      </c>
    </row>
    <row r="9" spans="1:22" ht="15" customHeight="1" x14ac:dyDescent="0.25">
      <c r="A9" s="4" t="str">
        <f>IFERROR(INDEX(Players!$D$6:$D$69,MATCH(V9,Players!$A$6:$A$69,0)),"")</f>
        <v>Bryan M.</v>
      </c>
      <c r="B9" s="4">
        <f>IFERROR(INDEX(Picks_W1!$AF$6:$AF$69,MATCH($V9,Picks_W1!$AH$6:$AH$69,0)),0)</f>
        <v>12</v>
      </c>
      <c r="C9" s="4">
        <f>IFERROR(INDEX(Picks_W2!$AF$6:$AF$69,MATCH($V9,Picks_W2!$AH$6:$AH$69,0)),0)</f>
        <v>9</v>
      </c>
      <c r="D9" s="4">
        <f>IFERROR(INDEX(Picks_W3!$AF$6:$AF$69,MATCH($V9,Picks_W3!$AH$6:$AH$69,0)),0)</f>
        <v>0</v>
      </c>
      <c r="E9" s="4">
        <f>IFERROR(INDEX(Picks_W4!$AF$6:$AF$69,MATCH($V9,Picks_W4!$AH$6:$AH$69,0)),0)</f>
        <v>0</v>
      </c>
      <c r="F9" s="4">
        <f>IFERROR(INDEX(Picks_W5!$AF$6:$AF$69,MATCH($V9,Picks_W5!$AH$6:$AH$69,0)),0)</f>
        <v>0</v>
      </c>
      <c r="G9" s="4">
        <f>IFERROR(INDEX(Picks_W6!$AF$6:$AF$69,MATCH($V9,Picks_W6!$AH$6:$AH$69,0)),0)</f>
        <v>0</v>
      </c>
      <c r="H9" s="4">
        <f>IFERROR(INDEX(Picks_W7!$AF$6:$AF$69,MATCH($V9,Picks_W7!$AH$6:$AH$69,0)),0)</f>
        <v>0</v>
      </c>
      <c r="I9" s="4">
        <f>IFERROR(INDEX(Picks_W8!$AF$6:$AF$69,MATCH($V9,Picks_W8!$AH$6:$AH$69,0)),0)</f>
        <v>0</v>
      </c>
      <c r="J9" s="4">
        <f>IFERROR(INDEX(Picks_W9!$AF$6:$AF$69,MATCH($V9,Picks_W9!$AH$6:$AH$69,0)),0)</f>
        <v>0</v>
      </c>
      <c r="K9" s="4">
        <f>IFERROR(INDEX(Picks_W10!$AF$6:$AF$69,MATCH($V9,Picks_W10!$AH$6:$AH$69,0)),0)</f>
        <v>0</v>
      </c>
      <c r="L9" s="4">
        <f>IFERROR(INDEX(Picks_W11!$AF$6:$AF$69,MATCH($V9,Picks_W11!$AH$6:$AH$69,0)),0)</f>
        <v>0</v>
      </c>
      <c r="M9" s="4">
        <f>IFERROR(INDEX(Picks_W12!$AF$6:$AF$69,MATCH($V9,Picks_W12!$AH$6:$AH$69,0)),0)</f>
        <v>0</v>
      </c>
      <c r="N9" s="4">
        <f>IFERROR(INDEX(Picks_W13!$AF$6:$AF$69,MATCH($V9,Picks_W13!$AH$6:$AH$69,0)),0)</f>
        <v>0</v>
      </c>
      <c r="O9" s="4">
        <f t="shared" si="0"/>
        <v>21</v>
      </c>
      <c r="P9" s="4">
        <f>(IFERROR(INDEX(Picks_W1!$AF$6:$AF$69,MATCH($V9,Picks_W1!$AH$6:$AH$69,0)),"")=Results!$B$21)*(IFERROR(INDEX(Picks_W1!$AG$6:$AG$69,MATCH($V9,Picks_W1!$AH$6:$AH$69,0)),"")=Results!$C$21)+(IFERROR(INDEX(Picks_W2!$AF$6:$AF$69,MATCH($V9,Picks_W2!$AH$6:$AH$69,0)),"")=Results!$B$22)*(IFERROR(INDEX(Picks_W2!$AG$6:$AG$69,MATCH($V9,Picks_W2!$AH$6:$AH$69,0)),"")=Results!$C$22)+(IFERROR(INDEX(Picks_W3!$AF$6:$AF$69,MATCH($V9,Picks_W3!$AH$6:$AH$69,0)),"")=Results!$B$23)*(IFERROR(INDEX(Picks_W3!$AG$6:$AG$69,MATCH($V9,Picks_W3!$AH$6:$AH$69,0)),"")=Results!$C$23)+(IFERROR(INDEX(Picks_W4!$AF$6:$AF$69,MATCH($V9,Picks_W4!$AH$6:$AH$69,0)),"")=Results!$B$24)*(IFERROR(INDEX(Picks_W4!$AG$6:$AG$69,MATCH($V9,Picks_W4!$AH$6:$AH$69,0)),"")=Results!$C$24)+(IFERROR(INDEX(Picks_W5!$AF$6:$AF$69,MATCH($V9,Picks_W5!$AH$6:$AH$69,0)),"")=Results!$B$25)*(IFERROR(INDEX(Picks_W5!$AG$6:$AG$69,MATCH($V9,Picks_W5!$AH$6:$AH$69,0)),"")=Results!$C$25)+(IFERROR(INDEX(Picks_W6!$AF$6:$AF$69,MATCH($V9,Picks_W6!$AH$6:$AH$69,0)),"")=Results!$B$26)*(IFERROR(INDEX(Picks_W6!$AG$6:$AG$69,MATCH($V9,Picks_W6!$AH$6:$AH$69,0)),"")=Results!$C$26)+(IFERROR(INDEX(Picks_W7!$AF$6:$AF$69,MATCH($V9,Picks_W7!$AH$6:$AH$69,0)),"")=Results!$B$27)*(IFERROR(INDEX(Picks_W7!$AG$6:$AG$69,MATCH($V9,Picks_W7!$AH$6:$AH$69,0)),"")=Results!$C$27)+(IFERROR(INDEX(Picks_W8!$AF$6:$AF$69,MATCH($V9,Picks_W8!$AH$6:$AH$69,0)),"")=Results!$B$28)*(IFERROR(INDEX(Picks_W8!$AG$6:$AG$69,MATCH($V9,Picks_W8!$AH$6:$AH$69,0)),"")=Results!$C$28)+(IFERROR(INDEX(Picks_W9!$AF$6:$AF$69,MATCH($V9,Picks_W9!$AH$6:$AH$69,0)),"")=Results!$B$29)*(IFERROR(INDEX(Picks_W9!$AG$6:$AG$69,MATCH($V9,Picks_W9!$AH$6:$AH$69,0)),"")=Results!$C$29)+(IFERROR(INDEX(Picks_W10!$AF$6:$AF$69,MATCH($V9,Picks_W10!$AH$6:$AH$69,0)),"")=Results!$B$30)*(IFERROR(INDEX(Picks_W10!$AG$6:$AG$69,MATCH($V9,Picks_W10!$AH$6:$AH$69,0)),"")=Results!$C$30)+(IFERROR(INDEX(Picks_W11!$AF$6:$AF$69,MATCH($V9,Picks_W11!$AH$6:$AH$69,0)),"")=Results!$B$31)*(IFERROR(INDEX(Picks_W11!$AG$6:$AG$69,MATCH($V9,Picks_W11!$AH$6:$AH$69,0)),"")=Results!$C$31)+(IFERROR(INDEX(Picks_W12!$AF$6:$AF$69,MATCH($V9,Picks_W12!$AH$6:$AH$69,0)),"")=Results!$B$32)*(IFERROR(INDEX(Picks_W12!$AG$6:$AG$69,MATCH($V9,Picks_W12!$AH$6:$AH$69,0)),"")=Results!$C$32)+(IFERROR(INDEX(Picks_W13!$AF$6:$AF$69,MATCH($V9,Picks_W13!$AH$6:$AH$69,0)),"")=Results!$B$33)*(IFERROR(INDEX(Picks_W13!$AG$6:$AG$69,MATCH($V9,Picks_W13!$AH$6:$AH$69,0)),"")=Results!$C$33)</f>
        <v>0</v>
      </c>
      <c r="Q9" s="4">
        <f t="shared" si="1"/>
        <v>12</v>
      </c>
      <c r="R9" s="4">
        <f t="shared" si="2"/>
        <v>0</v>
      </c>
      <c r="S9" s="4">
        <f t="shared" si="3"/>
        <v>20.9999991</v>
      </c>
      <c r="T9" s="4">
        <f>IFERROR(INDEX(Picks_W1!$AV$6:$AV$69,MATCH($V9,Picks_W1!$AH$6:$AH$69,0)),0)+IFERROR(INDEX(Picks_W2!$AV$6:$AV$69,MATCH($V9,Picks_W2!$AH$6:$AH$69,0)),0)+IFERROR(INDEX(Picks_W3!$AV$6:$AV$69,MATCH($V9,Picks_W3!$AH$6:$AH$69,0)),0)+IFERROR(INDEX(Picks_W4!$AV$6:$AV$69,MATCH($V9,Picks_W4!$AH$6:$AH$69,0)),0)+IFERROR(INDEX(Picks_W5!$AV$6:$AV$69,MATCH($V9,Picks_W5!$AH$6:$AH$69,0)),0)+IFERROR(INDEX(Picks_W6!$AV$6:$AV$69,MATCH($V9,Picks_W6!$AH$6:$AH$69,0)),0)+IFERROR(INDEX(Picks_W7!$AV$6:$AV$69,MATCH($V9,Picks_W7!$AH$6:$AH$69,0)),0)+IFERROR(INDEX(Picks_W8!$AV$6:$AV$69,MATCH($V9,Picks_W8!$AH$6:$AH$69,0)),0)+IFERROR(INDEX(Picks_W9!$AV$6:$AV$69,MATCH($V9,Picks_W9!$AH$6:$AH$69,0)),0)+IFERROR(INDEX(Picks_W10!$AV$6:$AV$69,MATCH($V9,Picks_W10!$AH$6:$AH$69,0)),0)+IFERROR(INDEX(Picks_W11!$AV$6:$AV$69,MATCH($V9,Picks_W11!$AH$6:$AH$69,0)),0)+IFERROR(INDEX(Picks_W12!$AV$6:$AV$69,MATCH($V9,Picks_W12!$AH$6:$AH$69,0)),0)+IFERROR(INDEX(Picks_W13!$AV$6:$AV$69,MATCH($V9,Picks_W13!$AH$6:$AH$69,0)),0)</f>
        <v>0</v>
      </c>
      <c r="U9" s="17">
        <f>IF(Results!$B$35=0,0,T9/Results!$B$35)</f>
        <v>0</v>
      </c>
      <c r="V9" s="4">
        <v>41</v>
      </c>
    </row>
    <row r="10" spans="1:22" ht="15" customHeight="1" x14ac:dyDescent="0.25">
      <c r="A10" s="4" t="str">
        <f>IFERROR(INDEX(Players!$D$6:$D$69,MATCH(V10,Players!$A$6:$A$69,0)),"")</f>
        <v>Charlie F.</v>
      </c>
      <c r="B10" s="4">
        <f>IFERROR(INDEX(Picks_W1!$AF$6:$AF$69,MATCH($V10,Picks_W1!$AH$6:$AH$69,0)),0)</f>
        <v>11</v>
      </c>
      <c r="C10" s="4">
        <f>IFERROR(INDEX(Picks_W2!$AF$6:$AF$69,MATCH($V10,Picks_W2!$AH$6:$AH$69,0)),0)</f>
        <v>10</v>
      </c>
      <c r="D10" s="4">
        <f>IFERROR(INDEX(Picks_W3!$AF$6:$AF$69,MATCH($V10,Picks_W3!$AH$6:$AH$69,0)),0)</f>
        <v>0</v>
      </c>
      <c r="E10" s="4">
        <f>IFERROR(INDEX(Picks_W4!$AF$6:$AF$69,MATCH($V10,Picks_W4!$AH$6:$AH$69,0)),0)</f>
        <v>0</v>
      </c>
      <c r="F10" s="4">
        <f>IFERROR(INDEX(Picks_W5!$AF$6:$AF$69,MATCH($V10,Picks_W5!$AH$6:$AH$69,0)),0)</f>
        <v>0</v>
      </c>
      <c r="G10" s="4">
        <f>IFERROR(INDEX(Picks_W6!$AF$6:$AF$69,MATCH($V10,Picks_W6!$AH$6:$AH$69,0)),0)</f>
        <v>0</v>
      </c>
      <c r="H10" s="4">
        <f>IFERROR(INDEX(Picks_W7!$AF$6:$AF$69,MATCH($V10,Picks_W7!$AH$6:$AH$69,0)),0)</f>
        <v>0</v>
      </c>
      <c r="I10" s="4">
        <f>IFERROR(INDEX(Picks_W8!$AF$6:$AF$69,MATCH($V10,Picks_W8!$AH$6:$AH$69,0)),0)</f>
        <v>0</v>
      </c>
      <c r="J10" s="4">
        <f>IFERROR(INDEX(Picks_W9!$AF$6:$AF$69,MATCH($V10,Picks_W9!$AH$6:$AH$69,0)),0)</f>
        <v>0</v>
      </c>
      <c r="K10" s="4">
        <f>IFERROR(INDEX(Picks_W10!$AF$6:$AF$69,MATCH($V10,Picks_W10!$AH$6:$AH$69,0)),0)</f>
        <v>0</v>
      </c>
      <c r="L10" s="4">
        <f>IFERROR(INDEX(Picks_W11!$AF$6:$AF$69,MATCH($V10,Picks_W11!$AH$6:$AH$69,0)),0)</f>
        <v>0</v>
      </c>
      <c r="M10" s="4">
        <f>IFERROR(INDEX(Picks_W12!$AF$6:$AF$69,MATCH($V10,Picks_W12!$AH$6:$AH$69,0)),0)</f>
        <v>0</v>
      </c>
      <c r="N10" s="4">
        <f>IFERROR(INDEX(Picks_W13!$AF$6:$AF$69,MATCH($V10,Picks_W13!$AH$6:$AH$69,0)),0)</f>
        <v>0</v>
      </c>
      <c r="O10" s="4">
        <f t="shared" si="0"/>
        <v>21</v>
      </c>
      <c r="P10" s="4">
        <f>(IFERROR(INDEX(Picks_W1!$AF$6:$AF$69,MATCH($V10,Picks_W1!$AH$6:$AH$69,0)),"")=Results!$B$21)*(IFERROR(INDEX(Picks_W1!$AG$6:$AG$69,MATCH($V10,Picks_W1!$AH$6:$AH$69,0)),"")=Results!$C$21)+(IFERROR(INDEX(Picks_W2!$AF$6:$AF$69,MATCH($V10,Picks_W2!$AH$6:$AH$69,0)),"")=Results!$B$22)*(IFERROR(INDEX(Picks_W2!$AG$6:$AG$69,MATCH($V10,Picks_W2!$AH$6:$AH$69,0)),"")=Results!$C$22)+(IFERROR(INDEX(Picks_W3!$AF$6:$AF$69,MATCH($V10,Picks_W3!$AH$6:$AH$69,0)),"")=Results!$B$23)*(IFERROR(INDEX(Picks_W3!$AG$6:$AG$69,MATCH($V10,Picks_W3!$AH$6:$AH$69,0)),"")=Results!$C$23)+(IFERROR(INDEX(Picks_W4!$AF$6:$AF$69,MATCH($V10,Picks_W4!$AH$6:$AH$69,0)),"")=Results!$B$24)*(IFERROR(INDEX(Picks_W4!$AG$6:$AG$69,MATCH($V10,Picks_W4!$AH$6:$AH$69,0)),"")=Results!$C$24)+(IFERROR(INDEX(Picks_W5!$AF$6:$AF$69,MATCH($V10,Picks_W5!$AH$6:$AH$69,0)),"")=Results!$B$25)*(IFERROR(INDEX(Picks_W5!$AG$6:$AG$69,MATCH($V10,Picks_W5!$AH$6:$AH$69,0)),"")=Results!$C$25)+(IFERROR(INDEX(Picks_W6!$AF$6:$AF$69,MATCH($V10,Picks_W6!$AH$6:$AH$69,0)),"")=Results!$B$26)*(IFERROR(INDEX(Picks_W6!$AG$6:$AG$69,MATCH($V10,Picks_W6!$AH$6:$AH$69,0)),"")=Results!$C$26)+(IFERROR(INDEX(Picks_W7!$AF$6:$AF$69,MATCH($V10,Picks_W7!$AH$6:$AH$69,0)),"")=Results!$B$27)*(IFERROR(INDEX(Picks_W7!$AG$6:$AG$69,MATCH($V10,Picks_W7!$AH$6:$AH$69,0)),"")=Results!$C$27)+(IFERROR(INDEX(Picks_W8!$AF$6:$AF$69,MATCH($V10,Picks_W8!$AH$6:$AH$69,0)),"")=Results!$B$28)*(IFERROR(INDEX(Picks_W8!$AG$6:$AG$69,MATCH($V10,Picks_W8!$AH$6:$AH$69,0)),"")=Results!$C$28)+(IFERROR(INDEX(Picks_W9!$AF$6:$AF$69,MATCH($V10,Picks_W9!$AH$6:$AH$69,0)),"")=Results!$B$29)*(IFERROR(INDEX(Picks_W9!$AG$6:$AG$69,MATCH($V10,Picks_W9!$AH$6:$AH$69,0)),"")=Results!$C$29)+(IFERROR(INDEX(Picks_W10!$AF$6:$AF$69,MATCH($V10,Picks_W10!$AH$6:$AH$69,0)),"")=Results!$B$30)*(IFERROR(INDEX(Picks_W10!$AG$6:$AG$69,MATCH($V10,Picks_W10!$AH$6:$AH$69,0)),"")=Results!$C$30)+(IFERROR(INDEX(Picks_W11!$AF$6:$AF$69,MATCH($V10,Picks_W11!$AH$6:$AH$69,0)),"")=Results!$B$31)*(IFERROR(INDEX(Picks_W11!$AG$6:$AG$69,MATCH($V10,Picks_W11!$AH$6:$AH$69,0)),"")=Results!$C$31)+(IFERROR(INDEX(Picks_W12!$AF$6:$AF$69,MATCH($V10,Picks_W12!$AH$6:$AH$69,0)),"")=Results!$B$32)*(IFERROR(INDEX(Picks_W12!$AG$6:$AG$69,MATCH($V10,Picks_W12!$AH$6:$AH$69,0)),"")=Results!$C$32)+(IFERROR(INDEX(Picks_W13!$AF$6:$AF$69,MATCH($V10,Picks_W13!$AH$6:$AH$69,0)),"")=Results!$B$33)*(IFERROR(INDEX(Picks_W13!$AG$6:$AG$69,MATCH($V10,Picks_W13!$AH$6:$AH$69,0)),"")=Results!$C$33)</f>
        <v>0</v>
      </c>
      <c r="Q10" s="4">
        <f t="shared" si="1"/>
        <v>11</v>
      </c>
      <c r="R10" s="4">
        <f t="shared" si="2"/>
        <v>0</v>
      </c>
      <c r="S10" s="4">
        <f t="shared" si="3"/>
        <v>21.000498999999998</v>
      </c>
      <c r="T10" s="4">
        <f>IFERROR(INDEX(Picks_W1!$AV$6:$AV$69,MATCH($V10,Picks_W1!$AH$6:$AH$69,0)),0)+IFERROR(INDEX(Picks_W2!$AV$6:$AV$69,MATCH($V10,Picks_W2!$AH$6:$AH$69,0)),0)+IFERROR(INDEX(Picks_W3!$AV$6:$AV$69,MATCH($V10,Picks_W3!$AH$6:$AH$69,0)),0)+IFERROR(INDEX(Picks_W4!$AV$6:$AV$69,MATCH($V10,Picks_W4!$AH$6:$AH$69,0)),0)+IFERROR(INDEX(Picks_W5!$AV$6:$AV$69,MATCH($V10,Picks_W5!$AH$6:$AH$69,0)),0)+IFERROR(INDEX(Picks_W6!$AV$6:$AV$69,MATCH($V10,Picks_W6!$AH$6:$AH$69,0)),0)+IFERROR(INDEX(Picks_W7!$AV$6:$AV$69,MATCH($V10,Picks_W7!$AH$6:$AH$69,0)),0)+IFERROR(INDEX(Picks_W8!$AV$6:$AV$69,MATCH($V10,Picks_W8!$AH$6:$AH$69,0)),0)+IFERROR(INDEX(Picks_W9!$AV$6:$AV$69,MATCH($V10,Picks_W9!$AH$6:$AH$69,0)),0)+IFERROR(INDEX(Picks_W10!$AV$6:$AV$69,MATCH($V10,Picks_W10!$AH$6:$AH$69,0)),0)+IFERROR(INDEX(Picks_W11!$AV$6:$AV$69,MATCH($V10,Picks_W11!$AH$6:$AH$69,0)),0)+IFERROR(INDEX(Picks_W12!$AV$6:$AV$69,MATCH($V10,Picks_W12!$AH$6:$AH$69,0)),0)+IFERROR(INDEX(Picks_W13!$AV$6:$AV$69,MATCH($V10,Picks_W13!$AH$6:$AH$69,0)),0)</f>
        <v>4</v>
      </c>
      <c r="U10" s="17">
        <f>IF(Results!$B$35=0,0,T10/Results!$B$35)</f>
        <v>0.5</v>
      </c>
      <c r="V10" s="4">
        <v>3</v>
      </c>
    </row>
    <row r="11" spans="1:22" ht="15" customHeight="1" x14ac:dyDescent="0.25">
      <c r="A11" s="4" t="str">
        <f>IFERROR(INDEX(Players!$D$6:$D$69,MATCH(V11,Players!$A$6:$A$69,0)),"")</f>
        <v>Chris P.</v>
      </c>
      <c r="B11" s="4">
        <f>IFERROR(INDEX(Picks_W1!$AF$6:$AF$69,MATCH($V11,Picks_W1!$AH$6:$AH$69,0)),0)</f>
        <v>11</v>
      </c>
      <c r="C11" s="4">
        <f>IFERROR(INDEX(Picks_W2!$AF$6:$AF$69,MATCH($V11,Picks_W2!$AH$6:$AH$69,0)),0)</f>
        <v>10</v>
      </c>
      <c r="D11" s="4">
        <f>IFERROR(INDEX(Picks_W3!$AF$6:$AF$69,MATCH($V11,Picks_W3!$AH$6:$AH$69,0)),0)</f>
        <v>0</v>
      </c>
      <c r="E11" s="4">
        <f>IFERROR(INDEX(Picks_W4!$AF$6:$AF$69,MATCH($V11,Picks_W4!$AH$6:$AH$69,0)),0)</f>
        <v>0</v>
      </c>
      <c r="F11" s="4">
        <f>IFERROR(INDEX(Picks_W5!$AF$6:$AF$69,MATCH($V11,Picks_W5!$AH$6:$AH$69,0)),0)</f>
        <v>0</v>
      </c>
      <c r="G11" s="4">
        <f>IFERROR(INDEX(Picks_W6!$AF$6:$AF$69,MATCH($V11,Picks_W6!$AH$6:$AH$69,0)),0)</f>
        <v>0</v>
      </c>
      <c r="H11" s="4">
        <f>IFERROR(INDEX(Picks_W7!$AF$6:$AF$69,MATCH($V11,Picks_W7!$AH$6:$AH$69,0)),0)</f>
        <v>0</v>
      </c>
      <c r="I11" s="4">
        <f>IFERROR(INDEX(Picks_W8!$AF$6:$AF$69,MATCH($V11,Picks_W8!$AH$6:$AH$69,0)),0)</f>
        <v>0</v>
      </c>
      <c r="J11" s="4">
        <f>IFERROR(INDEX(Picks_W9!$AF$6:$AF$69,MATCH($V11,Picks_W9!$AH$6:$AH$69,0)),0)</f>
        <v>0</v>
      </c>
      <c r="K11" s="4">
        <f>IFERROR(INDEX(Picks_W10!$AF$6:$AF$69,MATCH($V11,Picks_W10!$AH$6:$AH$69,0)),0)</f>
        <v>0</v>
      </c>
      <c r="L11" s="4">
        <f>IFERROR(INDEX(Picks_W11!$AF$6:$AF$69,MATCH($V11,Picks_W11!$AH$6:$AH$69,0)),0)</f>
        <v>0</v>
      </c>
      <c r="M11" s="4">
        <f>IFERROR(INDEX(Picks_W12!$AF$6:$AF$69,MATCH($V11,Picks_W12!$AH$6:$AH$69,0)),0)</f>
        <v>0</v>
      </c>
      <c r="N11" s="4">
        <f>IFERROR(INDEX(Picks_W13!$AF$6:$AF$69,MATCH($V11,Picks_W13!$AH$6:$AH$69,0)),0)</f>
        <v>0</v>
      </c>
      <c r="O11" s="4">
        <f t="shared" si="0"/>
        <v>21</v>
      </c>
      <c r="P11" s="4">
        <f>(IFERROR(INDEX(Picks_W1!$AF$6:$AF$69,MATCH($V11,Picks_W1!$AH$6:$AH$69,0)),"")=Results!$B$21)*(IFERROR(INDEX(Picks_W1!$AG$6:$AG$69,MATCH($V11,Picks_W1!$AH$6:$AH$69,0)),"")=Results!$C$21)+(IFERROR(INDEX(Picks_W2!$AF$6:$AF$69,MATCH($V11,Picks_W2!$AH$6:$AH$69,0)),"")=Results!$B$22)*(IFERROR(INDEX(Picks_W2!$AG$6:$AG$69,MATCH($V11,Picks_W2!$AH$6:$AH$69,0)),"")=Results!$C$22)+(IFERROR(INDEX(Picks_W3!$AF$6:$AF$69,MATCH($V11,Picks_W3!$AH$6:$AH$69,0)),"")=Results!$B$23)*(IFERROR(INDEX(Picks_W3!$AG$6:$AG$69,MATCH($V11,Picks_W3!$AH$6:$AH$69,0)),"")=Results!$C$23)+(IFERROR(INDEX(Picks_W4!$AF$6:$AF$69,MATCH($V11,Picks_W4!$AH$6:$AH$69,0)),"")=Results!$B$24)*(IFERROR(INDEX(Picks_W4!$AG$6:$AG$69,MATCH($V11,Picks_W4!$AH$6:$AH$69,0)),"")=Results!$C$24)+(IFERROR(INDEX(Picks_W5!$AF$6:$AF$69,MATCH($V11,Picks_W5!$AH$6:$AH$69,0)),"")=Results!$B$25)*(IFERROR(INDEX(Picks_W5!$AG$6:$AG$69,MATCH($V11,Picks_W5!$AH$6:$AH$69,0)),"")=Results!$C$25)+(IFERROR(INDEX(Picks_W6!$AF$6:$AF$69,MATCH($V11,Picks_W6!$AH$6:$AH$69,0)),"")=Results!$B$26)*(IFERROR(INDEX(Picks_W6!$AG$6:$AG$69,MATCH($V11,Picks_W6!$AH$6:$AH$69,0)),"")=Results!$C$26)+(IFERROR(INDEX(Picks_W7!$AF$6:$AF$69,MATCH($V11,Picks_W7!$AH$6:$AH$69,0)),"")=Results!$B$27)*(IFERROR(INDEX(Picks_W7!$AG$6:$AG$69,MATCH($V11,Picks_W7!$AH$6:$AH$69,0)),"")=Results!$C$27)+(IFERROR(INDEX(Picks_W8!$AF$6:$AF$69,MATCH($V11,Picks_W8!$AH$6:$AH$69,0)),"")=Results!$B$28)*(IFERROR(INDEX(Picks_W8!$AG$6:$AG$69,MATCH($V11,Picks_W8!$AH$6:$AH$69,0)),"")=Results!$C$28)+(IFERROR(INDEX(Picks_W9!$AF$6:$AF$69,MATCH($V11,Picks_W9!$AH$6:$AH$69,0)),"")=Results!$B$29)*(IFERROR(INDEX(Picks_W9!$AG$6:$AG$69,MATCH($V11,Picks_W9!$AH$6:$AH$69,0)),"")=Results!$C$29)+(IFERROR(INDEX(Picks_W10!$AF$6:$AF$69,MATCH($V11,Picks_W10!$AH$6:$AH$69,0)),"")=Results!$B$30)*(IFERROR(INDEX(Picks_W10!$AG$6:$AG$69,MATCH($V11,Picks_W10!$AH$6:$AH$69,0)),"")=Results!$C$30)+(IFERROR(INDEX(Picks_W11!$AF$6:$AF$69,MATCH($V11,Picks_W11!$AH$6:$AH$69,0)),"")=Results!$B$31)*(IFERROR(INDEX(Picks_W11!$AG$6:$AG$69,MATCH($V11,Picks_W11!$AH$6:$AH$69,0)),"")=Results!$C$31)+(IFERROR(INDEX(Picks_W12!$AF$6:$AF$69,MATCH($V11,Picks_W12!$AH$6:$AH$69,0)),"")=Results!$B$32)*(IFERROR(INDEX(Picks_W12!$AG$6:$AG$69,MATCH($V11,Picks_W12!$AH$6:$AH$69,0)),"")=Results!$C$32)+(IFERROR(INDEX(Picks_W13!$AF$6:$AF$69,MATCH($V11,Picks_W13!$AH$6:$AH$69,0)),"")=Results!$B$33)*(IFERROR(INDEX(Picks_W13!$AG$6:$AG$69,MATCH($V11,Picks_W13!$AH$6:$AH$69,0)),"")=Results!$C$33)</f>
        <v>0</v>
      </c>
      <c r="Q11" s="4">
        <f t="shared" si="1"/>
        <v>11</v>
      </c>
      <c r="R11" s="4">
        <f t="shared" si="2"/>
        <v>0</v>
      </c>
      <c r="S11" s="4">
        <f t="shared" si="3"/>
        <v>21.000248900000003</v>
      </c>
      <c r="T11" s="4">
        <f>IFERROR(INDEX(Picks_W1!$AV$6:$AV$69,MATCH($V11,Picks_W1!$AH$6:$AH$69,0)),0)+IFERROR(INDEX(Picks_W2!$AV$6:$AV$69,MATCH($V11,Picks_W2!$AH$6:$AH$69,0)),0)+IFERROR(INDEX(Picks_W3!$AV$6:$AV$69,MATCH($V11,Picks_W3!$AH$6:$AH$69,0)),0)+IFERROR(INDEX(Picks_W4!$AV$6:$AV$69,MATCH($V11,Picks_W4!$AH$6:$AH$69,0)),0)+IFERROR(INDEX(Picks_W5!$AV$6:$AV$69,MATCH($V11,Picks_W5!$AH$6:$AH$69,0)),0)+IFERROR(INDEX(Picks_W6!$AV$6:$AV$69,MATCH($V11,Picks_W6!$AH$6:$AH$69,0)),0)+IFERROR(INDEX(Picks_W7!$AV$6:$AV$69,MATCH($V11,Picks_W7!$AH$6:$AH$69,0)),0)+IFERROR(INDEX(Picks_W8!$AV$6:$AV$69,MATCH($V11,Picks_W8!$AH$6:$AH$69,0)),0)+IFERROR(INDEX(Picks_W9!$AV$6:$AV$69,MATCH($V11,Picks_W9!$AH$6:$AH$69,0)),0)+IFERROR(INDEX(Picks_W10!$AV$6:$AV$69,MATCH($V11,Picks_W10!$AH$6:$AH$69,0)),0)+IFERROR(INDEX(Picks_W11!$AV$6:$AV$69,MATCH($V11,Picks_W11!$AH$6:$AH$69,0)),0)+IFERROR(INDEX(Picks_W12!$AV$6:$AV$69,MATCH($V11,Picks_W12!$AH$6:$AH$69,0)),0)+IFERROR(INDEX(Picks_W13!$AV$6:$AV$69,MATCH($V11,Picks_W13!$AH$6:$AH$69,0)),0)</f>
        <v>2</v>
      </c>
      <c r="U11" s="17">
        <f>IF(Results!$B$35=0,0,T11/Results!$B$35)</f>
        <v>0.25</v>
      </c>
      <c r="V11" s="4">
        <v>58</v>
      </c>
    </row>
    <row r="12" spans="1:22" ht="15" customHeight="1" x14ac:dyDescent="0.25">
      <c r="A12" s="4" t="str">
        <f>IFERROR(INDEX(Players!$D$6:$D$69,MATCH(V12,Players!$A$6:$A$69,0)),"")</f>
        <v>Corey H.</v>
      </c>
      <c r="B12" s="4">
        <f>IFERROR(INDEX(Picks_W1!$AF$6:$AF$69,MATCH($V12,Picks_W1!$AH$6:$AH$69,0)),0)</f>
        <v>12</v>
      </c>
      <c r="C12" s="4">
        <f>IFERROR(INDEX(Picks_W2!$AF$6:$AF$69,MATCH($V12,Picks_W2!$AH$6:$AH$69,0)),0)</f>
        <v>11</v>
      </c>
      <c r="D12" s="4">
        <f>IFERROR(INDEX(Picks_W3!$AF$6:$AF$69,MATCH($V12,Picks_W3!$AH$6:$AH$69,0)),0)</f>
        <v>0</v>
      </c>
      <c r="E12" s="4">
        <f>IFERROR(INDEX(Picks_W4!$AF$6:$AF$69,MATCH($V12,Picks_W4!$AH$6:$AH$69,0)),0)</f>
        <v>0</v>
      </c>
      <c r="F12" s="4">
        <f>IFERROR(INDEX(Picks_W5!$AF$6:$AF$69,MATCH($V12,Picks_W5!$AH$6:$AH$69,0)),0)</f>
        <v>0</v>
      </c>
      <c r="G12" s="4">
        <f>IFERROR(INDEX(Picks_W6!$AF$6:$AF$69,MATCH($V12,Picks_W6!$AH$6:$AH$69,0)),0)</f>
        <v>0</v>
      </c>
      <c r="H12" s="4">
        <f>IFERROR(INDEX(Picks_W7!$AF$6:$AF$69,MATCH($V12,Picks_W7!$AH$6:$AH$69,0)),0)</f>
        <v>0</v>
      </c>
      <c r="I12" s="4">
        <f>IFERROR(INDEX(Picks_W8!$AF$6:$AF$69,MATCH($V12,Picks_W8!$AH$6:$AH$69,0)),0)</f>
        <v>0</v>
      </c>
      <c r="J12" s="4">
        <f>IFERROR(INDEX(Picks_W9!$AF$6:$AF$69,MATCH($V12,Picks_W9!$AH$6:$AH$69,0)),0)</f>
        <v>0</v>
      </c>
      <c r="K12" s="4">
        <f>IFERROR(INDEX(Picks_W10!$AF$6:$AF$69,MATCH($V12,Picks_W10!$AH$6:$AH$69,0)),0)</f>
        <v>0</v>
      </c>
      <c r="L12" s="4">
        <f>IFERROR(INDEX(Picks_W11!$AF$6:$AF$69,MATCH($V12,Picks_W11!$AH$6:$AH$69,0)),0)</f>
        <v>0</v>
      </c>
      <c r="M12" s="4">
        <f>IFERROR(INDEX(Picks_W12!$AF$6:$AF$69,MATCH($V12,Picks_W12!$AH$6:$AH$69,0)),0)</f>
        <v>0</v>
      </c>
      <c r="N12" s="4">
        <f>IFERROR(INDEX(Picks_W13!$AF$6:$AF$69,MATCH($V12,Picks_W13!$AH$6:$AH$69,0)),0)</f>
        <v>0</v>
      </c>
      <c r="O12" s="4">
        <f t="shared" si="0"/>
        <v>23</v>
      </c>
      <c r="P12" s="4">
        <f>(IFERROR(INDEX(Picks_W1!$AF$6:$AF$69,MATCH($V12,Picks_W1!$AH$6:$AH$69,0)),"")=Results!$B$21)*(IFERROR(INDEX(Picks_W1!$AG$6:$AG$69,MATCH($V12,Picks_W1!$AH$6:$AH$69,0)),"")=Results!$C$21)+(IFERROR(INDEX(Picks_W2!$AF$6:$AF$69,MATCH($V12,Picks_W2!$AH$6:$AH$69,0)),"")=Results!$B$22)*(IFERROR(INDEX(Picks_W2!$AG$6:$AG$69,MATCH($V12,Picks_W2!$AH$6:$AH$69,0)),"")=Results!$C$22)+(IFERROR(INDEX(Picks_W3!$AF$6:$AF$69,MATCH($V12,Picks_W3!$AH$6:$AH$69,0)),"")=Results!$B$23)*(IFERROR(INDEX(Picks_W3!$AG$6:$AG$69,MATCH($V12,Picks_W3!$AH$6:$AH$69,0)),"")=Results!$C$23)+(IFERROR(INDEX(Picks_W4!$AF$6:$AF$69,MATCH($V12,Picks_W4!$AH$6:$AH$69,0)),"")=Results!$B$24)*(IFERROR(INDEX(Picks_W4!$AG$6:$AG$69,MATCH($V12,Picks_W4!$AH$6:$AH$69,0)),"")=Results!$C$24)+(IFERROR(INDEX(Picks_W5!$AF$6:$AF$69,MATCH($V12,Picks_W5!$AH$6:$AH$69,0)),"")=Results!$B$25)*(IFERROR(INDEX(Picks_W5!$AG$6:$AG$69,MATCH($V12,Picks_W5!$AH$6:$AH$69,0)),"")=Results!$C$25)+(IFERROR(INDEX(Picks_W6!$AF$6:$AF$69,MATCH($V12,Picks_W6!$AH$6:$AH$69,0)),"")=Results!$B$26)*(IFERROR(INDEX(Picks_W6!$AG$6:$AG$69,MATCH($V12,Picks_W6!$AH$6:$AH$69,0)),"")=Results!$C$26)+(IFERROR(INDEX(Picks_W7!$AF$6:$AF$69,MATCH($V12,Picks_W7!$AH$6:$AH$69,0)),"")=Results!$B$27)*(IFERROR(INDEX(Picks_W7!$AG$6:$AG$69,MATCH($V12,Picks_W7!$AH$6:$AH$69,0)),"")=Results!$C$27)+(IFERROR(INDEX(Picks_W8!$AF$6:$AF$69,MATCH($V12,Picks_W8!$AH$6:$AH$69,0)),"")=Results!$B$28)*(IFERROR(INDEX(Picks_W8!$AG$6:$AG$69,MATCH($V12,Picks_W8!$AH$6:$AH$69,0)),"")=Results!$C$28)+(IFERROR(INDEX(Picks_W9!$AF$6:$AF$69,MATCH($V12,Picks_W9!$AH$6:$AH$69,0)),"")=Results!$B$29)*(IFERROR(INDEX(Picks_W9!$AG$6:$AG$69,MATCH($V12,Picks_W9!$AH$6:$AH$69,0)),"")=Results!$C$29)+(IFERROR(INDEX(Picks_W10!$AF$6:$AF$69,MATCH($V12,Picks_W10!$AH$6:$AH$69,0)),"")=Results!$B$30)*(IFERROR(INDEX(Picks_W10!$AG$6:$AG$69,MATCH($V12,Picks_W10!$AH$6:$AH$69,0)),"")=Results!$C$30)+(IFERROR(INDEX(Picks_W11!$AF$6:$AF$69,MATCH($V12,Picks_W11!$AH$6:$AH$69,0)),"")=Results!$B$31)*(IFERROR(INDEX(Picks_W11!$AG$6:$AG$69,MATCH($V12,Picks_W11!$AH$6:$AH$69,0)),"")=Results!$C$31)+(IFERROR(INDEX(Picks_W12!$AF$6:$AF$69,MATCH($V12,Picks_W12!$AH$6:$AH$69,0)),"")=Results!$B$32)*(IFERROR(INDEX(Picks_W12!$AG$6:$AG$69,MATCH($V12,Picks_W12!$AH$6:$AH$69,0)),"")=Results!$C$32)+(IFERROR(INDEX(Picks_W13!$AF$6:$AF$69,MATCH($V12,Picks_W13!$AH$6:$AH$69,0)),"")=Results!$B$33)*(IFERROR(INDEX(Picks_W13!$AG$6:$AG$69,MATCH($V12,Picks_W13!$AH$6:$AH$69,0)),"")=Results!$C$33)</f>
        <v>0</v>
      </c>
      <c r="Q12" s="4">
        <f t="shared" si="1"/>
        <v>12</v>
      </c>
      <c r="R12" s="4">
        <f t="shared" si="2"/>
        <v>0</v>
      </c>
      <c r="S12" s="4">
        <f t="shared" si="3"/>
        <v>23.000123800000001</v>
      </c>
      <c r="T12" s="4">
        <f>IFERROR(INDEX(Picks_W1!$AV$6:$AV$69,MATCH($V12,Picks_W1!$AH$6:$AH$69,0)),0)+IFERROR(INDEX(Picks_W2!$AV$6:$AV$69,MATCH($V12,Picks_W2!$AH$6:$AH$69,0)),0)+IFERROR(INDEX(Picks_W3!$AV$6:$AV$69,MATCH($V12,Picks_W3!$AH$6:$AH$69,0)),0)+IFERROR(INDEX(Picks_W4!$AV$6:$AV$69,MATCH($V12,Picks_W4!$AH$6:$AH$69,0)),0)+IFERROR(INDEX(Picks_W5!$AV$6:$AV$69,MATCH($V12,Picks_W5!$AH$6:$AH$69,0)),0)+IFERROR(INDEX(Picks_W6!$AV$6:$AV$69,MATCH($V12,Picks_W6!$AH$6:$AH$69,0)),0)+IFERROR(INDEX(Picks_W7!$AV$6:$AV$69,MATCH($V12,Picks_W7!$AH$6:$AH$69,0)),0)+IFERROR(INDEX(Picks_W8!$AV$6:$AV$69,MATCH($V12,Picks_W8!$AH$6:$AH$69,0)),0)+IFERROR(INDEX(Picks_W9!$AV$6:$AV$69,MATCH($V12,Picks_W9!$AH$6:$AH$69,0)),0)+IFERROR(INDEX(Picks_W10!$AV$6:$AV$69,MATCH($V12,Picks_W10!$AH$6:$AH$69,0)),0)+IFERROR(INDEX(Picks_W11!$AV$6:$AV$69,MATCH($V12,Picks_W11!$AH$6:$AH$69,0)),0)+IFERROR(INDEX(Picks_W12!$AV$6:$AV$69,MATCH($V12,Picks_W12!$AH$6:$AH$69,0)),0)+IFERROR(INDEX(Picks_W13!$AV$6:$AV$69,MATCH($V12,Picks_W13!$AH$6:$AH$69,0)),0)</f>
        <v>1</v>
      </c>
      <c r="U12" s="17">
        <f>IF(Results!$B$35=0,0,T12/Results!$B$35)</f>
        <v>0.125</v>
      </c>
      <c r="V12" s="4">
        <v>4</v>
      </c>
    </row>
    <row r="13" spans="1:22" ht="15" customHeight="1" x14ac:dyDescent="0.25">
      <c r="A13" s="4" t="str">
        <f>IFERROR(INDEX(Players!$D$6:$D$69,MATCH(V13,Players!$A$6:$A$69,0)),"")</f>
        <v>Cori P.</v>
      </c>
      <c r="B13" s="4">
        <f>IFERROR(INDEX(Picks_W1!$AF$6:$AF$69,MATCH($V13,Picks_W1!$AH$6:$AH$69,0)),0)</f>
        <v>9</v>
      </c>
      <c r="C13" s="4">
        <f>IFERROR(INDEX(Picks_W2!$AF$6:$AF$69,MATCH($V13,Picks_W2!$AH$6:$AH$69,0)),0)</f>
        <v>7</v>
      </c>
      <c r="D13" s="4">
        <f>IFERROR(INDEX(Picks_W3!$AF$6:$AF$69,MATCH($V13,Picks_W3!$AH$6:$AH$69,0)),0)</f>
        <v>0</v>
      </c>
      <c r="E13" s="4">
        <f>IFERROR(INDEX(Picks_W4!$AF$6:$AF$69,MATCH($V13,Picks_W4!$AH$6:$AH$69,0)),0)</f>
        <v>0</v>
      </c>
      <c r="F13" s="4">
        <f>IFERROR(INDEX(Picks_W5!$AF$6:$AF$69,MATCH($V13,Picks_W5!$AH$6:$AH$69,0)),0)</f>
        <v>0</v>
      </c>
      <c r="G13" s="4">
        <f>IFERROR(INDEX(Picks_W6!$AF$6:$AF$69,MATCH($V13,Picks_W6!$AH$6:$AH$69,0)),0)</f>
        <v>0</v>
      </c>
      <c r="H13" s="4">
        <f>IFERROR(INDEX(Picks_W7!$AF$6:$AF$69,MATCH($V13,Picks_W7!$AH$6:$AH$69,0)),0)</f>
        <v>0</v>
      </c>
      <c r="I13" s="4">
        <f>IFERROR(INDEX(Picks_W8!$AF$6:$AF$69,MATCH($V13,Picks_W8!$AH$6:$AH$69,0)),0)</f>
        <v>0</v>
      </c>
      <c r="J13" s="4">
        <f>IFERROR(INDEX(Picks_W9!$AF$6:$AF$69,MATCH($V13,Picks_W9!$AH$6:$AH$69,0)),0)</f>
        <v>0</v>
      </c>
      <c r="K13" s="4">
        <f>IFERROR(INDEX(Picks_W10!$AF$6:$AF$69,MATCH($V13,Picks_W10!$AH$6:$AH$69,0)),0)</f>
        <v>0</v>
      </c>
      <c r="L13" s="4">
        <f>IFERROR(INDEX(Picks_W11!$AF$6:$AF$69,MATCH($V13,Picks_W11!$AH$6:$AH$69,0)),0)</f>
        <v>0</v>
      </c>
      <c r="M13" s="4">
        <f>IFERROR(INDEX(Picks_W12!$AF$6:$AF$69,MATCH($V13,Picks_W12!$AH$6:$AH$69,0)),0)</f>
        <v>0</v>
      </c>
      <c r="N13" s="4">
        <f>IFERROR(INDEX(Picks_W13!$AF$6:$AF$69,MATCH($V13,Picks_W13!$AH$6:$AH$69,0)),0)</f>
        <v>0</v>
      </c>
      <c r="O13" s="4">
        <f t="shared" si="0"/>
        <v>16</v>
      </c>
      <c r="P13" s="4">
        <f>(IFERROR(INDEX(Picks_W1!$AF$6:$AF$69,MATCH($V13,Picks_W1!$AH$6:$AH$69,0)),"")=Results!$B$21)*(IFERROR(INDEX(Picks_W1!$AG$6:$AG$69,MATCH($V13,Picks_W1!$AH$6:$AH$69,0)),"")=Results!$C$21)+(IFERROR(INDEX(Picks_W2!$AF$6:$AF$69,MATCH($V13,Picks_W2!$AH$6:$AH$69,0)),"")=Results!$B$22)*(IFERROR(INDEX(Picks_W2!$AG$6:$AG$69,MATCH($V13,Picks_W2!$AH$6:$AH$69,0)),"")=Results!$C$22)+(IFERROR(INDEX(Picks_W3!$AF$6:$AF$69,MATCH($V13,Picks_W3!$AH$6:$AH$69,0)),"")=Results!$B$23)*(IFERROR(INDEX(Picks_W3!$AG$6:$AG$69,MATCH($V13,Picks_W3!$AH$6:$AH$69,0)),"")=Results!$C$23)+(IFERROR(INDEX(Picks_W4!$AF$6:$AF$69,MATCH($V13,Picks_W4!$AH$6:$AH$69,0)),"")=Results!$B$24)*(IFERROR(INDEX(Picks_W4!$AG$6:$AG$69,MATCH($V13,Picks_W4!$AH$6:$AH$69,0)),"")=Results!$C$24)+(IFERROR(INDEX(Picks_W5!$AF$6:$AF$69,MATCH($V13,Picks_W5!$AH$6:$AH$69,0)),"")=Results!$B$25)*(IFERROR(INDEX(Picks_W5!$AG$6:$AG$69,MATCH($V13,Picks_W5!$AH$6:$AH$69,0)),"")=Results!$C$25)+(IFERROR(INDEX(Picks_W6!$AF$6:$AF$69,MATCH($V13,Picks_W6!$AH$6:$AH$69,0)),"")=Results!$B$26)*(IFERROR(INDEX(Picks_W6!$AG$6:$AG$69,MATCH($V13,Picks_W6!$AH$6:$AH$69,0)),"")=Results!$C$26)+(IFERROR(INDEX(Picks_W7!$AF$6:$AF$69,MATCH($V13,Picks_W7!$AH$6:$AH$69,0)),"")=Results!$B$27)*(IFERROR(INDEX(Picks_W7!$AG$6:$AG$69,MATCH($V13,Picks_W7!$AH$6:$AH$69,0)),"")=Results!$C$27)+(IFERROR(INDEX(Picks_W8!$AF$6:$AF$69,MATCH($V13,Picks_W8!$AH$6:$AH$69,0)),"")=Results!$B$28)*(IFERROR(INDEX(Picks_W8!$AG$6:$AG$69,MATCH($V13,Picks_W8!$AH$6:$AH$69,0)),"")=Results!$C$28)+(IFERROR(INDEX(Picks_W9!$AF$6:$AF$69,MATCH($V13,Picks_W9!$AH$6:$AH$69,0)),"")=Results!$B$29)*(IFERROR(INDEX(Picks_W9!$AG$6:$AG$69,MATCH($V13,Picks_W9!$AH$6:$AH$69,0)),"")=Results!$C$29)+(IFERROR(INDEX(Picks_W10!$AF$6:$AF$69,MATCH($V13,Picks_W10!$AH$6:$AH$69,0)),"")=Results!$B$30)*(IFERROR(INDEX(Picks_W10!$AG$6:$AG$69,MATCH($V13,Picks_W10!$AH$6:$AH$69,0)),"")=Results!$C$30)+(IFERROR(INDEX(Picks_W11!$AF$6:$AF$69,MATCH($V13,Picks_W11!$AH$6:$AH$69,0)),"")=Results!$B$31)*(IFERROR(INDEX(Picks_W11!$AG$6:$AG$69,MATCH($V13,Picks_W11!$AH$6:$AH$69,0)),"")=Results!$C$31)+(IFERROR(INDEX(Picks_W12!$AF$6:$AF$69,MATCH($V13,Picks_W12!$AH$6:$AH$69,0)),"")=Results!$B$32)*(IFERROR(INDEX(Picks_W12!$AG$6:$AG$69,MATCH($V13,Picks_W12!$AH$6:$AH$69,0)),"")=Results!$C$32)+(IFERROR(INDEX(Picks_W13!$AF$6:$AF$69,MATCH($V13,Picks_W13!$AH$6:$AH$69,0)),"")=Results!$B$33)*(IFERROR(INDEX(Picks_W13!$AG$6:$AG$69,MATCH($V13,Picks_W13!$AH$6:$AH$69,0)),"")=Results!$C$33)</f>
        <v>0</v>
      </c>
      <c r="Q13" s="4">
        <f t="shared" si="1"/>
        <v>9</v>
      </c>
      <c r="R13" s="4">
        <f t="shared" si="2"/>
        <v>0</v>
      </c>
      <c r="S13" s="4">
        <f t="shared" si="3"/>
        <v>16.0001237</v>
      </c>
      <c r="T13" s="4">
        <f>IFERROR(INDEX(Picks_W1!$AV$6:$AV$69,MATCH($V13,Picks_W1!$AH$6:$AH$69,0)),0)+IFERROR(INDEX(Picks_W2!$AV$6:$AV$69,MATCH($V13,Picks_W2!$AH$6:$AH$69,0)),0)+IFERROR(INDEX(Picks_W3!$AV$6:$AV$69,MATCH($V13,Picks_W3!$AH$6:$AH$69,0)),0)+IFERROR(INDEX(Picks_W4!$AV$6:$AV$69,MATCH($V13,Picks_W4!$AH$6:$AH$69,0)),0)+IFERROR(INDEX(Picks_W5!$AV$6:$AV$69,MATCH($V13,Picks_W5!$AH$6:$AH$69,0)),0)+IFERROR(INDEX(Picks_W6!$AV$6:$AV$69,MATCH($V13,Picks_W6!$AH$6:$AH$69,0)),0)+IFERROR(INDEX(Picks_W7!$AV$6:$AV$69,MATCH($V13,Picks_W7!$AH$6:$AH$69,0)),0)+IFERROR(INDEX(Picks_W8!$AV$6:$AV$69,MATCH($V13,Picks_W8!$AH$6:$AH$69,0)),0)+IFERROR(INDEX(Picks_W9!$AV$6:$AV$69,MATCH($V13,Picks_W9!$AH$6:$AH$69,0)),0)+IFERROR(INDEX(Picks_W10!$AV$6:$AV$69,MATCH($V13,Picks_W10!$AH$6:$AH$69,0)),0)+IFERROR(INDEX(Picks_W11!$AV$6:$AV$69,MATCH($V13,Picks_W11!$AH$6:$AH$69,0)),0)+IFERROR(INDEX(Picks_W12!$AV$6:$AV$69,MATCH($V13,Picks_W12!$AH$6:$AH$69,0)),0)+IFERROR(INDEX(Picks_W13!$AV$6:$AV$69,MATCH($V13,Picks_W13!$AH$6:$AH$69,0)),0)</f>
        <v>1</v>
      </c>
      <c r="U13" s="17">
        <f>IF(Results!$B$35=0,0,T13/Results!$B$35)</f>
        <v>0.125</v>
      </c>
      <c r="V13" s="4">
        <v>57</v>
      </c>
    </row>
    <row r="14" spans="1:22" ht="15" customHeight="1" x14ac:dyDescent="0.25">
      <c r="A14" s="4" t="str">
        <f>IFERROR(INDEX(Players!$D$6:$D$69,MATCH(V14,Players!$A$6:$A$69,0)),"")</f>
        <v>Dan B.</v>
      </c>
      <c r="B14" s="4">
        <f>IFERROR(INDEX(Picks_W1!$AF$6:$AF$69,MATCH($V14,Picks_W1!$AH$6:$AH$69,0)),0)</f>
        <v>10</v>
      </c>
      <c r="C14" s="4">
        <f>IFERROR(INDEX(Picks_W2!$AF$6:$AF$69,MATCH($V14,Picks_W2!$AH$6:$AH$69,0)),0)</f>
        <v>9</v>
      </c>
      <c r="D14" s="4">
        <f>IFERROR(INDEX(Picks_W3!$AF$6:$AF$69,MATCH($V14,Picks_W3!$AH$6:$AH$69,0)),0)</f>
        <v>0</v>
      </c>
      <c r="E14" s="4">
        <f>IFERROR(INDEX(Picks_W4!$AF$6:$AF$69,MATCH($V14,Picks_W4!$AH$6:$AH$69,0)),0)</f>
        <v>0</v>
      </c>
      <c r="F14" s="4">
        <f>IFERROR(INDEX(Picks_W5!$AF$6:$AF$69,MATCH($V14,Picks_W5!$AH$6:$AH$69,0)),0)</f>
        <v>0</v>
      </c>
      <c r="G14" s="4">
        <f>IFERROR(INDEX(Picks_W6!$AF$6:$AF$69,MATCH($V14,Picks_W6!$AH$6:$AH$69,0)),0)</f>
        <v>0</v>
      </c>
      <c r="H14" s="4">
        <f>IFERROR(INDEX(Picks_W7!$AF$6:$AF$69,MATCH($V14,Picks_W7!$AH$6:$AH$69,0)),0)</f>
        <v>0</v>
      </c>
      <c r="I14" s="4">
        <f>IFERROR(INDEX(Picks_W8!$AF$6:$AF$69,MATCH($V14,Picks_W8!$AH$6:$AH$69,0)),0)</f>
        <v>0</v>
      </c>
      <c r="J14" s="4">
        <f>IFERROR(INDEX(Picks_W9!$AF$6:$AF$69,MATCH($V14,Picks_W9!$AH$6:$AH$69,0)),0)</f>
        <v>0</v>
      </c>
      <c r="K14" s="4">
        <f>IFERROR(INDEX(Picks_W10!$AF$6:$AF$69,MATCH($V14,Picks_W10!$AH$6:$AH$69,0)),0)</f>
        <v>0</v>
      </c>
      <c r="L14" s="4">
        <f>IFERROR(INDEX(Picks_W11!$AF$6:$AF$69,MATCH($V14,Picks_W11!$AH$6:$AH$69,0)),0)</f>
        <v>0</v>
      </c>
      <c r="M14" s="4">
        <f>IFERROR(INDEX(Picks_W12!$AF$6:$AF$69,MATCH($V14,Picks_W12!$AH$6:$AH$69,0)),0)</f>
        <v>0</v>
      </c>
      <c r="N14" s="4">
        <f>IFERROR(INDEX(Picks_W13!$AF$6:$AF$69,MATCH($V14,Picks_W13!$AH$6:$AH$69,0)),0)</f>
        <v>0</v>
      </c>
      <c r="O14" s="4">
        <f t="shared" si="0"/>
        <v>19</v>
      </c>
      <c r="P14" s="4">
        <f>(IFERROR(INDEX(Picks_W1!$AF$6:$AF$69,MATCH($V14,Picks_W1!$AH$6:$AH$69,0)),"")=Results!$B$21)*(IFERROR(INDEX(Picks_W1!$AG$6:$AG$69,MATCH($V14,Picks_W1!$AH$6:$AH$69,0)),"")=Results!$C$21)+(IFERROR(INDEX(Picks_W2!$AF$6:$AF$69,MATCH($V14,Picks_W2!$AH$6:$AH$69,0)),"")=Results!$B$22)*(IFERROR(INDEX(Picks_W2!$AG$6:$AG$69,MATCH($V14,Picks_W2!$AH$6:$AH$69,0)),"")=Results!$C$22)+(IFERROR(INDEX(Picks_W3!$AF$6:$AF$69,MATCH($V14,Picks_W3!$AH$6:$AH$69,0)),"")=Results!$B$23)*(IFERROR(INDEX(Picks_W3!$AG$6:$AG$69,MATCH($V14,Picks_W3!$AH$6:$AH$69,0)),"")=Results!$C$23)+(IFERROR(INDEX(Picks_W4!$AF$6:$AF$69,MATCH($V14,Picks_W4!$AH$6:$AH$69,0)),"")=Results!$B$24)*(IFERROR(INDEX(Picks_W4!$AG$6:$AG$69,MATCH($V14,Picks_W4!$AH$6:$AH$69,0)),"")=Results!$C$24)+(IFERROR(INDEX(Picks_W5!$AF$6:$AF$69,MATCH($V14,Picks_W5!$AH$6:$AH$69,0)),"")=Results!$B$25)*(IFERROR(INDEX(Picks_W5!$AG$6:$AG$69,MATCH($V14,Picks_W5!$AH$6:$AH$69,0)),"")=Results!$C$25)+(IFERROR(INDEX(Picks_W6!$AF$6:$AF$69,MATCH($V14,Picks_W6!$AH$6:$AH$69,0)),"")=Results!$B$26)*(IFERROR(INDEX(Picks_W6!$AG$6:$AG$69,MATCH($V14,Picks_W6!$AH$6:$AH$69,0)),"")=Results!$C$26)+(IFERROR(INDEX(Picks_W7!$AF$6:$AF$69,MATCH($V14,Picks_W7!$AH$6:$AH$69,0)),"")=Results!$B$27)*(IFERROR(INDEX(Picks_W7!$AG$6:$AG$69,MATCH($V14,Picks_W7!$AH$6:$AH$69,0)),"")=Results!$C$27)+(IFERROR(INDEX(Picks_W8!$AF$6:$AF$69,MATCH($V14,Picks_W8!$AH$6:$AH$69,0)),"")=Results!$B$28)*(IFERROR(INDEX(Picks_W8!$AG$6:$AG$69,MATCH($V14,Picks_W8!$AH$6:$AH$69,0)),"")=Results!$C$28)+(IFERROR(INDEX(Picks_W9!$AF$6:$AF$69,MATCH($V14,Picks_W9!$AH$6:$AH$69,0)),"")=Results!$B$29)*(IFERROR(INDEX(Picks_W9!$AG$6:$AG$69,MATCH($V14,Picks_W9!$AH$6:$AH$69,0)),"")=Results!$C$29)+(IFERROR(INDEX(Picks_W10!$AF$6:$AF$69,MATCH($V14,Picks_W10!$AH$6:$AH$69,0)),"")=Results!$B$30)*(IFERROR(INDEX(Picks_W10!$AG$6:$AG$69,MATCH($V14,Picks_W10!$AH$6:$AH$69,0)),"")=Results!$C$30)+(IFERROR(INDEX(Picks_W11!$AF$6:$AF$69,MATCH($V14,Picks_W11!$AH$6:$AH$69,0)),"")=Results!$B$31)*(IFERROR(INDEX(Picks_W11!$AG$6:$AG$69,MATCH($V14,Picks_W11!$AH$6:$AH$69,0)),"")=Results!$C$31)+(IFERROR(INDEX(Picks_W12!$AF$6:$AF$69,MATCH($V14,Picks_W12!$AH$6:$AH$69,0)),"")=Results!$B$32)*(IFERROR(INDEX(Picks_W12!$AG$6:$AG$69,MATCH($V14,Picks_W12!$AH$6:$AH$69,0)),"")=Results!$C$32)+(IFERROR(INDEX(Picks_W13!$AF$6:$AF$69,MATCH($V14,Picks_W13!$AH$6:$AH$69,0)),"")=Results!$B$33)*(IFERROR(INDEX(Picks_W13!$AG$6:$AG$69,MATCH($V14,Picks_W13!$AH$6:$AH$69,0)),"")=Results!$C$33)</f>
        <v>0</v>
      </c>
      <c r="Q14" s="4">
        <f t="shared" si="1"/>
        <v>10</v>
      </c>
      <c r="R14" s="4">
        <f t="shared" si="2"/>
        <v>0</v>
      </c>
      <c r="S14" s="4">
        <f t="shared" si="3"/>
        <v>18.999998600000001</v>
      </c>
      <c r="T14" s="4">
        <f>IFERROR(INDEX(Picks_W1!$AV$6:$AV$69,MATCH($V14,Picks_W1!$AH$6:$AH$69,0)),0)+IFERROR(INDEX(Picks_W2!$AV$6:$AV$69,MATCH($V14,Picks_W2!$AH$6:$AH$69,0)),0)+IFERROR(INDEX(Picks_W3!$AV$6:$AV$69,MATCH($V14,Picks_W3!$AH$6:$AH$69,0)),0)+IFERROR(INDEX(Picks_W4!$AV$6:$AV$69,MATCH($V14,Picks_W4!$AH$6:$AH$69,0)),0)+IFERROR(INDEX(Picks_W5!$AV$6:$AV$69,MATCH($V14,Picks_W5!$AH$6:$AH$69,0)),0)+IFERROR(INDEX(Picks_W6!$AV$6:$AV$69,MATCH($V14,Picks_W6!$AH$6:$AH$69,0)),0)+IFERROR(INDEX(Picks_W7!$AV$6:$AV$69,MATCH($V14,Picks_W7!$AH$6:$AH$69,0)),0)+IFERROR(INDEX(Picks_W8!$AV$6:$AV$69,MATCH($V14,Picks_W8!$AH$6:$AH$69,0)),0)+IFERROR(INDEX(Picks_W9!$AV$6:$AV$69,MATCH($V14,Picks_W9!$AH$6:$AH$69,0)),0)+IFERROR(INDEX(Picks_W10!$AV$6:$AV$69,MATCH($V14,Picks_W10!$AH$6:$AH$69,0)),0)+IFERROR(INDEX(Picks_W11!$AV$6:$AV$69,MATCH($V14,Picks_W11!$AH$6:$AH$69,0)),0)+IFERROR(INDEX(Picks_W12!$AV$6:$AV$69,MATCH($V14,Picks_W12!$AH$6:$AH$69,0)),0)+IFERROR(INDEX(Picks_W13!$AV$6:$AV$69,MATCH($V14,Picks_W13!$AH$6:$AH$69,0)),0)</f>
        <v>0</v>
      </c>
      <c r="U14" s="17">
        <f>IF(Results!$B$35=0,0,T14/Results!$B$35)</f>
        <v>0</v>
      </c>
      <c r="V14" s="4">
        <v>6</v>
      </c>
    </row>
    <row r="15" spans="1:22" ht="15" customHeight="1" x14ac:dyDescent="0.25">
      <c r="A15" s="4" t="str">
        <f>IFERROR(INDEX(Players!$D$6:$D$69,MATCH(V15,Players!$A$6:$A$69,0)),"")</f>
        <v>Dan L.</v>
      </c>
      <c r="B15" s="4">
        <f>IFERROR(INDEX(Picks_W1!$AF$6:$AF$69,MATCH($V15,Picks_W1!$AH$6:$AH$69,0)),0)</f>
        <v>13</v>
      </c>
      <c r="C15" s="4">
        <f>IFERROR(INDEX(Picks_W2!$AF$6:$AF$69,MATCH($V15,Picks_W2!$AH$6:$AH$69,0)),0)</f>
        <v>9</v>
      </c>
      <c r="D15" s="4">
        <f>IFERROR(INDEX(Picks_W3!$AF$6:$AF$69,MATCH($V15,Picks_W3!$AH$6:$AH$69,0)),0)</f>
        <v>0</v>
      </c>
      <c r="E15" s="4">
        <f>IFERROR(INDEX(Picks_W4!$AF$6:$AF$69,MATCH($V15,Picks_W4!$AH$6:$AH$69,0)),0)</f>
        <v>0</v>
      </c>
      <c r="F15" s="4">
        <f>IFERROR(INDEX(Picks_W5!$AF$6:$AF$69,MATCH($V15,Picks_W5!$AH$6:$AH$69,0)),0)</f>
        <v>0</v>
      </c>
      <c r="G15" s="4">
        <f>IFERROR(INDEX(Picks_W6!$AF$6:$AF$69,MATCH($V15,Picks_W6!$AH$6:$AH$69,0)),0)</f>
        <v>0</v>
      </c>
      <c r="H15" s="4">
        <f>IFERROR(INDEX(Picks_W7!$AF$6:$AF$69,MATCH($V15,Picks_W7!$AH$6:$AH$69,0)),0)</f>
        <v>0</v>
      </c>
      <c r="I15" s="4">
        <f>IFERROR(INDEX(Picks_W8!$AF$6:$AF$69,MATCH($V15,Picks_W8!$AH$6:$AH$69,0)),0)</f>
        <v>0</v>
      </c>
      <c r="J15" s="4">
        <f>IFERROR(INDEX(Picks_W9!$AF$6:$AF$69,MATCH($V15,Picks_W9!$AH$6:$AH$69,0)),0)</f>
        <v>0</v>
      </c>
      <c r="K15" s="4">
        <f>IFERROR(INDEX(Picks_W10!$AF$6:$AF$69,MATCH($V15,Picks_W10!$AH$6:$AH$69,0)),0)</f>
        <v>0</v>
      </c>
      <c r="L15" s="4">
        <f>IFERROR(INDEX(Picks_W11!$AF$6:$AF$69,MATCH($V15,Picks_W11!$AH$6:$AH$69,0)),0)</f>
        <v>0</v>
      </c>
      <c r="M15" s="4">
        <f>IFERROR(INDEX(Picks_W12!$AF$6:$AF$69,MATCH($V15,Picks_W12!$AH$6:$AH$69,0)),0)</f>
        <v>0</v>
      </c>
      <c r="N15" s="4">
        <f>IFERROR(INDEX(Picks_W13!$AF$6:$AF$69,MATCH($V15,Picks_W13!$AH$6:$AH$69,0)),0)</f>
        <v>0</v>
      </c>
      <c r="O15" s="4">
        <f t="shared" si="0"/>
        <v>22</v>
      </c>
      <c r="P15" s="4">
        <f>(IFERROR(INDEX(Picks_W1!$AF$6:$AF$69,MATCH($V15,Picks_W1!$AH$6:$AH$69,0)),"")=Results!$B$21)*(IFERROR(INDEX(Picks_W1!$AG$6:$AG$69,MATCH($V15,Picks_W1!$AH$6:$AH$69,0)),"")=Results!$C$21)+(IFERROR(INDEX(Picks_W2!$AF$6:$AF$69,MATCH($V15,Picks_W2!$AH$6:$AH$69,0)),"")=Results!$B$22)*(IFERROR(INDEX(Picks_W2!$AG$6:$AG$69,MATCH($V15,Picks_W2!$AH$6:$AH$69,0)),"")=Results!$C$22)+(IFERROR(INDEX(Picks_W3!$AF$6:$AF$69,MATCH($V15,Picks_W3!$AH$6:$AH$69,0)),"")=Results!$B$23)*(IFERROR(INDEX(Picks_W3!$AG$6:$AG$69,MATCH($V15,Picks_W3!$AH$6:$AH$69,0)),"")=Results!$C$23)+(IFERROR(INDEX(Picks_W4!$AF$6:$AF$69,MATCH($V15,Picks_W4!$AH$6:$AH$69,0)),"")=Results!$B$24)*(IFERROR(INDEX(Picks_W4!$AG$6:$AG$69,MATCH($V15,Picks_W4!$AH$6:$AH$69,0)),"")=Results!$C$24)+(IFERROR(INDEX(Picks_W5!$AF$6:$AF$69,MATCH($V15,Picks_W5!$AH$6:$AH$69,0)),"")=Results!$B$25)*(IFERROR(INDEX(Picks_W5!$AG$6:$AG$69,MATCH($V15,Picks_W5!$AH$6:$AH$69,0)),"")=Results!$C$25)+(IFERROR(INDEX(Picks_W6!$AF$6:$AF$69,MATCH($V15,Picks_W6!$AH$6:$AH$69,0)),"")=Results!$B$26)*(IFERROR(INDEX(Picks_W6!$AG$6:$AG$69,MATCH($V15,Picks_W6!$AH$6:$AH$69,0)),"")=Results!$C$26)+(IFERROR(INDEX(Picks_W7!$AF$6:$AF$69,MATCH($V15,Picks_W7!$AH$6:$AH$69,0)),"")=Results!$B$27)*(IFERROR(INDEX(Picks_W7!$AG$6:$AG$69,MATCH($V15,Picks_W7!$AH$6:$AH$69,0)),"")=Results!$C$27)+(IFERROR(INDEX(Picks_W8!$AF$6:$AF$69,MATCH($V15,Picks_W8!$AH$6:$AH$69,0)),"")=Results!$B$28)*(IFERROR(INDEX(Picks_W8!$AG$6:$AG$69,MATCH($V15,Picks_W8!$AH$6:$AH$69,0)),"")=Results!$C$28)+(IFERROR(INDEX(Picks_W9!$AF$6:$AF$69,MATCH($V15,Picks_W9!$AH$6:$AH$69,0)),"")=Results!$B$29)*(IFERROR(INDEX(Picks_W9!$AG$6:$AG$69,MATCH($V15,Picks_W9!$AH$6:$AH$69,0)),"")=Results!$C$29)+(IFERROR(INDEX(Picks_W10!$AF$6:$AF$69,MATCH($V15,Picks_W10!$AH$6:$AH$69,0)),"")=Results!$B$30)*(IFERROR(INDEX(Picks_W10!$AG$6:$AG$69,MATCH($V15,Picks_W10!$AH$6:$AH$69,0)),"")=Results!$C$30)+(IFERROR(INDEX(Picks_W11!$AF$6:$AF$69,MATCH($V15,Picks_W11!$AH$6:$AH$69,0)),"")=Results!$B$31)*(IFERROR(INDEX(Picks_W11!$AG$6:$AG$69,MATCH($V15,Picks_W11!$AH$6:$AH$69,0)),"")=Results!$C$31)+(IFERROR(INDEX(Picks_W12!$AF$6:$AF$69,MATCH($V15,Picks_W12!$AH$6:$AH$69,0)),"")=Results!$B$32)*(IFERROR(INDEX(Picks_W12!$AG$6:$AG$69,MATCH($V15,Picks_W12!$AH$6:$AH$69,0)),"")=Results!$C$32)+(IFERROR(INDEX(Picks_W13!$AF$6:$AF$69,MATCH($V15,Picks_W13!$AH$6:$AH$69,0)),"")=Results!$B$33)*(IFERROR(INDEX(Picks_W13!$AG$6:$AG$69,MATCH($V15,Picks_W13!$AH$6:$AH$69,0)),"")=Results!$C$33)</f>
        <v>0</v>
      </c>
      <c r="Q15" s="4">
        <f t="shared" si="1"/>
        <v>13</v>
      </c>
      <c r="R15" s="4">
        <f t="shared" si="2"/>
        <v>0</v>
      </c>
      <c r="S15" s="4">
        <f t="shared" si="3"/>
        <v>21.9999985</v>
      </c>
      <c r="T15" s="4">
        <f>IFERROR(INDEX(Picks_W1!$AV$6:$AV$69,MATCH($V15,Picks_W1!$AH$6:$AH$69,0)),0)+IFERROR(INDEX(Picks_W2!$AV$6:$AV$69,MATCH($V15,Picks_W2!$AH$6:$AH$69,0)),0)+IFERROR(INDEX(Picks_W3!$AV$6:$AV$69,MATCH($V15,Picks_W3!$AH$6:$AH$69,0)),0)+IFERROR(INDEX(Picks_W4!$AV$6:$AV$69,MATCH($V15,Picks_W4!$AH$6:$AH$69,0)),0)+IFERROR(INDEX(Picks_W5!$AV$6:$AV$69,MATCH($V15,Picks_W5!$AH$6:$AH$69,0)),0)+IFERROR(INDEX(Picks_W6!$AV$6:$AV$69,MATCH($V15,Picks_W6!$AH$6:$AH$69,0)),0)+IFERROR(INDEX(Picks_W7!$AV$6:$AV$69,MATCH($V15,Picks_W7!$AH$6:$AH$69,0)),0)+IFERROR(INDEX(Picks_W8!$AV$6:$AV$69,MATCH($V15,Picks_W8!$AH$6:$AH$69,0)),0)+IFERROR(INDEX(Picks_W9!$AV$6:$AV$69,MATCH($V15,Picks_W9!$AH$6:$AH$69,0)),0)+IFERROR(INDEX(Picks_W10!$AV$6:$AV$69,MATCH($V15,Picks_W10!$AH$6:$AH$69,0)),0)+IFERROR(INDEX(Picks_W11!$AV$6:$AV$69,MATCH($V15,Picks_W11!$AH$6:$AH$69,0)),0)+IFERROR(INDEX(Picks_W12!$AV$6:$AV$69,MATCH($V15,Picks_W12!$AH$6:$AH$69,0)),0)+IFERROR(INDEX(Picks_W13!$AV$6:$AV$69,MATCH($V15,Picks_W13!$AH$6:$AH$69,0)),0)</f>
        <v>0</v>
      </c>
      <c r="U15" s="17">
        <f>IF(Results!$B$35=0,0,T15/Results!$B$35)</f>
        <v>0</v>
      </c>
      <c r="V15" s="4">
        <v>5</v>
      </c>
    </row>
    <row r="16" spans="1:22" ht="15" customHeight="1" x14ac:dyDescent="0.25">
      <c r="A16" s="4" t="str">
        <f>IFERROR(INDEX(Players!$D$6:$D$69,MATCH(V16,Players!$A$6:$A$69,0)),"")</f>
        <v>Dave H.</v>
      </c>
      <c r="B16" s="4">
        <f>IFERROR(INDEX(Picks_W1!$AF$6:$AF$69,MATCH($V16,Picks_W1!$AH$6:$AH$69,0)),0)</f>
        <v>11</v>
      </c>
      <c r="C16" s="4">
        <f>IFERROR(INDEX(Picks_W2!$AF$6:$AF$69,MATCH($V16,Picks_W2!$AH$6:$AH$69,0)),0)</f>
        <v>12</v>
      </c>
      <c r="D16" s="4">
        <f>IFERROR(INDEX(Picks_W3!$AF$6:$AF$69,MATCH($V16,Picks_W3!$AH$6:$AH$69,0)),0)</f>
        <v>0</v>
      </c>
      <c r="E16" s="4">
        <f>IFERROR(INDEX(Picks_W4!$AF$6:$AF$69,MATCH($V16,Picks_W4!$AH$6:$AH$69,0)),0)</f>
        <v>0</v>
      </c>
      <c r="F16" s="4">
        <f>IFERROR(INDEX(Picks_W5!$AF$6:$AF$69,MATCH($V16,Picks_W5!$AH$6:$AH$69,0)),0)</f>
        <v>0</v>
      </c>
      <c r="G16" s="4">
        <f>IFERROR(INDEX(Picks_W6!$AF$6:$AF$69,MATCH($V16,Picks_W6!$AH$6:$AH$69,0)),0)</f>
        <v>0</v>
      </c>
      <c r="H16" s="4">
        <f>IFERROR(INDEX(Picks_W7!$AF$6:$AF$69,MATCH($V16,Picks_W7!$AH$6:$AH$69,0)),0)</f>
        <v>0</v>
      </c>
      <c r="I16" s="4">
        <f>IFERROR(INDEX(Picks_W8!$AF$6:$AF$69,MATCH($V16,Picks_W8!$AH$6:$AH$69,0)),0)</f>
        <v>0</v>
      </c>
      <c r="J16" s="4">
        <f>IFERROR(INDEX(Picks_W9!$AF$6:$AF$69,MATCH($V16,Picks_W9!$AH$6:$AH$69,0)),0)</f>
        <v>0</v>
      </c>
      <c r="K16" s="4">
        <f>IFERROR(INDEX(Picks_W10!$AF$6:$AF$69,MATCH($V16,Picks_W10!$AH$6:$AH$69,0)),0)</f>
        <v>0</v>
      </c>
      <c r="L16" s="4">
        <f>IFERROR(INDEX(Picks_W11!$AF$6:$AF$69,MATCH($V16,Picks_W11!$AH$6:$AH$69,0)),0)</f>
        <v>0</v>
      </c>
      <c r="M16" s="4">
        <f>IFERROR(INDEX(Picks_W12!$AF$6:$AF$69,MATCH($V16,Picks_W12!$AH$6:$AH$69,0)),0)</f>
        <v>0</v>
      </c>
      <c r="N16" s="4">
        <f>IFERROR(INDEX(Picks_W13!$AF$6:$AF$69,MATCH($V16,Picks_W13!$AH$6:$AH$69,0)),0)</f>
        <v>0</v>
      </c>
      <c r="O16" s="4">
        <f t="shared" si="0"/>
        <v>23</v>
      </c>
      <c r="P16" s="4">
        <f>(IFERROR(INDEX(Picks_W1!$AF$6:$AF$69,MATCH($V16,Picks_W1!$AH$6:$AH$69,0)),"")=Results!$B$21)*(IFERROR(INDEX(Picks_W1!$AG$6:$AG$69,MATCH($V16,Picks_W1!$AH$6:$AH$69,0)),"")=Results!$C$21)+(IFERROR(INDEX(Picks_W2!$AF$6:$AF$69,MATCH($V16,Picks_W2!$AH$6:$AH$69,0)),"")=Results!$B$22)*(IFERROR(INDEX(Picks_W2!$AG$6:$AG$69,MATCH($V16,Picks_W2!$AH$6:$AH$69,0)),"")=Results!$C$22)+(IFERROR(INDEX(Picks_W3!$AF$6:$AF$69,MATCH($V16,Picks_W3!$AH$6:$AH$69,0)),"")=Results!$B$23)*(IFERROR(INDEX(Picks_W3!$AG$6:$AG$69,MATCH($V16,Picks_W3!$AH$6:$AH$69,0)),"")=Results!$C$23)+(IFERROR(INDEX(Picks_W4!$AF$6:$AF$69,MATCH($V16,Picks_W4!$AH$6:$AH$69,0)),"")=Results!$B$24)*(IFERROR(INDEX(Picks_W4!$AG$6:$AG$69,MATCH($V16,Picks_W4!$AH$6:$AH$69,0)),"")=Results!$C$24)+(IFERROR(INDEX(Picks_W5!$AF$6:$AF$69,MATCH($V16,Picks_W5!$AH$6:$AH$69,0)),"")=Results!$B$25)*(IFERROR(INDEX(Picks_W5!$AG$6:$AG$69,MATCH($V16,Picks_W5!$AH$6:$AH$69,0)),"")=Results!$C$25)+(IFERROR(INDEX(Picks_W6!$AF$6:$AF$69,MATCH($V16,Picks_W6!$AH$6:$AH$69,0)),"")=Results!$B$26)*(IFERROR(INDEX(Picks_W6!$AG$6:$AG$69,MATCH($V16,Picks_W6!$AH$6:$AH$69,0)),"")=Results!$C$26)+(IFERROR(INDEX(Picks_W7!$AF$6:$AF$69,MATCH($V16,Picks_W7!$AH$6:$AH$69,0)),"")=Results!$B$27)*(IFERROR(INDEX(Picks_W7!$AG$6:$AG$69,MATCH($V16,Picks_W7!$AH$6:$AH$69,0)),"")=Results!$C$27)+(IFERROR(INDEX(Picks_W8!$AF$6:$AF$69,MATCH($V16,Picks_W8!$AH$6:$AH$69,0)),"")=Results!$B$28)*(IFERROR(INDEX(Picks_W8!$AG$6:$AG$69,MATCH($V16,Picks_W8!$AH$6:$AH$69,0)),"")=Results!$C$28)+(IFERROR(INDEX(Picks_W9!$AF$6:$AF$69,MATCH($V16,Picks_W9!$AH$6:$AH$69,0)),"")=Results!$B$29)*(IFERROR(INDEX(Picks_W9!$AG$6:$AG$69,MATCH($V16,Picks_W9!$AH$6:$AH$69,0)),"")=Results!$C$29)+(IFERROR(INDEX(Picks_W10!$AF$6:$AF$69,MATCH($V16,Picks_W10!$AH$6:$AH$69,0)),"")=Results!$B$30)*(IFERROR(INDEX(Picks_W10!$AG$6:$AG$69,MATCH($V16,Picks_W10!$AH$6:$AH$69,0)),"")=Results!$C$30)+(IFERROR(INDEX(Picks_W11!$AF$6:$AF$69,MATCH($V16,Picks_W11!$AH$6:$AH$69,0)),"")=Results!$B$31)*(IFERROR(INDEX(Picks_W11!$AG$6:$AG$69,MATCH($V16,Picks_W11!$AH$6:$AH$69,0)),"")=Results!$C$31)+(IFERROR(INDEX(Picks_W12!$AF$6:$AF$69,MATCH($V16,Picks_W12!$AH$6:$AH$69,0)),"")=Results!$B$32)*(IFERROR(INDEX(Picks_W12!$AG$6:$AG$69,MATCH($V16,Picks_W12!$AH$6:$AH$69,0)),"")=Results!$C$32)+(IFERROR(INDEX(Picks_W13!$AF$6:$AF$69,MATCH($V16,Picks_W13!$AH$6:$AH$69,0)),"")=Results!$B$33)*(IFERROR(INDEX(Picks_W13!$AG$6:$AG$69,MATCH($V16,Picks_W13!$AH$6:$AH$69,0)),"")=Results!$C$33)</f>
        <v>0</v>
      </c>
      <c r="Q16" s="4">
        <f t="shared" si="1"/>
        <v>12</v>
      </c>
      <c r="R16" s="4">
        <f t="shared" si="2"/>
        <v>0</v>
      </c>
      <c r="S16" s="4">
        <f t="shared" si="3"/>
        <v>23.000373399999997</v>
      </c>
      <c r="T16" s="4">
        <f>IFERROR(INDEX(Picks_W1!$AV$6:$AV$69,MATCH($V16,Picks_W1!$AH$6:$AH$69,0)),0)+IFERROR(INDEX(Picks_W2!$AV$6:$AV$69,MATCH($V16,Picks_W2!$AH$6:$AH$69,0)),0)+IFERROR(INDEX(Picks_W3!$AV$6:$AV$69,MATCH($V16,Picks_W3!$AH$6:$AH$69,0)),0)+IFERROR(INDEX(Picks_W4!$AV$6:$AV$69,MATCH($V16,Picks_W4!$AH$6:$AH$69,0)),0)+IFERROR(INDEX(Picks_W5!$AV$6:$AV$69,MATCH($V16,Picks_W5!$AH$6:$AH$69,0)),0)+IFERROR(INDEX(Picks_W6!$AV$6:$AV$69,MATCH($V16,Picks_W6!$AH$6:$AH$69,0)),0)+IFERROR(INDEX(Picks_W7!$AV$6:$AV$69,MATCH($V16,Picks_W7!$AH$6:$AH$69,0)),0)+IFERROR(INDEX(Picks_W8!$AV$6:$AV$69,MATCH($V16,Picks_W8!$AH$6:$AH$69,0)),0)+IFERROR(INDEX(Picks_W9!$AV$6:$AV$69,MATCH($V16,Picks_W9!$AH$6:$AH$69,0)),0)+IFERROR(INDEX(Picks_W10!$AV$6:$AV$69,MATCH($V16,Picks_W10!$AH$6:$AH$69,0)),0)+IFERROR(INDEX(Picks_W11!$AV$6:$AV$69,MATCH($V16,Picks_W11!$AH$6:$AH$69,0)),0)+IFERROR(INDEX(Picks_W12!$AV$6:$AV$69,MATCH($V16,Picks_W12!$AH$6:$AH$69,0)),0)+IFERROR(INDEX(Picks_W13!$AV$6:$AV$69,MATCH($V16,Picks_W13!$AH$6:$AH$69,0)),0)</f>
        <v>3</v>
      </c>
      <c r="U16" s="17">
        <f>IF(Results!$B$35=0,0,T16/Results!$B$35)</f>
        <v>0.375</v>
      </c>
      <c r="V16" s="4">
        <v>8</v>
      </c>
    </row>
    <row r="17" spans="1:22" ht="15" customHeight="1" x14ac:dyDescent="0.25">
      <c r="A17" s="4" t="str">
        <f>IFERROR(INDEX(Players!$D$6:$D$69,MATCH(V17,Players!$A$6:$A$69,0)),"")</f>
        <v>David Y.</v>
      </c>
      <c r="B17" s="4">
        <f>IFERROR(INDEX(Picks_W1!$AF$6:$AF$69,MATCH($V17,Picks_W1!$AH$6:$AH$69,0)),0)</f>
        <v>13</v>
      </c>
      <c r="C17" s="4">
        <f>IFERROR(INDEX(Picks_W2!$AF$6:$AF$69,MATCH($V17,Picks_W2!$AH$6:$AH$69,0)),0)</f>
        <v>8</v>
      </c>
      <c r="D17" s="4">
        <f>IFERROR(INDEX(Picks_W3!$AF$6:$AF$69,MATCH($V17,Picks_W3!$AH$6:$AH$69,0)),0)</f>
        <v>0</v>
      </c>
      <c r="E17" s="4">
        <f>IFERROR(INDEX(Picks_W4!$AF$6:$AF$69,MATCH($V17,Picks_W4!$AH$6:$AH$69,0)),0)</f>
        <v>0</v>
      </c>
      <c r="F17" s="4">
        <f>IFERROR(INDEX(Picks_W5!$AF$6:$AF$69,MATCH($V17,Picks_W5!$AH$6:$AH$69,0)),0)</f>
        <v>0</v>
      </c>
      <c r="G17" s="4">
        <f>IFERROR(INDEX(Picks_W6!$AF$6:$AF$69,MATCH($V17,Picks_W6!$AH$6:$AH$69,0)),0)</f>
        <v>0</v>
      </c>
      <c r="H17" s="4">
        <f>IFERROR(INDEX(Picks_W7!$AF$6:$AF$69,MATCH($V17,Picks_W7!$AH$6:$AH$69,0)),0)</f>
        <v>0</v>
      </c>
      <c r="I17" s="4">
        <f>IFERROR(INDEX(Picks_W8!$AF$6:$AF$69,MATCH($V17,Picks_W8!$AH$6:$AH$69,0)),0)</f>
        <v>0</v>
      </c>
      <c r="J17" s="4">
        <f>IFERROR(INDEX(Picks_W9!$AF$6:$AF$69,MATCH($V17,Picks_W9!$AH$6:$AH$69,0)),0)</f>
        <v>0</v>
      </c>
      <c r="K17" s="4">
        <f>IFERROR(INDEX(Picks_W10!$AF$6:$AF$69,MATCH($V17,Picks_W10!$AH$6:$AH$69,0)),0)</f>
        <v>0</v>
      </c>
      <c r="L17" s="4">
        <f>IFERROR(INDEX(Picks_W11!$AF$6:$AF$69,MATCH($V17,Picks_W11!$AH$6:$AH$69,0)),0)</f>
        <v>0</v>
      </c>
      <c r="M17" s="4">
        <f>IFERROR(INDEX(Picks_W12!$AF$6:$AF$69,MATCH($V17,Picks_W12!$AH$6:$AH$69,0)),0)</f>
        <v>0</v>
      </c>
      <c r="N17" s="4">
        <f>IFERROR(INDEX(Picks_W13!$AF$6:$AF$69,MATCH($V17,Picks_W13!$AH$6:$AH$69,0)),0)</f>
        <v>0</v>
      </c>
      <c r="O17" s="4">
        <f t="shared" si="0"/>
        <v>21</v>
      </c>
      <c r="P17" s="4">
        <f>(IFERROR(INDEX(Picks_W1!$AF$6:$AF$69,MATCH($V17,Picks_W1!$AH$6:$AH$69,0)),"")=Results!$B$21)*(IFERROR(INDEX(Picks_W1!$AG$6:$AG$69,MATCH($V17,Picks_W1!$AH$6:$AH$69,0)),"")=Results!$C$21)+(IFERROR(INDEX(Picks_W2!$AF$6:$AF$69,MATCH($V17,Picks_W2!$AH$6:$AH$69,0)),"")=Results!$B$22)*(IFERROR(INDEX(Picks_W2!$AG$6:$AG$69,MATCH($V17,Picks_W2!$AH$6:$AH$69,0)),"")=Results!$C$22)+(IFERROR(INDEX(Picks_W3!$AF$6:$AF$69,MATCH($V17,Picks_W3!$AH$6:$AH$69,0)),"")=Results!$B$23)*(IFERROR(INDEX(Picks_W3!$AG$6:$AG$69,MATCH($V17,Picks_W3!$AH$6:$AH$69,0)),"")=Results!$C$23)+(IFERROR(INDEX(Picks_W4!$AF$6:$AF$69,MATCH($V17,Picks_W4!$AH$6:$AH$69,0)),"")=Results!$B$24)*(IFERROR(INDEX(Picks_W4!$AG$6:$AG$69,MATCH($V17,Picks_W4!$AH$6:$AH$69,0)),"")=Results!$C$24)+(IFERROR(INDEX(Picks_W5!$AF$6:$AF$69,MATCH($V17,Picks_W5!$AH$6:$AH$69,0)),"")=Results!$B$25)*(IFERROR(INDEX(Picks_W5!$AG$6:$AG$69,MATCH($V17,Picks_W5!$AH$6:$AH$69,0)),"")=Results!$C$25)+(IFERROR(INDEX(Picks_W6!$AF$6:$AF$69,MATCH($V17,Picks_W6!$AH$6:$AH$69,0)),"")=Results!$B$26)*(IFERROR(INDEX(Picks_W6!$AG$6:$AG$69,MATCH($V17,Picks_W6!$AH$6:$AH$69,0)),"")=Results!$C$26)+(IFERROR(INDEX(Picks_W7!$AF$6:$AF$69,MATCH($V17,Picks_W7!$AH$6:$AH$69,0)),"")=Results!$B$27)*(IFERROR(INDEX(Picks_W7!$AG$6:$AG$69,MATCH($V17,Picks_W7!$AH$6:$AH$69,0)),"")=Results!$C$27)+(IFERROR(INDEX(Picks_W8!$AF$6:$AF$69,MATCH($V17,Picks_W8!$AH$6:$AH$69,0)),"")=Results!$B$28)*(IFERROR(INDEX(Picks_W8!$AG$6:$AG$69,MATCH($V17,Picks_W8!$AH$6:$AH$69,0)),"")=Results!$C$28)+(IFERROR(INDEX(Picks_W9!$AF$6:$AF$69,MATCH($V17,Picks_W9!$AH$6:$AH$69,0)),"")=Results!$B$29)*(IFERROR(INDEX(Picks_W9!$AG$6:$AG$69,MATCH($V17,Picks_W9!$AH$6:$AH$69,0)),"")=Results!$C$29)+(IFERROR(INDEX(Picks_W10!$AF$6:$AF$69,MATCH($V17,Picks_W10!$AH$6:$AH$69,0)),"")=Results!$B$30)*(IFERROR(INDEX(Picks_W10!$AG$6:$AG$69,MATCH($V17,Picks_W10!$AH$6:$AH$69,0)),"")=Results!$C$30)+(IFERROR(INDEX(Picks_W11!$AF$6:$AF$69,MATCH($V17,Picks_W11!$AH$6:$AH$69,0)),"")=Results!$B$31)*(IFERROR(INDEX(Picks_W11!$AG$6:$AG$69,MATCH($V17,Picks_W11!$AH$6:$AH$69,0)),"")=Results!$C$31)+(IFERROR(INDEX(Picks_W12!$AF$6:$AF$69,MATCH($V17,Picks_W12!$AH$6:$AH$69,0)),"")=Results!$B$32)*(IFERROR(INDEX(Picks_W12!$AG$6:$AG$69,MATCH($V17,Picks_W12!$AH$6:$AH$69,0)),"")=Results!$C$32)+(IFERROR(INDEX(Picks_W13!$AF$6:$AF$69,MATCH($V17,Picks_W13!$AH$6:$AH$69,0)),"")=Results!$B$33)*(IFERROR(INDEX(Picks_W13!$AG$6:$AG$69,MATCH($V17,Picks_W13!$AH$6:$AH$69,0)),"")=Results!$C$33)</f>
        <v>0</v>
      </c>
      <c r="Q17" s="4">
        <f t="shared" si="1"/>
        <v>13</v>
      </c>
      <c r="R17" s="4">
        <f t="shared" si="2"/>
        <v>0</v>
      </c>
      <c r="S17" s="4">
        <f t="shared" si="3"/>
        <v>21.000123300000002</v>
      </c>
      <c r="T17" s="4">
        <f>IFERROR(INDEX(Picks_W1!$AV$6:$AV$69,MATCH($V17,Picks_W1!$AH$6:$AH$69,0)),0)+IFERROR(INDEX(Picks_W2!$AV$6:$AV$69,MATCH($V17,Picks_W2!$AH$6:$AH$69,0)),0)+IFERROR(INDEX(Picks_W3!$AV$6:$AV$69,MATCH($V17,Picks_W3!$AH$6:$AH$69,0)),0)+IFERROR(INDEX(Picks_W4!$AV$6:$AV$69,MATCH($V17,Picks_W4!$AH$6:$AH$69,0)),0)+IFERROR(INDEX(Picks_W5!$AV$6:$AV$69,MATCH($V17,Picks_W5!$AH$6:$AH$69,0)),0)+IFERROR(INDEX(Picks_W6!$AV$6:$AV$69,MATCH($V17,Picks_W6!$AH$6:$AH$69,0)),0)+IFERROR(INDEX(Picks_W7!$AV$6:$AV$69,MATCH($V17,Picks_W7!$AH$6:$AH$69,0)),0)+IFERROR(INDEX(Picks_W8!$AV$6:$AV$69,MATCH($V17,Picks_W8!$AH$6:$AH$69,0)),0)+IFERROR(INDEX(Picks_W9!$AV$6:$AV$69,MATCH($V17,Picks_W9!$AH$6:$AH$69,0)),0)+IFERROR(INDEX(Picks_W10!$AV$6:$AV$69,MATCH($V17,Picks_W10!$AH$6:$AH$69,0)),0)+IFERROR(INDEX(Picks_W11!$AV$6:$AV$69,MATCH($V17,Picks_W11!$AH$6:$AH$69,0)),0)+IFERROR(INDEX(Picks_W12!$AV$6:$AV$69,MATCH($V17,Picks_W12!$AH$6:$AH$69,0)),0)+IFERROR(INDEX(Picks_W13!$AV$6:$AV$69,MATCH($V17,Picks_W13!$AH$6:$AH$69,0)),0)</f>
        <v>1</v>
      </c>
      <c r="U17" s="17">
        <f>IF(Results!$B$35=0,0,T17/Results!$B$35)</f>
        <v>0.125</v>
      </c>
      <c r="V17" s="4">
        <v>7</v>
      </c>
    </row>
    <row r="18" spans="1:22" ht="15" customHeight="1" x14ac:dyDescent="0.25">
      <c r="A18" s="4" t="str">
        <f>IFERROR(INDEX(Players!$D$6:$D$69,MATCH(V18,Players!$A$6:$A$69,0)),"")</f>
        <v>Dino C.</v>
      </c>
      <c r="B18" s="4">
        <f>IFERROR(INDEX(Picks_W1!$AF$6:$AF$69,MATCH($V18,Picks_W1!$AH$6:$AH$69,0)),0)</f>
        <v>8</v>
      </c>
      <c r="C18" s="4">
        <f>IFERROR(INDEX(Picks_W2!$AF$6:$AF$69,MATCH($V18,Picks_W2!$AH$6:$AH$69,0)),0)</f>
        <v>11</v>
      </c>
      <c r="D18" s="4">
        <f>IFERROR(INDEX(Picks_W3!$AF$6:$AF$69,MATCH($V18,Picks_W3!$AH$6:$AH$69,0)),0)</f>
        <v>0</v>
      </c>
      <c r="E18" s="4">
        <f>IFERROR(INDEX(Picks_W4!$AF$6:$AF$69,MATCH($V18,Picks_W4!$AH$6:$AH$69,0)),0)</f>
        <v>0</v>
      </c>
      <c r="F18" s="4">
        <f>IFERROR(INDEX(Picks_W5!$AF$6:$AF$69,MATCH($V18,Picks_W5!$AH$6:$AH$69,0)),0)</f>
        <v>0</v>
      </c>
      <c r="G18" s="4">
        <f>IFERROR(INDEX(Picks_W6!$AF$6:$AF$69,MATCH($V18,Picks_W6!$AH$6:$AH$69,0)),0)</f>
        <v>0</v>
      </c>
      <c r="H18" s="4">
        <f>IFERROR(INDEX(Picks_W7!$AF$6:$AF$69,MATCH($V18,Picks_W7!$AH$6:$AH$69,0)),0)</f>
        <v>0</v>
      </c>
      <c r="I18" s="4">
        <f>IFERROR(INDEX(Picks_W8!$AF$6:$AF$69,MATCH($V18,Picks_W8!$AH$6:$AH$69,0)),0)</f>
        <v>0</v>
      </c>
      <c r="J18" s="4">
        <f>IFERROR(INDEX(Picks_W9!$AF$6:$AF$69,MATCH($V18,Picks_W9!$AH$6:$AH$69,0)),0)</f>
        <v>0</v>
      </c>
      <c r="K18" s="4">
        <f>IFERROR(INDEX(Picks_W10!$AF$6:$AF$69,MATCH($V18,Picks_W10!$AH$6:$AH$69,0)),0)</f>
        <v>0</v>
      </c>
      <c r="L18" s="4">
        <f>IFERROR(INDEX(Picks_W11!$AF$6:$AF$69,MATCH($V18,Picks_W11!$AH$6:$AH$69,0)),0)</f>
        <v>0</v>
      </c>
      <c r="M18" s="4">
        <f>IFERROR(INDEX(Picks_W12!$AF$6:$AF$69,MATCH($V18,Picks_W12!$AH$6:$AH$69,0)),0)</f>
        <v>0</v>
      </c>
      <c r="N18" s="4">
        <f>IFERROR(INDEX(Picks_W13!$AF$6:$AF$69,MATCH($V18,Picks_W13!$AH$6:$AH$69,0)),0)</f>
        <v>0</v>
      </c>
      <c r="O18" s="4">
        <f t="shared" si="0"/>
        <v>19</v>
      </c>
      <c r="P18" s="4">
        <f>(IFERROR(INDEX(Picks_W1!$AF$6:$AF$69,MATCH($V18,Picks_W1!$AH$6:$AH$69,0)),"")=Results!$B$21)*(IFERROR(INDEX(Picks_W1!$AG$6:$AG$69,MATCH($V18,Picks_W1!$AH$6:$AH$69,0)),"")=Results!$C$21)+(IFERROR(INDEX(Picks_W2!$AF$6:$AF$69,MATCH($V18,Picks_W2!$AH$6:$AH$69,0)),"")=Results!$B$22)*(IFERROR(INDEX(Picks_W2!$AG$6:$AG$69,MATCH($V18,Picks_W2!$AH$6:$AH$69,0)),"")=Results!$C$22)+(IFERROR(INDEX(Picks_W3!$AF$6:$AF$69,MATCH($V18,Picks_W3!$AH$6:$AH$69,0)),"")=Results!$B$23)*(IFERROR(INDEX(Picks_W3!$AG$6:$AG$69,MATCH($V18,Picks_W3!$AH$6:$AH$69,0)),"")=Results!$C$23)+(IFERROR(INDEX(Picks_W4!$AF$6:$AF$69,MATCH($V18,Picks_W4!$AH$6:$AH$69,0)),"")=Results!$B$24)*(IFERROR(INDEX(Picks_W4!$AG$6:$AG$69,MATCH($V18,Picks_W4!$AH$6:$AH$69,0)),"")=Results!$C$24)+(IFERROR(INDEX(Picks_W5!$AF$6:$AF$69,MATCH($V18,Picks_W5!$AH$6:$AH$69,0)),"")=Results!$B$25)*(IFERROR(INDEX(Picks_W5!$AG$6:$AG$69,MATCH($V18,Picks_W5!$AH$6:$AH$69,0)),"")=Results!$C$25)+(IFERROR(INDEX(Picks_W6!$AF$6:$AF$69,MATCH($V18,Picks_W6!$AH$6:$AH$69,0)),"")=Results!$B$26)*(IFERROR(INDEX(Picks_W6!$AG$6:$AG$69,MATCH($V18,Picks_W6!$AH$6:$AH$69,0)),"")=Results!$C$26)+(IFERROR(INDEX(Picks_W7!$AF$6:$AF$69,MATCH($V18,Picks_W7!$AH$6:$AH$69,0)),"")=Results!$B$27)*(IFERROR(INDEX(Picks_W7!$AG$6:$AG$69,MATCH($V18,Picks_W7!$AH$6:$AH$69,0)),"")=Results!$C$27)+(IFERROR(INDEX(Picks_W8!$AF$6:$AF$69,MATCH($V18,Picks_W8!$AH$6:$AH$69,0)),"")=Results!$B$28)*(IFERROR(INDEX(Picks_W8!$AG$6:$AG$69,MATCH($V18,Picks_W8!$AH$6:$AH$69,0)),"")=Results!$C$28)+(IFERROR(INDEX(Picks_W9!$AF$6:$AF$69,MATCH($V18,Picks_W9!$AH$6:$AH$69,0)),"")=Results!$B$29)*(IFERROR(INDEX(Picks_W9!$AG$6:$AG$69,MATCH($V18,Picks_W9!$AH$6:$AH$69,0)),"")=Results!$C$29)+(IFERROR(INDEX(Picks_W10!$AF$6:$AF$69,MATCH($V18,Picks_W10!$AH$6:$AH$69,0)),"")=Results!$B$30)*(IFERROR(INDEX(Picks_W10!$AG$6:$AG$69,MATCH($V18,Picks_W10!$AH$6:$AH$69,0)),"")=Results!$C$30)+(IFERROR(INDEX(Picks_W11!$AF$6:$AF$69,MATCH($V18,Picks_W11!$AH$6:$AH$69,0)),"")=Results!$B$31)*(IFERROR(INDEX(Picks_W11!$AG$6:$AG$69,MATCH($V18,Picks_W11!$AH$6:$AH$69,0)),"")=Results!$C$31)+(IFERROR(INDEX(Picks_W12!$AF$6:$AF$69,MATCH($V18,Picks_W12!$AH$6:$AH$69,0)),"")=Results!$B$32)*(IFERROR(INDEX(Picks_W12!$AG$6:$AG$69,MATCH($V18,Picks_W12!$AH$6:$AH$69,0)),"")=Results!$C$32)+(IFERROR(INDEX(Picks_W13!$AF$6:$AF$69,MATCH($V18,Picks_W13!$AH$6:$AH$69,0)),"")=Results!$B$33)*(IFERROR(INDEX(Picks_W13!$AG$6:$AG$69,MATCH($V18,Picks_W13!$AH$6:$AH$69,0)),"")=Results!$C$33)</f>
        <v>0</v>
      </c>
      <c r="Q18" s="4">
        <f t="shared" si="1"/>
        <v>11</v>
      </c>
      <c r="R18" s="4">
        <f t="shared" si="2"/>
        <v>0</v>
      </c>
      <c r="S18" s="4">
        <f t="shared" si="3"/>
        <v>19.000248200000001</v>
      </c>
      <c r="T18" s="4">
        <f>IFERROR(INDEX(Picks_W1!$AV$6:$AV$69,MATCH($V18,Picks_W1!$AH$6:$AH$69,0)),0)+IFERROR(INDEX(Picks_W2!$AV$6:$AV$69,MATCH($V18,Picks_W2!$AH$6:$AH$69,0)),0)+IFERROR(INDEX(Picks_W3!$AV$6:$AV$69,MATCH($V18,Picks_W3!$AH$6:$AH$69,0)),0)+IFERROR(INDEX(Picks_W4!$AV$6:$AV$69,MATCH($V18,Picks_W4!$AH$6:$AH$69,0)),0)+IFERROR(INDEX(Picks_W5!$AV$6:$AV$69,MATCH($V18,Picks_W5!$AH$6:$AH$69,0)),0)+IFERROR(INDEX(Picks_W6!$AV$6:$AV$69,MATCH($V18,Picks_W6!$AH$6:$AH$69,0)),0)+IFERROR(INDEX(Picks_W7!$AV$6:$AV$69,MATCH($V18,Picks_W7!$AH$6:$AH$69,0)),0)+IFERROR(INDEX(Picks_W8!$AV$6:$AV$69,MATCH($V18,Picks_W8!$AH$6:$AH$69,0)),0)+IFERROR(INDEX(Picks_W9!$AV$6:$AV$69,MATCH($V18,Picks_W9!$AH$6:$AH$69,0)),0)+IFERROR(INDEX(Picks_W10!$AV$6:$AV$69,MATCH($V18,Picks_W10!$AH$6:$AH$69,0)),0)+IFERROR(INDEX(Picks_W11!$AV$6:$AV$69,MATCH($V18,Picks_W11!$AH$6:$AH$69,0)),0)+IFERROR(INDEX(Picks_W12!$AV$6:$AV$69,MATCH($V18,Picks_W12!$AH$6:$AH$69,0)),0)+IFERROR(INDEX(Picks_W13!$AV$6:$AV$69,MATCH($V18,Picks_W13!$AH$6:$AH$69,0)),0)</f>
        <v>2</v>
      </c>
      <c r="U18" s="17">
        <f>IF(Results!$B$35=0,0,T18/Results!$B$35)</f>
        <v>0.25</v>
      </c>
      <c r="V18" s="4">
        <v>37</v>
      </c>
    </row>
    <row r="19" spans="1:22" ht="15" customHeight="1" x14ac:dyDescent="0.25">
      <c r="A19" s="4" t="str">
        <f>IFERROR(INDEX(Players!$D$6:$D$69,MATCH(V19,Players!$A$6:$A$69,0)),"")</f>
        <v>Dona B.</v>
      </c>
      <c r="B19" s="4">
        <f>IFERROR(INDEX(Picks_W1!$AF$6:$AF$69,MATCH($V19,Picks_W1!$AH$6:$AH$69,0)),0)</f>
        <v>12</v>
      </c>
      <c r="C19" s="4">
        <f>IFERROR(INDEX(Picks_W2!$AF$6:$AF$69,MATCH($V19,Picks_W2!$AH$6:$AH$69,0)),0)</f>
        <v>7</v>
      </c>
      <c r="D19" s="4">
        <f>IFERROR(INDEX(Picks_W3!$AF$6:$AF$69,MATCH($V19,Picks_W3!$AH$6:$AH$69,0)),0)</f>
        <v>0</v>
      </c>
      <c r="E19" s="4">
        <f>IFERROR(INDEX(Picks_W4!$AF$6:$AF$69,MATCH($V19,Picks_W4!$AH$6:$AH$69,0)),0)</f>
        <v>0</v>
      </c>
      <c r="F19" s="4">
        <f>IFERROR(INDEX(Picks_W5!$AF$6:$AF$69,MATCH($V19,Picks_W5!$AH$6:$AH$69,0)),0)</f>
        <v>0</v>
      </c>
      <c r="G19" s="4">
        <f>IFERROR(INDEX(Picks_W6!$AF$6:$AF$69,MATCH($V19,Picks_W6!$AH$6:$AH$69,0)),0)</f>
        <v>0</v>
      </c>
      <c r="H19" s="4">
        <f>IFERROR(INDEX(Picks_W7!$AF$6:$AF$69,MATCH($V19,Picks_W7!$AH$6:$AH$69,0)),0)</f>
        <v>0</v>
      </c>
      <c r="I19" s="4">
        <f>IFERROR(INDEX(Picks_W8!$AF$6:$AF$69,MATCH($V19,Picks_W8!$AH$6:$AH$69,0)),0)</f>
        <v>0</v>
      </c>
      <c r="J19" s="4">
        <f>IFERROR(INDEX(Picks_W9!$AF$6:$AF$69,MATCH($V19,Picks_W9!$AH$6:$AH$69,0)),0)</f>
        <v>0</v>
      </c>
      <c r="K19" s="4">
        <f>IFERROR(INDEX(Picks_W10!$AF$6:$AF$69,MATCH($V19,Picks_W10!$AH$6:$AH$69,0)),0)</f>
        <v>0</v>
      </c>
      <c r="L19" s="4">
        <f>IFERROR(INDEX(Picks_W11!$AF$6:$AF$69,MATCH($V19,Picks_W11!$AH$6:$AH$69,0)),0)</f>
        <v>0</v>
      </c>
      <c r="M19" s="4">
        <f>IFERROR(INDEX(Picks_W12!$AF$6:$AF$69,MATCH($V19,Picks_W12!$AH$6:$AH$69,0)),0)</f>
        <v>0</v>
      </c>
      <c r="N19" s="4">
        <f>IFERROR(INDEX(Picks_W13!$AF$6:$AF$69,MATCH($V19,Picks_W13!$AH$6:$AH$69,0)),0)</f>
        <v>0</v>
      </c>
      <c r="O19" s="4">
        <f t="shared" si="0"/>
        <v>19</v>
      </c>
      <c r="P19" s="4">
        <f>(IFERROR(INDEX(Picks_W1!$AF$6:$AF$69,MATCH($V19,Picks_W1!$AH$6:$AH$69,0)),"")=Results!$B$21)*(IFERROR(INDEX(Picks_W1!$AG$6:$AG$69,MATCH($V19,Picks_W1!$AH$6:$AH$69,0)),"")=Results!$C$21)+(IFERROR(INDEX(Picks_W2!$AF$6:$AF$69,MATCH($V19,Picks_W2!$AH$6:$AH$69,0)),"")=Results!$B$22)*(IFERROR(INDEX(Picks_W2!$AG$6:$AG$69,MATCH($V19,Picks_W2!$AH$6:$AH$69,0)),"")=Results!$C$22)+(IFERROR(INDEX(Picks_W3!$AF$6:$AF$69,MATCH($V19,Picks_W3!$AH$6:$AH$69,0)),"")=Results!$B$23)*(IFERROR(INDEX(Picks_W3!$AG$6:$AG$69,MATCH($V19,Picks_W3!$AH$6:$AH$69,0)),"")=Results!$C$23)+(IFERROR(INDEX(Picks_W4!$AF$6:$AF$69,MATCH($V19,Picks_W4!$AH$6:$AH$69,0)),"")=Results!$B$24)*(IFERROR(INDEX(Picks_W4!$AG$6:$AG$69,MATCH($V19,Picks_W4!$AH$6:$AH$69,0)),"")=Results!$C$24)+(IFERROR(INDEX(Picks_W5!$AF$6:$AF$69,MATCH($V19,Picks_W5!$AH$6:$AH$69,0)),"")=Results!$B$25)*(IFERROR(INDEX(Picks_W5!$AG$6:$AG$69,MATCH($V19,Picks_W5!$AH$6:$AH$69,0)),"")=Results!$C$25)+(IFERROR(INDEX(Picks_W6!$AF$6:$AF$69,MATCH($V19,Picks_W6!$AH$6:$AH$69,0)),"")=Results!$B$26)*(IFERROR(INDEX(Picks_W6!$AG$6:$AG$69,MATCH($V19,Picks_W6!$AH$6:$AH$69,0)),"")=Results!$C$26)+(IFERROR(INDEX(Picks_W7!$AF$6:$AF$69,MATCH($V19,Picks_W7!$AH$6:$AH$69,0)),"")=Results!$B$27)*(IFERROR(INDEX(Picks_W7!$AG$6:$AG$69,MATCH($V19,Picks_W7!$AH$6:$AH$69,0)),"")=Results!$C$27)+(IFERROR(INDEX(Picks_W8!$AF$6:$AF$69,MATCH($V19,Picks_W8!$AH$6:$AH$69,0)),"")=Results!$B$28)*(IFERROR(INDEX(Picks_W8!$AG$6:$AG$69,MATCH($V19,Picks_W8!$AH$6:$AH$69,0)),"")=Results!$C$28)+(IFERROR(INDEX(Picks_W9!$AF$6:$AF$69,MATCH($V19,Picks_W9!$AH$6:$AH$69,0)),"")=Results!$B$29)*(IFERROR(INDEX(Picks_W9!$AG$6:$AG$69,MATCH($V19,Picks_W9!$AH$6:$AH$69,0)),"")=Results!$C$29)+(IFERROR(INDEX(Picks_W10!$AF$6:$AF$69,MATCH($V19,Picks_W10!$AH$6:$AH$69,0)),"")=Results!$B$30)*(IFERROR(INDEX(Picks_W10!$AG$6:$AG$69,MATCH($V19,Picks_W10!$AH$6:$AH$69,0)),"")=Results!$C$30)+(IFERROR(INDEX(Picks_W11!$AF$6:$AF$69,MATCH($V19,Picks_W11!$AH$6:$AH$69,0)),"")=Results!$B$31)*(IFERROR(INDEX(Picks_W11!$AG$6:$AG$69,MATCH($V19,Picks_W11!$AH$6:$AH$69,0)),"")=Results!$C$31)+(IFERROR(INDEX(Picks_W12!$AF$6:$AF$69,MATCH($V19,Picks_W12!$AH$6:$AH$69,0)),"")=Results!$B$32)*(IFERROR(INDEX(Picks_W12!$AG$6:$AG$69,MATCH($V19,Picks_W12!$AH$6:$AH$69,0)),"")=Results!$C$32)+(IFERROR(INDEX(Picks_W13!$AF$6:$AF$69,MATCH($V19,Picks_W13!$AH$6:$AH$69,0)),"")=Results!$B$33)*(IFERROR(INDEX(Picks_W13!$AG$6:$AG$69,MATCH($V19,Picks_W13!$AH$6:$AH$69,0)),"")=Results!$C$33)</f>
        <v>0</v>
      </c>
      <c r="Q19" s="4">
        <f t="shared" si="1"/>
        <v>12</v>
      </c>
      <c r="R19" s="4">
        <f t="shared" si="2"/>
        <v>0</v>
      </c>
      <c r="S19" s="4">
        <f t="shared" si="3"/>
        <v>18.999998099999999</v>
      </c>
      <c r="T19" s="4">
        <f>IFERROR(INDEX(Picks_W1!$AV$6:$AV$69,MATCH($V19,Picks_W1!$AH$6:$AH$69,0)),0)+IFERROR(INDEX(Picks_W2!$AV$6:$AV$69,MATCH($V19,Picks_W2!$AH$6:$AH$69,0)),0)+IFERROR(INDEX(Picks_W3!$AV$6:$AV$69,MATCH($V19,Picks_W3!$AH$6:$AH$69,0)),0)+IFERROR(INDEX(Picks_W4!$AV$6:$AV$69,MATCH($V19,Picks_W4!$AH$6:$AH$69,0)),0)+IFERROR(INDEX(Picks_W5!$AV$6:$AV$69,MATCH($V19,Picks_W5!$AH$6:$AH$69,0)),0)+IFERROR(INDEX(Picks_W6!$AV$6:$AV$69,MATCH($V19,Picks_W6!$AH$6:$AH$69,0)),0)+IFERROR(INDEX(Picks_W7!$AV$6:$AV$69,MATCH($V19,Picks_W7!$AH$6:$AH$69,0)),0)+IFERROR(INDEX(Picks_W8!$AV$6:$AV$69,MATCH($V19,Picks_W8!$AH$6:$AH$69,0)),0)+IFERROR(INDEX(Picks_W9!$AV$6:$AV$69,MATCH($V19,Picks_W9!$AH$6:$AH$69,0)),0)+IFERROR(INDEX(Picks_W10!$AV$6:$AV$69,MATCH($V19,Picks_W10!$AH$6:$AH$69,0)),0)+IFERROR(INDEX(Picks_W11!$AV$6:$AV$69,MATCH($V19,Picks_W11!$AH$6:$AH$69,0)),0)+IFERROR(INDEX(Picks_W12!$AV$6:$AV$69,MATCH($V19,Picks_W12!$AH$6:$AH$69,0)),0)+IFERROR(INDEX(Picks_W13!$AV$6:$AV$69,MATCH($V19,Picks_W13!$AH$6:$AH$69,0)),0)</f>
        <v>0</v>
      </c>
      <c r="U19" s="17">
        <f>IF(Results!$B$35=0,0,T19/Results!$B$35)</f>
        <v>0</v>
      </c>
      <c r="V19" s="4">
        <v>26</v>
      </c>
    </row>
    <row r="20" spans="1:22" ht="15" customHeight="1" x14ac:dyDescent="0.25">
      <c r="A20" s="4" t="str">
        <f>IFERROR(INDEX(Players!$D$6:$D$69,MATCH(V20,Players!$A$6:$A$69,0)),"")</f>
        <v>Dylan G.</v>
      </c>
      <c r="B20" s="4">
        <f>IFERROR(INDEX(Picks_W1!$AF$6:$AF$69,MATCH($V20,Picks_W1!$AH$6:$AH$69,0)),0)</f>
        <v>14</v>
      </c>
      <c r="C20" s="4">
        <f>IFERROR(INDEX(Picks_W2!$AF$6:$AF$69,MATCH($V20,Picks_W2!$AH$6:$AH$69,0)),0)</f>
        <v>9</v>
      </c>
      <c r="D20" s="4">
        <f>IFERROR(INDEX(Picks_W3!$AF$6:$AF$69,MATCH($V20,Picks_W3!$AH$6:$AH$69,0)),0)</f>
        <v>0</v>
      </c>
      <c r="E20" s="4">
        <f>IFERROR(INDEX(Picks_W4!$AF$6:$AF$69,MATCH($V20,Picks_W4!$AH$6:$AH$69,0)),0)</f>
        <v>0</v>
      </c>
      <c r="F20" s="4">
        <f>IFERROR(INDEX(Picks_W5!$AF$6:$AF$69,MATCH($V20,Picks_W5!$AH$6:$AH$69,0)),0)</f>
        <v>0</v>
      </c>
      <c r="G20" s="4">
        <f>IFERROR(INDEX(Picks_W6!$AF$6:$AF$69,MATCH($V20,Picks_W6!$AH$6:$AH$69,0)),0)</f>
        <v>0</v>
      </c>
      <c r="H20" s="4">
        <f>IFERROR(INDEX(Picks_W7!$AF$6:$AF$69,MATCH($V20,Picks_W7!$AH$6:$AH$69,0)),0)</f>
        <v>0</v>
      </c>
      <c r="I20" s="4">
        <f>IFERROR(INDEX(Picks_W8!$AF$6:$AF$69,MATCH($V20,Picks_W8!$AH$6:$AH$69,0)),0)</f>
        <v>0</v>
      </c>
      <c r="J20" s="4">
        <f>IFERROR(INDEX(Picks_W9!$AF$6:$AF$69,MATCH($V20,Picks_W9!$AH$6:$AH$69,0)),0)</f>
        <v>0</v>
      </c>
      <c r="K20" s="4">
        <f>IFERROR(INDEX(Picks_W10!$AF$6:$AF$69,MATCH($V20,Picks_W10!$AH$6:$AH$69,0)),0)</f>
        <v>0</v>
      </c>
      <c r="L20" s="4">
        <f>IFERROR(INDEX(Picks_W11!$AF$6:$AF$69,MATCH($V20,Picks_W11!$AH$6:$AH$69,0)),0)</f>
        <v>0</v>
      </c>
      <c r="M20" s="4">
        <f>IFERROR(INDEX(Picks_W12!$AF$6:$AF$69,MATCH($V20,Picks_W12!$AH$6:$AH$69,0)),0)</f>
        <v>0</v>
      </c>
      <c r="N20" s="4">
        <f>IFERROR(INDEX(Picks_W13!$AF$6:$AF$69,MATCH($V20,Picks_W13!$AH$6:$AH$69,0)),0)</f>
        <v>0</v>
      </c>
      <c r="O20" s="4">
        <f t="shared" si="0"/>
        <v>23</v>
      </c>
      <c r="P20" s="4">
        <f>(IFERROR(INDEX(Picks_W1!$AF$6:$AF$69,MATCH($V20,Picks_W1!$AH$6:$AH$69,0)),"")=Results!$B$21)*(IFERROR(INDEX(Picks_W1!$AG$6:$AG$69,MATCH($V20,Picks_W1!$AH$6:$AH$69,0)),"")=Results!$C$21)+(IFERROR(INDEX(Picks_W2!$AF$6:$AF$69,MATCH($V20,Picks_W2!$AH$6:$AH$69,0)),"")=Results!$B$22)*(IFERROR(INDEX(Picks_W2!$AG$6:$AG$69,MATCH($V20,Picks_W2!$AH$6:$AH$69,0)),"")=Results!$C$22)+(IFERROR(INDEX(Picks_W3!$AF$6:$AF$69,MATCH($V20,Picks_W3!$AH$6:$AH$69,0)),"")=Results!$B$23)*(IFERROR(INDEX(Picks_W3!$AG$6:$AG$69,MATCH($V20,Picks_W3!$AH$6:$AH$69,0)),"")=Results!$C$23)+(IFERROR(INDEX(Picks_W4!$AF$6:$AF$69,MATCH($V20,Picks_W4!$AH$6:$AH$69,0)),"")=Results!$B$24)*(IFERROR(INDEX(Picks_W4!$AG$6:$AG$69,MATCH($V20,Picks_W4!$AH$6:$AH$69,0)),"")=Results!$C$24)+(IFERROR(INDEX(Picks_W5!$AF$6:$AF$69,MATCH($V20,Picks_W5!$AH$6:$AH$69,0)),"")=Results!$B$25)*(IFERROR(INDEX(Picks_W5!$AG$6:$AG$69,MATCH($V20,Picks_W5!$AH$6:$AH$69,0)),"")=Results!$C$25)+(IFERROR(INDEX(Picks_W6!$AF$6:$AF$69,MATCH($V20,Picks_W6!$AH$6:$AH$69,0)),"")=Results!$B$26)*(IFERROR(INDEX(Picks_W6!$AG$6:$AG$69,MATCH($V20,Picks_W6!$AH$6:$AH$69,0)),"")=Results!$C$26)+(IFERROR(INDEX(Picks_W7!$AF$6:$AF$69,MATCH($V20,Picks_W7!$AH$6:$AH$69,0)),"")=Results!$B$27)*(IFERROR(INDEX(Picks_W7!$AG$6:$AG$69,MATCH($V20,Picks_W7!$AH$6:$AH$69,0)),"")=Results!$C$27)+(IFERROR(INDEX(Picks_W8!$AF$6:$AF$69,MATCH($V20,Picks_W8!$AH$6:$AH$69,0)),"")=Results!$B$28)*(IFERROR(INDEX(Picks_W8!$AG$6:$AG$69,MATCH($V20,Picks_W8!$AH$6:$AH$69,0)),"")=Results!$C$28)+(IFERROR(INDEX(Picks_W9!$AF$6:$AF$69,MATCH($V20,Picks_W9!$AH$6:$AH$69,0)),"")=Results!$B$29)*(IFERROR(INDEX(Picks_W9!$AG$6:$AG$69,MATCH($V20,Picks_W9!$AH$6:$AH$69,0)),"")=Results!$C$29)+(IFERROR(INDEX(Picks_W10!$AF$6:$AF$69,MATCH($V20,Picks_W10!$AH$6:$AH$69,0)),"")=Results!$B$30)*(IFERROR(INDEX(Picks_W10!$AG$6:$AG$69,MATCH($V20,Picks_W10!$AH$6:$AH$69,0)),"")=Results!$C$30)+(IFERROR(INDEX(Picks_W11!$AF$6:$AF$69,MATCH($V20,Picks_W11!$AH$6:$AH$69,0)),"")=Results!$B$31)*(IFERROR(INDEX(Picks_W11!$AG$6:$AG$69,MATCH($V20,Picks_W11!$AH$6:$AH$69,0)),"")=Results!$C$31)+(IFERROR(INDEX(Picks_W12!$AF$6:$AF$69,MATCH($V20,Picks_W12!$AH$6:$AH$69,0)),"")=Results!$B$32)*(IFERROR(INDEX(Picks_W12!$AG$6:$AG$69,MATCH($V20,Picks_W12!$AH$6:$AH$69,0)),"")=Results!$C$32)+(IFERROR(INDEX(Picks_W13!$AF$6:$AF$69,MATCH($V20,Picks_W13!$AH$6:$AH$69,0)),"")=Results!$B$33)*(IFERROR(INDEX(Picks_W13!$AG$6:$AG$69,MATCH($V20,Picks_W13!$AH$6:$AH$69,0)),"")=Results!$C$33)</f>
        <v>0</v>
      </c>
      <c r="Q20" s="4">
        <f t="shared" si="1"/>
        <v>14</v>
      </c>
      <c r="R20" s="4">
        <f t="shared" si="2"/>
        <v>0</v>
      </c>
      <c r="S20" s="4">
        <f t="shared" si="3"/>
        <v>23.000373</v>
      </c>
      <c r="T20" s="4">
        <f>IFERROR(INDEX(Picks_W1!$AV$6:$AV$69,MATCH($V20,Picks_W1!$AH$6:$AH$69,0)),0)+IFERROR(INDEX(Picks_W2!$AV$6:$AV$69,MATCH($V20,Picks_W2!$AH$6:$AH$69,0)),0)+IFERROR(INDEX(Picks_W3!$AV$6:$AV$69,MATCH($V20,Picks_W3!$AH$6:$AH$69,0)),0)+IFERROR(INDEX(Picks_W4!$AV$6:$AV$69,MATCH($V20,Picks_W4!$AH$6:$AH$69,0)),0)+IFERROR(INDEX(Picks_W5!$AV$6:$AV$69,MATCH($V20,Picks_W5!$AH$6:$AH$69,0)),0)+IFERROR(INDEX(Picks_W6!$AV$6:$AV$69,MATCH($V20,Picks_W6!$AH$6:$AH$69,0)),0)+IFERROR(INDEX(Picks_W7!$AV$6:$AV$69,MATCH($V20,Picks_W7!$AH$6:$AH$69,0)),0)+IFERROR(INDEX(Picks_W8!$AV$6:$AV$69,MATCH($V20,Picks_W8!$AH$6:$AH$69,0)),0)+IFERROR(INDEX(Picks_W9!$AV$6:$AV$69,MATCH($V20,Picks_W9!$AH$6:$AH$69,0)),0)+IFERROR(INDEX(Picks_W10!$AV$6:$AV$69,MATCH($V20,Picks_W10!$AH$6:$AH$69,0)),0)+IFERROR(INDEX(Picks_W11!$AV$6:$AV$69,MATCH($V20,Picks_W11!$AH$6:$AH$69,0)),0)+IFERROR(INDEX(Picks_W12!$AV$6:$AV$69,MATCH($V20,Picks_W12!$AH$6:$AH$69,0)),0)+IFERROR(INDEX(Picks_W13!$AV$6:$AV$69,MATCH($V20,Picks_W13!$AH$6:$AH$69,0)),0)</f>
        <v>3</v>
      </c>
      <c r="U20" s="17">
        <f>IF(Results!$B$35=0,0,T20/Results!$B$35)</f>
        <v>0.375</v>
      </c>
      <c r="V20" s="4">
        <v>52</v>
      </c>
    </row>
    <row r="21" spans="1:22" ht="15" customHeight="1" x14ac:dyDescent="0.25">
      <c r="A21" s="4" t="str">
        <f>IFERROR(INDEX(Players!$D$6:$D$69,MATCH(V21,Players!$A$6:$A$69,0)),"")</f>
        <v>Evan H.</v>
      </c>
      <c r="B21" s="4">
        <f>IFERROR(INDEX(Picks_W1!$AF$6:$AF$69,MATCH($V21,Picks_W1!$AH$6:$AH$69,0)),0)</f>
        <v>11</v>
      </c>
      <c r="C21" s="4">
        <f>IFERROR(INDEX(Picks_W2!$AF$6:$AF$69,MATCH($V21,Picks_W2!$AH$6:$AH$69,0)),0)</f>
        <v>9</v>
      </c>
      <c r="D21" s="4">
        <f>IFERROR(INDEX(Picks_W3!$AF$6:$AF$69,MATCH($V21,Picks_W3!$AH$6:$AH$69,0)),0)</f>
        <v>0</v>
      </c>
      <c r="E21" s="4">
        <f>IFERROR(INDEX(Picks_W4!$AF$6:$AF$69,MATCH($V21,Picks_W4!$AH$6:$AH$69,0)),0)</f>
        <v>0</v>
      </c>
      <c r="F21" s="4">
        <f>IFERROR(INDEX(Picks_W5!$AF$6:$AF$69,MATCH($V21,Picks_W5!$AH$6:$AH$69,0)),0)</f>
        <v>0</v>
      </c>
      <c r="G21" s="4">
        <f>IFERROR(INDEX(Picks_W6!$AF$6:$AF$69,MATCH($V21,Picks_W6!$AH$6:$AH$69,0)),0)</f>
        <v>0</v>
      </c>
      <c r="H21" s="4">
        <f>IFERROR(INDEX(Picks_W7!$AF$6:$AF$69,MATCH($V21,Picks_W7!$AH$6:$AH$69,0)),0)</f>
        <v>0</v>
      </c>
      <c r="I21" s="4">
        <f>IFERROR(INDEX(Picks_W8!$AF$6:$AF$69,MATCH($V21,Picks_W8!$AH$6:$AH$69,0)),0)</f>
        <v>0</v>
      </c>
      <c r="J21" s="4">
        <f>IFERROR(INDEX(Picks_W9!$AF$6:$AF$69,MATCH($V21,Picks_W9!$AH$6:$AH$69,0)),0)</f>
        <v>0</v>
      </c>
      <c r="K21" s="4">
        <f>IFERROR(INDEX(Picks_W10!$AF$6:$AF$69,MATCH($V21,Picks_W10!$AH$6:$AH$69,0)),0)</f>
        <v>0</v>
      </c>
      <c r="L21" s="4">
        <f>IFERROR(INDEX(Picks_W11!$AF$6:$AF$69,MATCH($V21,Picks_W11!$AH$6:$AH$69,0)),0)</f>
        <v>0</v>
      </c>
      <c r="M21" s="4">
        <f>IFERROR(INDEX(Picks_W12!$AF$6:$AF$69,MATCH($V21,Picks_W12!$AH$6:$AH$69,0)),0)</f>
        <v>0</v>
      </c>
      <c r="N21" s="4">
        <f>IFERROR(INDEX(Picks_W13!$AF$6:$AF$69,MATCH($V21,Picks_W13!$AH$6:$AH$69,0)),0)</f>
        <v>0</v>
      </c>
      <c r="O21" s="4">
        <f t="shared" si="0"/>
        <v>20</v>
      </c>
      <c r="P21" s="4">
        <f>(IFERROR(INDEX(Picks_W1!$AF$6:$AF$69,MATCH($V21,Picks_W1!$AH$6:$AH$69,0)),"")=Results!$B$21)*(IFERROR(INDEX(Picks_W1!$AG$6:$AG$69,MATCH($V21,Picks_W1!$AH$6:$AH$69,0)),"")=Results!$C$21)+(IFERROR(INDEX(Picks_W2!$AF$6:$AF$69,MATCH($V21,Picks_W2!$AH$6:$AH$69,0)),"")=Results!$B$22)*(IFERROR(INDEX(Picks_W2!$AG$6:$AG$69,MATCH($V21,Picks_W2!$AH$6:$AH$69,0)),"")=Results!$C$22)+(IFERROR(INDEX(Picks_W3!$AF$6:$AF$69,MATCH($V21,Picks_W3!$AH$6:$AH$69,0)),"")=Results!$B$23)*(IFERROR(INDEX(Picks_W3!$AG$6:$AG$69,MATCH($V21,Picks_W3!$AH$6:$AH$69,0)),"")=Results!$C$23)+(IFERROR(INDEX(Picks_W4!$AF$6:$AF$69,MATCH($V21,Picks_W4!$AH$6:$AH$69,0)),"")=Results!$B$24)*(IFERROR(INDEX(Picks_W4!$AG$6:$AG$69,MATCH($V21,Picks_W4!$AH$6:$AH$69,0)),"")=Results!$C$24)+(IFERROR(INDEX(Picks_W5!$AF$6:$AF$69,MATCH($V21,Picks_W5!$AH$6:$AH$69,0)),"")=Results!$B$25)*(IFERROR(INDEX(Picks_W5!$AG$6:$AG$69,MATCH($V21,Picks_W5!$AH$6:$AH$69,0)),"")=Results!$C$25)+(IFERROR(INDEX(Picks_W6!$AF$6:$AF$69,MATCH($V21,Picks_W6!$AH$6:$AH$69,0)),"")=Results!$B$26)*(IFERROR(INDEX(Picks_W6!$AG$6:$AG$69,MATCH($V21,Picks_W6!$AH$6:$AH$69,0)),"")=Results!$C$26)+(IFERROR(INDEX(Picks_W7!$AF$6:$AF$69,MATCH($V21,Picks_W7!$AH$6:$AH$69,0)),"")=Results!$B$27)*(IFERROR(INDEX(Picks_W7!$AG$6:$AG$69,MATCH($V21,Picks_W7!$AH$6:$AH$69,0)),"")=Results!$C$27)+(IFERROR(INDEX(Picks_W8!$AF$6:$AF$69,MATCH($V21,Picks_W8!$AH$6:$AH$69,0)),"")=Results!$B$28)*(IFERROR(INDEX(Picks_W8!$AG$6:$AG$69,MATCH($V21,Picks_W8!$AH$6:$AH$69,0)),"")=Results!$C$28)+(IFERROR(INDEX(Picks_W9!$AF$6:$AF$69,MATCH($V21,Picks_W9!$AH$6:$AH$69,0)),"")=Results!$B$29)*(IFERROR(INDEX(Picks_W9!$AG$6:$AG$69,MATCH($V21,Picks_W9!$AH$6:$AH$69,0)),"")=Results!$C$29)+(IFERROR(INDEX(Picks_W10!$AF$6:$AF$69,MATCH($V21,Picks_W10!$AH$6:$AH$69,0)),"")=Results!$B$30)*(IFERROR(INDEX(Picks_W10!$AG$6:$AG$69,MATCH($V21,Picks_W10!$AH$6:$AH$69,0)),"")=Results!$C$30)+(IFERROR(INDEX(Picks_W11!$AF$6:$AF$69,MATCH($V21,Picks_W11!$AH$6:$AH$69,0)),"")=Results!$B$31)*(IFERROR(INDEX(Picks_W11!$AG$6:$AG$69,MATCH($V21,Picks_W11!$AH$6:$AH$69,0)),"")=Results!$C$31)+(IFERROR(INDEX(Picks_W12!$AF$6:$AF$69,MATCH($V21,Picks_W12!$AH$6:$AH$69,0)),"")=Results!$B$32)*(IFERROR(INDEX(Picks_W12!$AG$6:$AG$69,MATCH($V21,Picks_W12!$AH$6:$AH$69,0)),"")=Results!$C$32)+(IFERROR(INDEX(Picks_W13!$AF$6:$AF$69,MATCH($V21,Picks_W13!$AH$6:$AH$69,0)),"")=Results!$B$33)*(IFERROR(INDEX(Picks_W13!$AG$6:$AG$69,MATCH($V21,Picks_W13!$AH$6:$AH$69,0)),"")=Results!$C$33)</f>
        <v>0</v>
      </c>
      <c r="Q21" s="4">
        <f t="shared" si="1"/>
        <v>11</v>
      </c>
      <c r="R21" s="4">
        <f t="shared" si="2"/>
        <v>0</v>
      </c>
      <c r="S21" s="4">
        <f t="shared" si="3"/>
        <v>20.000372899999999</v>
      </c>
      <c r="T21" s="4">
        <f>IFERROR(INDEX(Picks_W1!$AV$6:$AV$69,MATCH($V21,Picks_W1!$AH$6:$AH$69,0)),0)+IFERROR(INDEX(Picks_W2!$AV$6:$AV$69,MATCH($V21,Picks_W2!$AH$6:$AH$69,0)),0)+IFERROR(INDEX(Picks_W3!$AV$6:$AV$69,MATCH($V21,Picks_W3!$AH$6:$AH$69,0)),0)+IFERROR(INDEX(Picks_W4!$AV$6:$AV$69,MATCH($V21,Picks_W4!$AH$6:$AH$69,0)),0)+IFERROR(INDEX(Picks_W5!$AV$6:$AV$69,MATCH($V21,Picks_W5!$AH$6:$AH$69,0)),0)+IFERROR(INDEX(Picks_W6!$AV$6:$AV$69,MATCH($V21,Picks_W6!$AH$6:$AH$69,0)),0)+IFERROR(INDEX(Picks_W7!$AV$6:$AV$69,MATCH($V21,Picks_W7!$AH$6:$AH$69,0)),0)+IFERROR(INDEX(Picks_W8!$AV$6:$AV$69,MATCH($V21,Picks_W8!$AH$6:$AH$69,0)),0)+IFERROR(INDEX(Picks_W9!$AV$6:$AV$69,MATCH($V21,Picks_W9!$AH$6:$AH$69,0)),0)+IFERROR(INDEX(Picks_W10!$AV$6:$AV$69,MATCH($V21,Picks_W10!$AH$6:$AH$69,0)),0)+IFERROR(INDEX(Picks_W11!$AV$6:$AV$69,MATCH($V21,Picks_W11!$AH$6:$AH$69,0)),0)+IFERROR(INDEX(Picks_W12!$AV$6:$AV$69,MATCH($V21,Picks_W12!$AH$6:$AH$69,0)),0)+IFERROR(INDEX(Picks_W13!$AV$6:$AV$69,MATCH($V21,Picks_W13!$AH$6:$AH$69,0)),0)</f>
        <v>3</v>
      </c>
      <c r="U21" s="17">
        <f>IF(Results!$B$35=0,0,T21/Results!$B$35)</f>
        <v>0.375</v>
      </c>
      <c r="V21" s="4">
        <v>9</v>
      </c>
    </row>
    <row r="22" spans="1:22" ht="15" customHeight="1" x14ac:dyDescent="0.25">
      <c r="A22" s="4" t="str">
        <f>IFERROR(INDEX(Players!$D$6:$D$69,MATCH(V22,Players!$A$6:$A$69,0)),"")</f>
        <v>Gene P.</v>
      </c>
      <c r="B22" s="4">
        <f>IFERROR(INDEX(Picks_W1!$AF$6:$AF$69,MATCH($V22,Picks_W1!$AH$6:$AH$69,0)),0)</f>
        <v>13</v>
      </c>
      <c r="C22" s="4">
        <f>IFERROR(INDEX(Picks_W2!$AF$6:$AF$69,MATCH($V22,Picks_W2!$AH$6:$AH$69,0)),0)</f>
        <v>9</v>
      </c>
      <c r="D22" s="4">
        <f>IFERROR(INDEX(Picks_W3!$AF$6:$AF$69,MATCH($V22,Picks_W3!$AH$6:$AH$69,0)),0)</f>
        <v>0</v>
      </c>
      <c r="E22" s="4">
        <f>IFERROR(INDEX(Picks_W4!$AF$6:$AF$69,MATCH($V22,Picks_W4!$AH$6:$AH$69,0)),0)</f>
        <v>0</v>
      </c>
      <c r="F22" s="4">
        <f>IFERROR(INDEX(Picks_W5!$AF$6:$AF$69,MATCH($V22,Picks_W5!$AH$6:$AH$69,0)),0)</f>
        <v>0</v>
      </c>
      <c r="G22" s="4">
        <f>IFERROR(INDEX(Picks_W6!$AF$6:$AF$69,MATCH($V22,Picks_W6!$AH$6:$AH$69,0)),0)</f>
        <v>0</v>
      </c>
      <c r="H22" s="4">
        <f>IFERROR(INDEX(Picks_W7!$AF$6:$AF$69,MATCH($V22,Picks_W7!$AH$6:$AH$69,0)),0)</f>
        <v>0</v>
      </c>
      <c r="I22" s="4">
        <f>IFERROR(INDEX(Picks_W8!$AF$6:$AF$69,MATCH($V22,Picks_W8!$AH$6:$AH$69,0)),0)</f>
        <v>0</v>
      </c>
      <c r="J22" s="4">
        <f>IFERROR(INDEX(Picks_W9!$AF$6:$AF$69,MATCH($V22,Picks_W9!$AH$6:$AH$69,0)),0)</f>
        <v>0</v>
      </c>
      <c r="K22" s="4">
        <f>IFERROR(INDEX(Picks_W10!$AF$6:$AF$69,MATCH($V22,Picks_W10!$AH$6:$AH$69,0)),0)</f>
        <v>0</v>
      </c>
      <c r="L22" s="4">
        <f>IFERROR(INDEX(Picks_W11!$AF$6:$AF$69,MATCH($V22,Picks_W11!$AH$6:$AH$69,0)),0)</f>
        <v>0</v>
      </c>
      <c r="M22" s="4">
        <f>IFERROR(INDEX(Picks_W12!$AF$6:$AF$69,MATCH($V22,Picks_W12!$AH$6:$AH$69,0)),0)</f>
        <v>0</v>
      </c>
      <c r="N22" s="4">
        <f>IFERROR(INDEX(Picks_W13!$AF$6:$AF$69,MATCH($V22,Picks_W13!$AH$6:$AH$69,0)),0)</f>
        <v>0</v>
      </c>
      <c r="O22" s="4">
        <f t="shared" si="0"/>
        <v>22</v>
      </c>
      <c r="P22" s="4">
        <f>(IFERROR(INDEX(Picks_W1!$AF$6:$AF$69,MATCH($V22,Picks_W1!$AH$6:$AH$69,0)),"")=Results!$B$21)*(IFERROR(INDEX(Picks_W1!$AG$6:$AG$69,MATCH($V22,Picks_W1!$AH$6:$AH$69,0)),"")=Results!$C$21)+(IFERROR(INDEX(Picks_W2!$AF$6:$AF$69,MATCH($V22,Picks_W2!$AH$6:$AH$69,0)),"")=Results!$B$22)*(IFERROR(INDEX(Picks_W2!$AG$6:$AG$69,MATCH($V22,Picks_W2!$AH$6:$AH$69,0)),"")=Results!$C$22)+(IFERROR(INDEX(Picks_W3!$AF$6:$AF$69,MATCH($V22,Picks_W3!$AH$6:$AH$69,0)),"")=Results!$B$23)*(IFERROR(INDEX(Picks_W3!$AG$6:$AG$69,MATCH($V22,Picks_W3!$AH$6:$AH$69,0)),"")=Results!$C$23)+(IFERROR(INDEX(Picks_W4!$AF$6:$AF$69,MATCH($V22,Picks_W4!$AH$6:$AH$69,0)),"")=Results!$B$24)*(IFERROR(INDEX(Picks_W4!$AG$6:$AG$69,MATCH($V22,Picks_W4!$AH$6:$AH$69,0)),"")=Results!$C$24)+(IFERROR(INDEX(Picks_W5!$AF$6:$AF$69,MATCH($V22,Picks_W5!$AH$6:$AH$69,0)),"")=Results!$B$25)*(IFERROR(INDEX(Picks_W5!$AG$6:$AG$69,MATCH($V22,Picks_W5!$AH$6:$AH$69,0)),"")=Results!$C$25)+(IFERROR(INDEX(Picks_W6!$AF$6:$AF$69,MATCH($V22,Picks_W6!$AH$6:$AH$69,0)),"")=Results!$B$26)*(IFERROR(INDEX(Picks_W6!$AG$6:$AG$69,MATCH($V22,Picks_W6!$AH$6:$AH$69,0)),"")=Results!$C$26)+(IFERROR(INDEX(Picks_W7!$AF$6:$AF$69,MATCH($V22,Picks_W7!$AH$6:$AH$69,0)),"")=Results!$B$27)*(IFERROR(INDEX(Picks_W7!$AG$6:$AG$69,MATCH($V22,Picks_W7!$AH$6:$AH$69,0)),"")=Results!$C$27)+(IFERROR(INDEX(Picks_W8!$AF$6:$AF$69,MATCH($V22,Picks_W8!$AH$6:$AH$69,0)),"")=Results!$B$28)*(IFERROR(INDEX(Picks_W8!$AG$6:$AG$69,MATCH($V22,Picks_W8!$AH$6:$AH$69,0)),"")=Results!$C$28)+(IFERROR(INDEX(Picks_W9!$AF$6:$AF$69,MATCH($V22,Picks_W9!$AH$6:$AH$69,0)),"")=Results!$B$29)*(IFERROR(INDEX(Picks_W9!$AG$6:$AG$69,MATCH($V22,Picks_W9!$AH$6:$AH$69,0)),"")=Results!$C$29)+(IFERROR(INDEX(Picks_W10!$AF$6:$AF$69,MATCH($V22,Picks_W10!$AH$6:$AH$69,0)),"")=Results!$B$30)*(IFERROR(INDEX(Picks_W10!$AG$6:$AG$69,MATCH($V22,Picks_W10!$AH$6:$AH$69,0)),"")=Results!$C$30)+(IFERROR(INDEX(Picks_W11!$AF$6:$AF$69,MATCH($V22,Picks_W11!$AH$6:$AH$69,0)),"")=Results!$B$31)*(IFERROR(INDEX(Picks_W11!$AG$6:$AG$69,MATCH($V22,Picks_W11!$AH$6:$AH$69,0)),"")=Results!$C$31)+(IFERROR(INDEX(Picks_W12!$AF$6:$AF$69,MATCH($V22,Picks_W12!$AH$6:$AH$69,0)),"")=Results!$B$32)*(IFERROR(INDEX(Picks_W12!$AG$6:$AG$69,MATCH($V22,Picks_W12!$AH$6:$AH$69,0)),"")=Results!$C$32)+(IFERROR(INDEX(Picks_W13!$AF$6:$AF$69,MATCH($V22,Picks_W13!$AH$6:$AH$69,0)),"")=Results!$B$33)*(IFERROR(INDEX(Picks_W13!$AG$6:$AG$69,MATCH($V22,Picks_W13!$AH$6:$AH$69,0)),"")=Results!$C$33)</f>
        <v>0</v>
      </c>
      <c r="Q22" s="4">
        <f t="shared" si="1"/>
        <v>13</v>
      </c>
      <c r="R22" s="4">
        <f t="shared" si="2"/>
        <v>0</v>
      </c>
      <c r="S22" s="4">
        <f t="shared" si="3"/>
        <v>22.0001228</v>
      </c>
      <c r="T22" s="4">
        <f>IFERROR(INDEX(Picks_W1!$AV$6:$AV$69,MATCH($V22,Picks_W1!$AH$6:$AH$69,0)),0)+IFERROR(INDEX(Picks_W2!$AV$6:$AV$69,MATCH($V22,Picks_W2!$AH$6:$AH$69,0)),0)+IFERROR(INDEX(Picks_W3!$AV$6:$AV$69,MATCH($V22,Picks_W3!$AH$6:$AH$69,0)),0)+IFERROR(INDEX(Picks_W4!$AV$6:$AV$69,MATCH($V22,Picks_W4!$AH$6:$AH$69,0)),0)+IFERROR(INDEX(Picks_W5!$AV$6:$AV$69,MATCH($V22,Picks_W5!$AH$6:$AH$69,0)),0)+IFERROR(INDEX(Picks_W6!$AV$6:$AV$69,MATCH($V22,Picks_W6!$AH$6:$AH$69,0)),0)+IFERROR(INDEX(Picks_W7!$AV$6:$AV$69,MATCH($V22,Picks_W7!$AH$6:$AH$69,0)),0)+IFERROR(INDEX(Picks_W8!$AV$6:$AV$69,MATCH($V22,Picks_W8!$AH$6:$AH$69,0)),0)+IFERROR(INDEX(Picks_W9!$AV$6:$AV$69,MATCH($V22,Picks_W9!$AH$6:$AH$69,0)),0)+IFERROR(INDEX(Picks_W10!$AV$6:$AV$69,MATCH($V22,Picks_W10!$AH$6:$AH$69,0)),0)+IFERROR(INDEX(Picks_W11!$AV$6:$AV$69,MATCH($V22,Picks_W11!$AH$6:$AH$69,0)),0)+IFERROR(INDEX(Picks_W12!$AV$6:$AV$69,MATCH($V22,Picks_W12!$AH$6:$AH$69,0)),0)+IFERROR(INDEX(Picks_W13!$AV$6:$AV$69,MATCH($V22,Picks_W13!$AH$6:$AH$69,0)),0)</f>
        <v>1</v>
      </c>
      <c r="U22" s="17">
        <f>IF(Results!$B$35=0,0,T22/Results!$B$35)</f>
        <v>0.125</v>
      </c>
      <c r="V22" s="4">
        <v>10</v>
      </c>
    </row>
    <row r="23" spans="1:22" ht="15" customHeight="1" x14ac:dyDescent="0.25">
      <c r="A23" s="4" t="str">
        <f>IFERROR(INDEX(Players!$D$6:$D$69,MATCH(V23,Players!$A$6:$A$69,0)),"")</f>
        <v>Greyson R.</v>
      </c>
      <c r="B23" s="4">
        <f>IFERROR(INDEX(Picks_W1!$AF$6:$AF$69,MATCH($V23,Picks_W1!$AH$6:$AH$69,0)),0)</f>
        <v>12</v>
      </c>
      <c r="C23" s="4">
        <f>IFERROR(INDEX(Picks_W2!$AF$6:$AF$69,MATCH($V23,Picks_W2!$AH$6:$AH$69,0)),0)</f>
        <v>12</v>
      </c>
      <c r="D23" s="4">
        <f>IFERROR(INDEX(Picks_W3!$AF$6:$AF$69,MATCH($V23,Picks_W3!$AH$6:$AH$69,0)),0)</f>
        <v>0</v>
      </c>
      <c r="E23" s="4">
        <f>IFERROR(INDEX(Picks_W4!$AF$6:$AF$69,MATCH($V23,Picks_W4!$AH$6:$AH$69,0)),0)</f>
        <v>0</v>
      </c>
      <c r="F23" s="4">
        <f>IFERROR(INDEX(Picks_W5!$AF$6:$AF$69,MATCH($V23,Picks_W5!$AH$6:$AH$69,0)),0)</f>
        <v>0</v>
      </c>
      <c r="G23" s="4">
        <f>IFERROR(INDEX(Picks_W6!$AF$6:$AF$69,MATCH($V23,Picks_W6!$AH$6:$AH$69,0)),0)</f>
        <v>0</v>
      </c>
      <c r="H23" s="4">
        <f>IFERROR(INDEX(Picks_W7!$AF$6:$AF$69,MATCH($V23,Picks_W7!$AH$6:$AH$69,0)),0)</f>
        <v>0</v>
      </c>
      <c r="I23" s="4">
        <f>IFERROR(INDEX(Picks_W8!$AF$6:$AF$69,MATCH($V23,Picks_W8!$AH$6:$AH$69,0)),0)</f>
        <v>0</v>
      </c>
      <c r="J23" s="4">
        <f>IFERROR(INDEX(Picks_W9!$AF$6:$AF$69,MATCH($V23,Picks_W9!$AH$6:$AH$69,0)),0)</f>
        <v>0</v>
      </c>
      <c r="K23" s="4">
        <f>IFERROR(INDEX(Picks_W10!$AF$6:$AF$69,MATCH($V23,Picks_W10!$AH$6:$AH$69,0)),0)</f>
        <v>0</v>
      </c>
      <c r="L23" s="4">
        <f>IFERROR(INDEX(Picks_W11!$AF$6:$AF$69,MATCH($V23,Picks_W11!$AH$6:$AH$69,0)),0)</f>
        <v>0</v>
      </c>
      <c r="M23" s="4">
        <f>IFERROR(INDEX(Picks_W12!$AF$6:$AF$69,MATCH($V23,Picks_W12!$AH$6:$AH$69,0)),0)</f>
        <v>0</v>
      </c>
      <c r="N23" s="4">
        <f>IFERROR(INDEX(Picks_W13!$AF$6:$AF$69,MATCH($V23,Picks_W13!$AH$6:$AH$69,0)),0)</f>
        <v>0</v>
      </c>
      <c r="O23" s="4">
        <f t="shared" si="0"/>
        <v>24</v>
      </c>
      <c r="P23" s="4">
        <f>(IFERROR(INDEX(Picks_W1!$AF$6:$AF$69,MATCH($V23,Picks_W1!$AH$6:$AH$69,0)),"")=Results!$B$21)*(IFERROR(INDEX(Picks_W1!$AG$6:$AG$69,MATCH($V23,Picks_W1!$AH$6:$AH$69,0)),"")=Results!$C$21)+(IFERROR(INDEX(Picks_W2!$AF$6:$AF$69,MATCH($V23,Picks_W2!$AH$6:$AH$69,0)),"")=Results!$B$22)*(IFERROR(INDEX(Picks_W2!$AG$6:$AG$69,MATCH($V23,Picks_W2!$AH$6:$AH$69,0)),"")=Results!$C$22)+(IFERROR(INDEX(Picks_W3!$AF$6:$AF$69,MATCH($V23,Picks_W3!$AH$6:$AH$69,0)),"")=Results!$B$23)*(IFERROR(INDEX(Picks_W3!$AG$6:$AG$69,MATCH($V23,Picks_W3!$AH$6:$AH$69,0)),"")=Results!$C$23)+(IFERROR(INDEX(Picks_W4!$AF$6:$AF$69,MATCH($V23,Picks_W4!$AH$6:$AH$69,0)),"")=Results!$B$24)*(IFERROR(INDEX(Picks_W4!$AG$6:$AG$69,MATCH($V23,Picks_W4!$AH$6:$AH$69,0)),"")=Results!$C$24)+(IFERROR(INDEX(Picks_W5!$AF$6:$AF$69,MATCH($V23,Picks_W5!$AH$6:$AH$69,0)),"")=Results!$B$25)*(IFERROR(INDEX(Picks_W5!$AG$6:$AG$69,MATCH($V23,Picks_W5!$AH$6:$AH$69,0)),"")=Results!$C$25)+(IFERROR(INDEX(Picks_W6!$AF$6:$AF$69,MATCH($V23,Picks_W6!$AH$6:$AH$69,0)),"")=Results!$B$26)*(IFERROR(INDEX(Picks_W6!$AG$6:$AG$69,MATCH($V23,Picks_W6!$AH$6:$AH$69,0)),"")=Results!$C$26)+(IFERROR(INDEX(Picks_W7!$AF$6:$AF$69,MATCH($V23,Picks_W7!$AH$6:$AH$69,0)),"")=Results!$B$27)*(IFERROR(INDEX(Picks_W7!$AG$6:$AG$69,MATCH($V23,Picks_W7!$AH$6:$AH$69,0)),"")=Results!$C$27)+(IFERROR(INDEX(Picks_W8!$AF$6:$AF$69,MATCH($V23,Picks_W8!$AH$6:$AH$69,0)),"")=Results!$B$28)*(IFERROR(INDEX(Picks_W8!$AG$6:$AG$69,MATCH($V23,Picks_W8!$AH$6:$AH$69,0)),"")=Results!$C$28)+(IFERROR(INDEX(Picks_W9!$AF$6:$AF$69,MATCH($V23,Picks_W9!$AH$6:$AH$69,0)),"")=Results!$B$29)*(IFERROR(INDEX(Picks_W9!$AG$6:$AG$69,MATCH($V23,Picks_W9!$AH$6:$AH$69,0)),"")=Results!$C$29)+(IFERROR(INDEX(Picks_W10!$AF$6:$AF$69,MATCH($V23,Picks_W10!$AH$6:$AH$69,0)),"")=Results!$B$30)*(IFERROR(INDEX(Picks_W10!$AG$6:$AG$69,MATCH($V23,Picks_W10!$AH$6:$AH$69,0)),"")=Results!$C$30)+(IFERROR(INDEX(Picks_W11!$AF$6:$AF$69,MATCH($V23,Picks_W11!$AH$6:$AH$69,0)),"")=Results!$B$31)*(IFERROR(INDEX(Picks_W11!$AG$6:$AG$69,MATCH($V23,Picks_W11!$AH$6:$AH$69,0)),"")=Results!$C$31)+(IFERROR(INDEX(Picks_W12!$AF$6:$AF$69,MATCH($V23,Picks_W12!$AH$6:$AH$69,0)),"")=Results!$B$32)*(IFERROR(INDEX(Picks_W12!$AG$6:$AG$69,MATCH($V23,Picks_W12!$AH$6:$AH$69,0)),"")=Results!$C$32)+(IFERROR(INDEX(Picks_W13!$AF$6:$AF$69,MATCH($V23,Picks_W13!$AH$6:$AH$69,0)),"")=Results!$B$33)*(IFERROR(INDEX(Picks_W13!$AG$6:$AG$69,MATCH($V23,Picks_W13!$AH$6:$AH$69,0)),"")=Results!$C$33)</f>
        <v>0</v>
      </c>
      <c r="Q23" s="4">
        <f t="shared" si="1"/>
        <v>12</v>
      </c>
      <c r="R23" s="4">
        <f t="shared" si="2"/>
        <v>0</v>
      </c>
      <c r="S23" s="4">
        <f t="shared" si="3"/>
        <v>24.0004977</v>
      </c>
      <c r="T23" s="4">
        <f>IFERROR(INDEX(Picks_W1!$AV$6:$AV$69,MATCH($V23,Picks_W1!$AH$6:$AH$69,0)),0)+IFERROR(INDEX(Picks_W2!$AV$6:$AV$69,MATCH($V23,Picks_W2!$AH$6:$AH$69,0)),0)+IFERROR(INDEX(Picks_W3!$AV$6:$AV$69,MATCH($V23,Picks_W3!$AH$6:$AH$69,0)),0)+IFERROR(INDEX(Picks_W4!$AV$6:$AV$69,MATCH($V23,Picks_W4!$AH$6:$AH$69,0)),0)+IFERROR(INDEX(Picks_W5!$AV$6:$AV$69,MATCH($V23,Picks_W5!$AH$6:$AH$69,0)),0)+IFERROR(INDEX(Picks_W6!$AV$6:$AV$69,MATCH($V23,Picks_W6!$AH$6:$AH$69,0)),0)+IFERROR(INDEX(Picks_W7!$AV$6:$AV$69,MATCH($V23,Picks_W7!$AH$6:$AH$69,0)),0)+IFERROR(INDEX(Picks_W8!$AV$6:$AV$69,MATCH($V23,Picks_W8!$AH$6:$AH$69,0)),0)+IFERROR(INDEX(Picks_W9!$AV$6:$AV$69,MATCH($V23,Picks_W9!$AH$6:$AH$69,0)),0)+IFERROR(INDEX(Picks_W10!$AV$6:$AV$69,MATCH($V23,Picks_W10!$AH$6:$AH$69,0)),0)+IFERROR(INDEX(Picks_W11!$AV$6:$AV$69,MATCH($V23,Picks_W11!$AH$6:$AH$69,0)),0)+IFERROR(INDEX(Picks_W12!$AV$6:$AV$69,MATCH($V23,Picks_W12!$AH$6:$AH$69,0)),0)+IFERROR(INDEX(Picks_W13!$AV$6:$AV$69,MATCH($V23,Picks_W13!$AH$6:$AH$69,0)),0)</f>
        <v>4</v>
      </c>
      <c r="U23" s="17">
        <f>IF(Results!$B$35=0,0,T23/Results!$B$35)</f>
        <v>0.5</v>
      </c>
      <c r="V23" s="4">
        <v>55</v>
      </c>
    </row>
    <row r="24" spans="1:22" ht="15" customHeight="1" x14ac:dyDescent="0.25">
      <c r="A24" s="4" t="str">
        <f>IFERROR(INDEX(Players!$D$6:$D$69,MATCH(V24,Players!$A$6:$A$69,0)),"")</f>
        <v>James M.</v>
      </c>
      <c r="B24" s="4">
        <f>IFERROR(INDEX(Picks_W1!$AF$6:$AF$69,MATCH($V24,Picks_W1!$AH$6:$AH$69,0)),0)</f>
        <v>12</v>
      </c>
      <c r="C24" s="4">
        <f>IFERROR(INDEX(Picks_W2!$AF$6:$AF$69,MATCH($V24,Picks_W2!$AH$6:$AH$69,0)),0)</f>
        <v>9</v>
      </c>
      <c r="D24" s="4">
        <f>IFERROR(INDEX(Picks_W3!$AF$6:$AF$69,MATCH($V24,Picks_W3!$AH$6:$AH$69,0)),0)</f>
        <v>0</v>
      </c>
      <c r="E24" s="4">
        <f>IFERROR(INDEX(Picks_W4!$AF$6:$AF$69,MATCH($V24,Picks_W4!$AH$6:$AH$69,0)),0)</f>
        <v>0</v>
      </c>
      <c r="F24" s="4">
        <f>IFERROR(INDEX(Picks_W5!$AF$6:$AF$69,MATCH($V24,Picks_W5!$AH$6:$AH$69,0)),0)</f>
        <v>0</v>
      </c>
      <c r="G24" s="4">
        <f>IFERROR(INDEX(Picks_W6!$AF$6:$AF$69,MATCH($V24,Picks_W6!$AH$6:$AH$69,0)),0)</f>
        <v>0</v>
      </c>
      <c r="H24" s="4">
        <f>IFERROR(INDEX(Picks_W7!$AF$6:$AF$69,MATCH($V24,Picks_W7!$AH$6:$AH$69,0)),0)</f>
        <v>0</v>
      </c>
      <c r="I24" s="4">
        <f>IFERROR(INDEX(Picks_W8!$AF$6:$AF$69,MATCH($V24,Picks_W8!$AH$6:$AH$69,0)),0)</f>
        <v>0</v>
      </c>
      <c r="J24" s="4">
        <f>IFERROR(INDEX(Picks_W9!$AF$6:$AF$69,MATCH($V24,Picks_W9!$AH$6:$AH$69,0)),0)</f>
        <v>0</v>
      </c>
      <c r="K24" s="4">
        <f>IFERROR(INDEX(Picks_W10!$AF$6:$AF$69,MATCH($V24,Picks_W10!$AH$6:$AH$69,0)),0)</f>
        <v>0</v>
      </c>
      <c r="L24" s="4">
        <f>IFERROR(INDEX(Picks_W11!$AF$6:$AF$69,MATCH($V24,Picks_W11!$AH$6:$AH$69,0)),0)</f>
        <v>0</v>
      </c>
      <c r="M24" s="4">
        <f>IFERROR(INDEX(Picks_W12!$AF$6:$AF$69,MATCH($V24,Picks_W12!$AH$6:$AH$69,0)),0)</f>
        <v>0</v>
      </c>
      <c r="N24" s="4">
        <f>IFERROR(INDEX(Picks_W13!$AF$6:$AF$69,MATCH($V24,Picks_W13!$AH$6:$AH$69,0)),0)</f>
        <v>0</v>
      </c>
      <c r="O24" s="4">
        <f t="shared" si="0"/>
        <v>21</v>
      </c>
      <c r="P24" s="4">
        <f>(IFERROR(INDEX(Picks_W1!$AF$6:$AF$69,MATCH($V24,Picks_W1!$AH$6:$AH$69,0)),"")=Results!$B$21)*(IFERROR(INDEX(Picks_W1!$AG$6:$AG$69,MATCH($V24,Picks_W1!$AH$6:$AH$69,0)),"")=Results!$C$21)+(IFERROR(INDEX(Picks_W2!$AF$6:$AF$69,MATCH($V24,Picks_W2!$AH$6:$AH$69,0)),"")=Results!$B$22)*(IFERROR(INDEX(Picks_W2!$AG$6:$AG$69,MATCH($V24,Picks_W2!$AH$6:$AH$69,0)),"")=Results!$C$22)+(IFERROR(INDEX(Picks_W3!$AF$6:$AF$69,MATCH($V24,Picks_W3!$AH$6:$AH$69,0)),"")=Results!$B$23)*(IFERROR(INDEX(Picks_W3!$AG$6:$AG$69,MATCH($V24,Picks_W3!$AH$6:$AH$69,0)),"")=Results!$C$23)+(IFERROR(INDEX(Picks_W4!$AF$6:$AF$69,MATCH($V24,Picks_W4!$AH$6:$AH$69,0)),"")=Results!$B$24)*(IFERROR(INDEX(Picks_W4!$AG$6:$AG$69,MATCH($V24,Picks_W4!$AH$6:$AH$69,0)),"")=Results!$C$24)+(IFERROR(INDEX(Picks_W5!$AF$6:$AF$69,MATCH($V24,Picks_W5!$AH$6:$AH$69,0)),"")=Results!$B$25)*(IFERROR(INDEX(Picks_W5!$AG$6:$AG$69,MATCH($V24,Picks_W5!$AH$6:$AH$69,0)),"")=Results!$C$25)+(IFERROR(INDEX(Picks_W6!$AF$6:$AF$69,MATCH($V24,Picks_W6!$AH$6:$AH$69,0)),"")=Results!$B$26)*(IFERROR(INDEX(Picks_W6!$AG$6:$AG$69,MATCH($V24,Picks_W6!$AH$6:$AH$69,0)),"")=Results!$C$26)+(IFERROR(INDEX(Picks_W7!$AF$6:$AF$69,MATCH($V24,Picks_W7!$AH$6:$AH$69,0)),"")=Results!$B$27)*(IFERROR(INDEX(Picks_W7!$AG$6:$AG$69,MATCH($V24,Picks_W7!$AH$6:$AH$69,0)),"")=Results!$C$27)+(IFERROR(INDEX(Picks_W8!$AF$6:$AF$69,MATCH($V24,Picks_W8!$AH$6:$AH$69,0)),"")=Results!$B$28)*(IFERROR(INDEX(Picks_W8!$AG$6:$AG$69,MATCH($V24,Picks_W8!$AH$6:$AH$69,0)),"")=Results!$C$28)+(IFERROR(INDEX(Picks_W9!$AF$6:$AF$69,MATCH($V24,Picks_W9!$AH$6:$AH$69,0)),"")=Results!$B$29)*(IFERROR(INDEX(Picks_W9!$AG$6:$AG$69,MATCH($V24,Picks_W9!$AH$6:$AH$69,0)),"")=Results!$C$29)+(IFERROR(INDEX(Picks_W10!$AF$6:$AF$69,MATCH($V24,Picks_W10!$AH$6:$AH$69,0)),"")=Results!$B$30)*(IFERROR(INDEX(Picks_W10!$AG$6:$AG$69,MATCH($V24,Picks_W10!$AH$6:$AH$69,0)),"")=Results!$C$30)+(IFERROR(INDEX(Picks_W11!$AF$6:$AF$69,MATCH($V24,Picks_W11!$AH$6:$AH$69,0)),"")=Results!$B$31)*(IFERROR(INDEX(Picks_W11!$AG$6:$AG$69,MATCH($V24,Picks_W11!$AH$6:$AH$69,0)),"")=Results!$C$31)+(IFERROR(INDEX(Picks_W12!$AF$6:$AF$69,MATCH($V24,Picks_W12!$AH$6:$AH$69,0)),"")=Results!$B$32)*(IFERROR(INDEX(Picks_W12!$AG$6:$AG$69,MATCH($V24,Picks_W12!$AH$6:$AH$69,0)),"")=Results!$C$32)+(IFERROR(INDEX(Picks_W13!$AF$6:$AF$69,MATCH($V24,Picks_W13!$AH$6:$AH$69,0)),"")=Results!$B$33)*(IFERROR(INDEX(Picks_W13!$AG$6:$AG$69,MATCH($V24,Picks_W13!$AH$6:$AH$69,0)),"")=Results!$C$33)</f>
        <v>0</v>
      </c>
      <c r="Q24" s="4">
        <f t="shared" si="1"/>
        <v>12</v>
      </c>
      <c r="R24" s="4">
        <f t="shared" si="2"/>
        <v>0</v>
      </c>
      <c r="S24" s="4">
        <f t="shared" si="3"/>
        <v>21.000247600000002</v>
      </c>
      <c r="T24" s="4">
        <f>IFERROR(INDEX(Picks_W1!$AV$6:$AV$69,MATCH($V24,Picks_W1!$AH$6:$AH$69,0)),0)+IFERROR(INDEX(Picks_W2!$AV$6:$AV$69,MATCH($V24,Picks_W2!$AH$6:$AH$69,0)),0)+IFERROR(INDEX(Picks_W3!$AV$6:$AV$69,MATCH($V24,Picks_W3!$AH$6:$AH$69,0)),0)+IFERROR(INDEX(Picks_W4!$AV$6:$AV$69,MATCH($V24,Picks_W4!$AH$6:$AH$69,0)),0)+IFERROR(INDEX(Picks_W5!$AV$6:$AV$69,MATCH($V24,Picks_W5!$AH$6:$AH$69,0)),0)+IFERROR(INDEX(Picks_W6!$AV$6:$AV$69,MATCH($V24,Picks_W6!$AH$6:$AH$69,0)),0)+IFERROR(INDEX(Picks_W7!$AV$6:$AV$69,MATCH($V24,Picks_W7!$AH$6:$AH$69,0)),0)+IFERROR(INDEX(Picks_W8!$AV$6:$AV$69,MATCH($V24,Picks_W8!$AH$6:$AH$69,0)),0)+IFERROR(INDEX(Picks_W9!$AV$6:$AV$69,MATCH($V24,Picks_W9!$AH$6:$AH$69,0)),0)+IFERROR(INDEX(Picks_W10!$AV$6:$AV$69,MATCH($V24,Picks_W10!$AH$6:$AH$69,0)),0)+IFERROR(INDEX(Picks_W11!$AV$6:$AV$69,MATCH($V24,Picks_W11!$AH$6:$AH$69,0)),0)+IFERROR(INDEX(Picks_W12!$AV$6:$AV$69,MATCH($V24,Picks_W12!$AH$6:$AH$69,0)),0)+IFERROR(INDEX(Picks_W13!$AV$6:$AV$69,MATCH($V24,Picks_W13!$AH$6:$AH$69,0)),0)</f>
        <v>2</v>
      </c>
      <c r="U24" s="17">
        <f>IF(Results!$B$35=0,0,T24/Results!$B$35)</f>
        <v>0.25</v>
      </c>
      <c r="V24" s="4">
        <v>47</v>
      </c>
    </row>
    <row r="25" spans="1:22" ht="15" customHeight="1" x14ac:dyDescent="0.25">
      <c r="A25" s="4" t="str">
        <f>IFERROR(INDEX(Players!$D$6:$D$69,MATCH(V25,Players!$A$6:$A$69,0)),"")</f>
        <v>Jamie Z.</v>
      </c>
      <c r="B25" s="4">
        <f>IFERROR(INDEX(Picks_W1!$AF$6:$AF$69,MATCH($V25,Picks_W1!$AH$6:$AH$69,0)),0)</f>
        <v>11</v>
      </c>
      <c r="C25" s="4">
        <f>IFERROR(INDEX(Picks_W2!$AF$6:$AF$69,MATCH($V25,Picks_W2!$AH$6:$AH$69,0)),0)</f>
        <v>7</v>
      </c>
      <c r="D25" s="4">
        <f>IFERROR(INDEX(Picks_W3!$AF$6:$AF$69,MATCH($V25,Picks_W3!$AH$6:$AH$69,0)),0)</f>
        <v>0</v>
      </c>
      <c r="E25" s="4">
        <f>IFERROR(INDEX(Picks_W4!$AF$6:$AF$69,MATCH($V25,Picks_W4!$AH$6:$AH$69,0)),0)</f>
        <v>0</v>
      </c>
      <c r="F25" s="4">
        <f>IFERROR(INDEX(Picks_W5!$AF$6:$AF$69,MATCH($V25,Picks_W5!$AH$6:$AH$69,0)),0)</f>
        <v>0</v>
      </c>
      <c r="G25" s="4">
        <f>IFERROR(INDEX(Picks_W6!$AF$6:$AF$69,MATCH($V25,Picks_W6!$AH$6:$AH$69,0)),0)</f>
        <v>0</v>
      </c>
      <c r="H25" s="4">
        <f>IFERROR(INDEX(Picks_W7!$AF$6:$AF$69,MATCH($V25,Picks_W7!$AH$6:$AH$69,0)),0)</f>
        <v>0</v>
      </c>
      <c r="I25" s="4">
        <f>IFERROR(INDEX(Picks_W8!$AF$6:$AF$69,MATCH($V25,Picks_W8!$AH$6:$AH$69,0)),0)</f>
        <v>0</v>
      </c>
      <c r="J25" s="4">
        <f>IFERROR(INDEX(Picks_W9!$AF$6:$AF$69,MATCH($V25,Picks_W9!$AH$6:$AH$69,0)),0)</f>
        <v>0</v>
      </c>
      <c r="K25" s="4">
        <f>IFERROR(INDEX(Picks_W10!$AF$6:$AF$69,MATCH($V25,Picks_W10!$AH$6:$AH$69,0)),0)</f>
        <v>0</v>
      </c>
      <c r="L25" s="4">
        <f>IFERROR(INDEX(Picks_W11!$AF$6:$AF$69,MATCH($V25,Picks_W11!$AH$6:$AH$69,0)),0)</f>
        <v>0</v>
      </c>
      <c r="M25" s="4">
        <f>IFERROR(INDEX(Picks_W12!$AF$6:$AF$69,MATCH($V25,Picks_W12!$AH$6:$AH$69,0)),0)</f>
        <v>0</v>
      </c>
      <c r="N25" s="4">
        <f>IFERROR(INDEX(Picks_W13!$AF$6:$AF$69,MATCH($V25,Picks_W13!$AH$6:$AH$69,0)),0)</f>
        <v>0</v>
      </c>
      <c r="O25" s="4">
        <f t="shared" si="0"/>
        <v>18</v>
      </c>
      <c r="P25" s="4">
        <f>(IFERROR(INDEX(Picks_W1!$AF$6:$AF$69,MATCH($V25,Picks_W1!$AH$6:$AH$69,0)),"")=Results!$B$21)*(IFERROR(INDEX(Picks_W1!$AG$6:$AG$69,MATCH($V25,Picks_W1!$AH$6:$AH$69,0)),"")=Results!$C$21)+(IFERROR(INDEX(Picks_W2!$AF$6:$AF$69,MATCH($V25,Picks_W2!$AH$6:$AH$69,0)),"")=Results!$B$22)*(IFERROR(INDEX(Picks_W2!$AG$6:$AG$69,MATCH($V25,Picks_W2!$AH$6:$AH$69,0)),"")=Results!$C$22)+(IFERROR(INDEX(Picks_W3!$AF$6:$AF$69,MATCH($V25,Picks_W3!$AH$6:$AH$69,0)),"")=Results!$B$23)*(IFERROR(INDEX(Picks_W3!$AG$6:$AG$69,MATCH($V25,Picks_W3!$AH$6:$AH$69,0)),"")=Results!$C$23)+(IFERROR(INDEX(Picks_W4!$AF$6:$AF$69,MATCH($V25,Picks_W4!$AH$6:$AH$69,0)),"")=Results!$B$24)*(IFERROR(INDEX(Picks_W4!$AG$6:$AG$69,MATCH($V25,Picks_W4!$AH$6:$AH$69,0)),"")=Results!$C$24)+(IFERROR(INDEX(Picks_W5!$AF$6:$AF$69,MATCH($V25,Picks_W5!$AH$6:$AH$69,0)),"")=Results!$B$25)*(IFERROR(INDEX(Picks_W5!$AG$6:$AG$69,MATCH($V25,Picks_W5!$AH$6:$AH$69,0)),"")=Results!$C$25)+(IFERROR(INDEX(Picks_W6!$AF$6:$AF$69,MATCH($V25,Picks_W6!$AH$6:$AH$69,0)),"")=Results!$B$26)*(IFERROR(INDEX(Picks_W6!$AG$6:$AG$69,MATCH($V25,Picks_W6!$AH$6:$AH$69,0)),"")=Results!$C$26)+(IFERROR(INDEX(Picks_W7!$AF$6:$AF$69,MATCH($V25,Picks_W7!$AH$6:$AH$69,0)),"")=Results!$B$27)*(IFERROR(INDEX(Picks_W7!$AG$6:$AG$69,MATCH($V25,Picks_W7!$AH$6:$AH$69,0)),"")=Results!$C$27)+(IFERROR(INDEX(Picks_W8!$AF$6:$AF$69,MATCH($V25,Picks_W8!$AH$6:$AH$69,0)),"")=Results!$B$28)*(IFERROR(INDEX(Picks_W8!$AG$6:$AG$69,MATCH($V25,Picks_W8!$AH$6:$AH$69,0)),"")=Results!$C$28)+(IFERROR(INDEX(Picks_W9!$AF$6:$AF$69,MATCH($V25,Picks_W9!$AH$6:$AH$69,0)),"")=Results!$B$29)*(IFERROR(INDEX(Picks_W9!$AG$6:$AG$69,MATCH($V25,Picks_W9!$AH$6:$AH$69,0)),"")=Results!$C$29)+(IFERROR(INDEX(Picks_W10!$AF$6:$AF$69,MATCH($V25,Picks_W10!$AH$6:$AH$69,0)),"")=Results!$B$30)*(IFERROR(INDEX(Picks_W10!$AG$6:$AG$69,MATCH($V25,Picks_W10!$AH$6:$AH$69,0)),"")=Results!$C$30)+(IFERROR(INDEX(Picks_W11!$AF$6:$AF$69,MATCH($V25,Picks_W11!$AH$6:$AH$69,0)),"")=Results!$B$31)*(IFERROR(INDEX(Picks_W11!$AG$6:$AG$69,MATCH($V25,Picks_W11!$AH$6:$AH$69,0)),"")=Results!$C$31)+(IFERROR(INDEX(Picks_W12!$AF$6:$AF$69,MATCH($V25,Picks_W12!$AH$6:$AH$69,0)),"")=Results!$B$32)*(IFERROR(INDEX(Picks_W12!$AG$6:$AG$69,MATCH($V25,Picks_W12!$AH$6:$AH$69,0)),"")=Results!$C$32)+(IFERROR(INDEX(Picks_W13!$AF$6:$AF$69,MATCH($V25,Picks_W13!$AH$6:$AH$69,0)),"")=Results!$B$33)*(IFERROR(INDEX(Picks_W13!$AG$6:$AG$69,MATCH($V25,Picks_W13!$AH$6:$AH$69,0)),"")=Results!$C$33)</f>
        <v>0</v>
      </c>
      <c r="Q25" s="4">
        <f t="shared" si="1"/>
        <v>11</v>
      </c>
      <c r="R25" s="4">
        <f t="shared" si="2"/>
        <v>0</v>
      </c>
      <c r="S25" s="4">
        <f t="shared" si="3"/>
        <v>17.999997499999999</v>
      </c>
      <c r="T25" s="4">
        <f>IFERROR(INDEX(Picks_W1!$AV$6:$AV$69,MATCH($V25,Picks_W1!$AH$6:$AH$69,0)),0)+IFERROR(INDEX(Picks_W2!$AV$6:$AV$69,MATCH($V25,Picks_W2!$AH$6:$AH$69,0)),0)+IFERROR(INDEX(Picks_W3!$AV$6:$AV$69,MATCH($V25,Picks_W3!$AH$6:$AH$69,0)),0)+IFERROR(INDEX(Picks_W4!$AV$6:$AV$69,MATCH($V25,Picks_W4!$AH$6:$AH$69,0)),0)+IFERROR(INDEX(Picks_W5!$AV$6:$AV$69,MATCH($V25,Picks_W5!$AH$6:$AH$69,0)),0)+IFERROR(INDEX(Picks_W6!$AV$6:$AV$69,MATCH($V25,Picks_W6!$AH$6:$AH$69,0)),0)+IFERROR(INDEX(Picks_W7!$AV$6:$AV$69,MATCH($V25,Picks_W7!$AH$6:$AH$69,0)),0)+IFERROR(INDEX(Picks_W8!$AV$6:$AV$69,MATCH($V25,Picks_W8!$AH$6:$AH$69,0)),0)+IFERROR(INDEX(Picks_W9!$AV$6:$AV$69,MATCH($V25,Picks_W9!$AH$6:$AH$69,0)),0)+IFERROR(INDEX(Picks_W10!$AV$6:$AV$69,MATCH($V25,Picks_W10!$AH$6:$AH$69,0)),0)+IFERROR(INDEX(Picks_W11!$AV$6:$AV$69,MATCH($V25,Picks_W11!$AH$6:$AH$69,0)),0)+IFERROR(INDEX(Picks_W12!$AV$6:$AV$69,MATCH($V25,Picks_W12!$AH$6:$AH$69,0)),0)+IFERROR(INDEX(Picks_W13!$AV$6:$AV$69,MATCH($V25,Picks_W13!$AH$6:$AH$69,0)),0)</f>
        <v>0</v>
      </c>
      <c r="U25" s="17">
        <f>IF(Results!$B$35=0,0,T25/Results!$B$35)</f>
        <v>0</v>
      </c>
      <c r="V25" s="4">
        <v>54</v>
      </c>
    </row>
    <row r="26" spans="1:22" ht="15" customHeight="1" x14ac:dyDescent="0.25">
      <c r="A26" s="4" t="str">
        <f>IFERROR(INDEX(Players!$D$6:$D$69,MATCH(V26,Players!$A$6:$A$69,0)),"")</f>
        <v>JC B.</v>
      </c>
      <c r="B26" s="4">
        <f>IFERROR(INDEX(Picks_W1!$AF$6:$AF$69,MATCH($V26,Picks_W1!$AH$6:$AH$69,0)),0)</f>
        <v>12</v>
      </c>
      <c r="C26" s="4">
        <f>IFERROR(INDEX(Picks_W2!$AF$6:$AF$69,MATCH($V26,Picks_W2!$AH$6:$AH$69,0)),0)</f>
        <v>10</v>
      </c>
      <c r="D26" s="4">
        <f>IFERROR(INDEX(Picks_W3!$AF$6:$AF$69,MATCH($V26,Picks_W3!$AH$6:$AH$69,0)),0)</f>
        <v>0</v>
      </c>
      <c r="E26" s="4">
        <f>IFERROR(INDEX(Picks_W4!$AF$6:$AF$69,MATCH($V26,Picks_W4!$AH$6:$AH$69,0)),0)</f>
        <v>0</v>
      </c>
      <c r="F26" s="4">
        <f>IFERROR(INDEX(Picks_W5!$AF$6:$AF$69,MATCH($V26,Picks_W5!$AH$6:$AH$69,0)),0)</f>
        <v>0</v>
      </c>
      <c r="G26" s="4">
        <f>IFERROR(INDEX(Picks_W6!$AF$6:$AF$69,MATCH($V26,Picks_W6!$AH$6:$AH$69,0)),0)</f>
        <v>0</v>
      </c>
      <c r="H26" s="4">
        <f>IFERROR(INDEX(Picks_W7!$AF$6:$AF$69,MATCH($V26,Picks_W7!$AH$6:$AH$69,0)),0)</f>
        <v>0</v>
      </c>
      <c r="I26" s="4">
        <f>IFERROR(INDEX(Picks_W8!$AF$6:$AF$69,MATCH($V26,Picks_W8!$AH$6:$AH$69,0)),0)</f>
        <v>0</v>
      </c>
      <c r="J26" s="4">
        <f>IFERROR(INDEX(Picks_W9!$AF$6:$AF$69,MATCH($V26,Picks_W9!$AH$6:$AH$69,0)),0)</f>
        <v>0</v>
      </c>
      <c r="K26" s="4">
        <f>IFERROR(INDEX(Picks_W10!$AF$6:$AF$69,MATCH($V26,Picks_W10!$AH$6:$AH$69,0)),0)</f>
        <v>0</v>
      </c>
      <c r="L26" s="4">
        <f>IFERROR(INDEX(Picks_W11!$AF$6:$AF$69,MATCH($V26,Picks_W11!$AH$6:$AH$69,0)),0)</f>
        <v>0</v>
      </c>
      <c r="M26" s="4">
        <f>IFERROR(INDEX(Picks_W12!$AF$6:$AF$69,MATCH($V26,Picks_W12!$AH$6:$AH$69,0)),0)</f>
        <v>0</v>
      </c>
      <c r="N26" s="4">
        <f>IFERROR(INDEX(Picks_W13!$AF$6:$AF$69,MATCH($V26,Picks_W13!$AH$6:$AH$69,0)),0)</f>
        <v>0</v>
      </c>
      <c r="O26" s="4">
        <f t="shared" si="0"/>
        <v>22</v>
      </c>
      <c r="P26" s="4">
        <f>(IFERROR(INDEX(Picks_W1!$AF$6:$AF$69,MATCH($V26,Picks_W1!$AH$6:$AH$69,0)),"")=Results!$B$21)*(IFERROR(INDEX(Picks_W1!$AG$6:$AG$69,MATCH($V26,Picks_W1!$AH$6:$AH$69,0)),"")=Results!$C$21)+(IFERROR(INDEX(Picks_W2!$AF$6:$AF$69,MATCH($V26,Picks_W2!$AH$6:$AH$69,0)),"")=Results!$B$22)*(IFERROR(INDEX(Picks_W2!$AG$6:$AG$69,MATCH($V26,Picks_W2!$AH$6:$AH$69,0)),"")=Results!$C$22)+(IFERROR(INDEX(Picks_W3!$AF$6:$AF$69,MATCH($V26,Picks_W3!$AH$6:$AH$69,0)),"")=Results!$B$23)*(IFERROR(INDEX(Picks_W3!$AG$6:$AG$69,MATCH($V26,Picks_W3!$AH$6:$AH$69,0)),"")=Results!$C$23)+(IFERROR(INDEX(Picks_W4!$AF$6:$AF$69,MATCH($V26,Picks_W4!$AH$6:$AH$69,0)),"")=Results!$B$24)*(IFERROR(INDEX(Picks_W4!$AG$6:$AG$69,MATCH($V26,Picks_W4!$AH$6:$AH$69,0)),"")=Results!$C$24)+(IFERROR(INDEX(Picks_W5!$AF$6:$AF$69,MATCH($V26,Picks_W5!$AH$6:$AH$69,0)),"")=Results!$B$25)*(IFERROR(INDEX(Picks_W5!$AG$6:$AG$69,MATCH($V26,Picks_W5!$AH$6:$AH$69,0)),"")=Results!$C$25)+(IFERROR(INDEX(Picks_W6!$AF$6:$AF$69,MATCH($V26,Picks_W6!$AH$6:$AH$69,0)),"")=Results!$B$26)*(IFERROR(INDEX(Picks_W6!$AG$6:$AG$69,MATCH($V26,Picks_W6!$AH$6:$AH$69,0)),"")=Results!$C$26)+(IFERROR(INDEX(Picks_W7!$AF$6:$AF$69,MATCH($V26,Picks_W7!$AH$6:$AH$69,0)),"")=Results!$B$27)*(IFERROR(INDEX(Picks_W7!$AG$6:$AG$69,MATCH($V26,Picks_W7!$AH$6:$AH$69,0)),"")=Results!$C$27)+(IFERROR(INDEX(Picks_W8!$AF$6:$AF$69,MATCH($V26,Picks_W8!$AH$6:$AH$69,0)),"")=Results!$B$28)*(IFERROR(INDEX(Picks_W8!$AG$6:$AG$69,MATCH($V26,Picks_W8!$AH$6:$AH$69,0)),"")=Results!$C$28)+(IFERROR(INDEX(Picks_W9!$AF$6:$AF$69,MATCH($V26,Picks_W9!$AH$6:$AH$69,0)),"")=Results!$B$29)*(IFERROR(INDEX(Picks_W9!$AG$6:$AG$69,MATCH($V26,Picks_W9!$AH$6:$AH$69,0)),"")=Results!$C$29)+(IFERROR(INDEX(Picks_W10!$AF$6:$AF$69,MATCH($V26,Picks_W10!$AH$6:$AH$69,0)),"")=Results!$B$30)*(IFERROR(INDEX(Picks_W10!$AG$6:$AG$69,MATCH($V26,Picks_W10!$AH$6:$AH$69,0)),"")=Results!$C$30)+(IFERROR(INDEX(Picks_W11!$AF$6:$AF$69,MATCH($V26,Picks_W11!$AH$6:$AH$69,0)),"")=Results!$B$31)*(IFERROR(INDEX(Picks_W11!$AG$6:$AG$69,MATCH($V26,Picks_W11!$AH$6:$AH$69,0)),"")=Results!$C$31)+(IFERROR(INDEX(Picks_W12!$AF$6:$AF$69,MATCH($V26,Picks_W12!$AH$6:$AH$69,0)),"")=Results!$B$32)*(IFERROR(INDEX(Picks_W12!$AG$6:$AG$69,MATCH($V26,Picks_W12!$AH$6:$AH$69,0)),"")=Results!$C$32)+(IFERROR(INDEX(Picks_W13!$AF$6:$AF$69,MATCH($V26,Picks_W13!$AH$6:$AH$69,0)),"")=Results!$B$33)*(IFERROR(INDEX(Picks_W13!$AG$6:$AG$69,MATCH($V26,Picks_W13!$AH$6:$AH$69,0)),"")=Results!$C$33)</f>
        <v>0</v>
      </c>
      <c r="Q26" s="4">
        <f t="shared" si="1"/>
        <v>12</v>
      </c>
      <c r="R26" s="4">
        <f t="shared" si="2"/>
        <v>0</v>
      </c>
      <c r="S26" s="4">
        <f t="shared" si="3"/>
        <v>22.000122400000002</v>
      </c>
      <c r="T26" s="4">
        <f>IFERROR(INDEX(Picks_W1!$AV$6:$AV$69,MATCH($V26,Picks_W1!$AH$6:$AH$69,0)),0)+IFERROR(INDEX(Picks_W2!$AV$6:$AV$69,MATCH($V26,Picks_W2!$AH$6:$AH$69,0)),0)+IFERROR(INDEX(Picks_W3!$AV$6:$AV$69,MATCH($V26,Picks_W3!$AH$6:$AH$69,0)),0)+IFERROR(INDEX(Picks_W4!$AV$6:$AV$69,MATCH($V26,Picks_W4!$AH$6:$AH$69,0)),0)+IFERROR(INDEX(Picks_W5!$AV$6:$AV$69,MATCH($V26,Picks_W5!$AH$6:$AH$69,0)),0)+IFERROR(INDEX(Picks_W6!$AV$6:$AV$69,MATCH($V26,Picks_W6!$AH$6:$AH$69,0)),0)+IFERROR(INDEX(Picks_W7!$AV$6:$AV$69,MATCH($V26,Picks_W7!$AH$6:$AH$69,0)),0)+IFERROR(INDEX(Picks_W8!$AV$6:$AV$69,MATCH($V26,Picks_W8!$AH$6:$AH$69,0)),0)+IFERROR(INDEX(Picks_W9!$AV$6:$AV$69,MATCH($V26,Picks_W9!$AH$6:$AH$69,0)),0)+IFERROR(INDEX(Picks_W10!$AV$6:$AV$69,MATCH($V26,Picks_W10!$AH$6:$AH$69,0)),0)+IFERROR(INDEX(Picks_W11!$AV$6:$AV$69,MATCH($V26,Picks_W11!$AH$6:$AH$69,0)),0)+IFERROR(INDEX(Picks_W12!$AV$6:$AV$69,MATCH($V26,Picks_W12!$AH$6:$AH$69,0)),0)+IFERROR(INDEX(Picks_W13!$AV$6:$AV$69,MATCH($V26,Picks_W13!$AH$6:$AH$69,0)),0)</f>
        <v>1</v>
      </c>
      <c r="U26" s="17">
        <f>IF(Results!$B$35=0,0,T26/Results!$B$35)</f>
        <v>0.125</v>
      </c>
      <c r="V26" s="4">
        <v>48</v>
      </c>
    </row>
    <row r="27" spans="1:22" ht="15" customHeight="1" x14ac:dyDescent="0.25">
      <c r="A27" s="4" t="str">
        <f>IFERROR(INDEX(Players!$D$6:$D$69,MATCH(V27,Players!$A$6:$A$69,0)),"")</f>
        <v>Jeff D.</v>
      </c>
      <c r="B27" s="4">
        <f>IFERROR(INDEX(Picks_W1!$AF$6:$AF$69,MATCH($V27,Picks_W1!$AH$6:$AH$69,0)),0)</f>
        <v>12</v>
      </c>
      <c r="C27" s="4">
        <f>IFERROR(INDEX(Picks_W2!$AF$6:$AF$69,MATCH($V27,Picks_W2!$AH$6:$AH$69,0)),0)</f>
        <v>9</v>
      </c>
      <c r="D27" s="4">
        <f>IFERROR(INDEX(Picks_W3!$AF$6:$AF$69,MATCH($V27,Picks_W3!$AH$6:$AH$69,0)),0)</f>
        <v>0</v>
      </c>
      <c r="E27" s="4">
        <f>IFERROR(INDEX(Picks_W4!$AF$6:$AF$69,MATCH($V27,Picks_W4!$AH$6:$AH$69,0)),0)</f>
        <v>0</v>
      </c>
      <c r="F27" s="4">
        <f>IFERROR(INDEX(Picks_W5!$AF$6:$AF$69,MATCH($V27,Picks_W5!$AH$6:$AH$69,0)),0)</f>
        <v>0</v>
      </c>
      <c r="G27" s="4">
        <f>IFERROR(INDEX(Picks_W6!$AF$6:$AF$69,MATCH($V27,Picks_W6!$AH$6:$AH$69,0)),0)</f>
        <v>0</v>
      </c>
      <c r="H27" s="4">
        <f>IFERROR(INDEX(Picks_W7!$AF$6:$AF$69,MATCH($V27,Picks_W7!$AH$6:$AH$69,0)),0)</f>
        <v>0</v>
      </c>
      <c r="I27" s="4">
        <f>IFERROR(INDEX(Picks_W8!$AF$6:$AF$69,MATCH($V27,Picks_W8!$AH$6:$AH$69,0)),0)</f>
        <v>0</v>
      </c>
      <c r="J27" s="4">
        <f>IFERROR(INDEX(Picks_W9!$AF$6:$AF$69,MATCH($V27,Picks_W9!$AH$6:$AH$69,0)),0)</f>
        <v>0</v>
      </c>
      <c r="K27" s="4">
        <f>IFERROR(INDEX(Picks_W10!$AF$6:$AF$69,MATCH($V27,Picks_W10!$AH$6:$AH$69,0)),0)</f>
        <v>0</v>
      </c>
      <c r="L27" s="4">
        <f>IFERROR(INDEX(Picks_W11!$AF$6:$AF$69,MATCH($V27,Picks_W11!$AH$6:$AH$69,0)),0)</f>
        <v>0</v>
      </c>
      <c r="M27" s="4">
        <f>IFERROR(INDEX(Picks_W12!$AF$6:$AF$69,MATCH($V27,Picks_W12!$AH$6:$AH$69,0)),0)</f>
        <v>0</v>
      </c>
      <c r="N27" s="4">
        <f>IFERROR(INDEX(Picks_W13!$AF$6:$AF$69,MATCH($V27,Picks_W13!$AH$6:$AH$69,0)),0)</f>
        <v>0</v>
      </c>
      <c r="O27" s="4">
        <f t="shared" si="0"/>
        <v>21</v>
      </c>
      <c r="P27" s="4">
        <f>(IFERROR(INDEX(Picks_W1!$AF$6:$AF$69,MATCH($V27,Picks_W1!$AH$6:$AH$69,0)),"")=Results!$B$21)*(IFERROR(INDEX(Picks_W1!$AG$6:$AG$69,MATCH($V27,Picks_W1!$AH$6:$AH$69,0)),"")=Results!$C$21)+(IFERROR(INDEX(Picks_W2!$AF$6:$AF$69,MATCH($V27,Picks_W2!$AH$6:$AH$69,0)),"")=Results!$B$22)*(IFERROR(INDEX(Picks_W2!$AG$6:$AG$69,MATCH($V27,Picks_W2!$AH$6:$AH$69,0)),"")=Results!$C$22)+(IFERROR(INDEX(Picks_W3!$AF$6:$AF$69,MATCH($V27,Picks_W3!$AH$6:$AH$69,0)),"")=Results!$B$23)*(IFERROR(INDEX(Picks_W3!$AG$6:$AG$69,MATCH($V27,Picks_W3!$AH$6:$AH$69,0)),"")=Results!$C$23)+(IFERROR(INDEX(Picks_W4!$AF$6:$AF$69,MATCH($V27,Picks_W4!$AH$6:$AH$69,0)),"")=Results!$B$24)*(IFERROR(INDEX(Picks_W4!$AG$6:$AG$69,MATCH($V27,Picks_W4!$AH$6:$AH$69,0)),"")=Results!$C$24)+(IFERROR(INDEX(Picks_W5!$AF$6:$AF$69,MATCH($V27,Picks_W5!$AH$6:$AH$69,0)),"")=Results!$B$25)*(IFERROR(INDEX(Picks_W5!$AG$6:$AG$69,MATCH($V27,Picks_W5!$AH$6:$AH$69,0)),"")=Results!$C$25)+(IFERROR(INDEX(Picks_W6!$AF$6:$AF$69,MATCH($V27,Picks_W6!$AH$6:$AH$69,0)),"")=Results!$B$26)*(IFERROR(INDEX(Picks_W6!$AG$6:$AG$69,MATCH($V27,Picks_W6!$AH$6:$AH$69,0)),"")=Results!$C$26)+(IFERROR(INDEX(Picks_W7!$AF$6:$AF$69,MATCH($V27,Picks_W7!$AH$6:$AH$69,0)),"")=Results!$B$27)*(IFERROR(INDEX(Picks_W7!$AG$6:$AG$69,MATCH($V27,Picks_W7!$AH$6:$AH$69,0)),"")=Results!$C$27)+(IFERROR(INDEX(Picks_W8!$AF$6:$AF$69,MATCH($V27,Picks_W8!$AH$6:$AH$69,0)),"")=Results!$B$28)*(IFERROR(INDEX(Picks_W8!$AG$6:$AG$69,MATCH($V27,Picks_W8!$AH$6:$AH$69,0)),"")=Results!$C$28)+(IFERROR(INDEX(Picks_W9!$AF$6:$AF$69,MATCH($V27,Picks_W9!$AH$6:$AH$69,0)),"")=Results!$B$29)*(IFERROR(INDEX(Picks_W9!$AG$6:$AG$69,MATCH($V27,Picks_W9!$AH$6:$AH$69,0)),"")=Results!$C$29)+(IFERROR(INDEX(Picks_W10!$AF$6:$AF$69,MATCH($V27,Picks_W10!$AH$6:$AH$69,0)),"")=Results!$B$30)*(IFERROR(INDEX(Picks_W10!$AG$6:$AG$69,MATCH($V27,Picks_W10!$AH$6:$AH$69,0)),"")=Results!$C$30)+(IFERROR(INDEX(Picks_W11!$AF$6:$AF$69,MATCH($V27,Picks_W11!$AH$6:$AH$69,0)),"")=Results!$B$31)*(IFERROR(INDEX(Picks_W11!$AG$6:$AG$69,MATCH($V27,Picks_W11!$AH$6:$AH$69,0)),"")=Results!$C$31)+(IFERROR(INDEX(Picks_W12!$AF$6:$AF$69,MATCH($V27,Picks_W12!$AH$6:$AH$69,0)),"")=Results!$B$32)*(IFERROR(INDEX(Picks_W12!$AG$6:$AG$69,MATCH($V27,Picks_W12!$AH$6:$AH$69,0)),"")=Results!$C$32)+(IFERROR(INDEX(Picks_W13!$AF$6:$AF$69,MATCH($V27,Picks_W13!$AH$6:$AH$69,0)),"")=Results!$B$33)*(IFERROR(INDEX(Picks_W13!$AG$6:$AG$69,MATCH($V27,Picks_W13!$AH$6:$AH$69,0)),"")=Results!$C$33)</f>
        <v>0</v>
      </c>
      <c r="Q27" s="4">
        <f t="shared" si="1"/>
        <v>12</v>
      </c>
      <c r="R27" s="4">
        <f t="shared" si="2"/>
        <v>0</v>
      </c>
      <c r="S27" s="4">
        <f t="shared" si="3"/>
        <v>21.000372299999999</v>
      </c>
      <c r="T27" s="4">
        <f>IFERROR(INDEX(Picks_W1!$AV$6:$AV$69,MATCH($V27,Picks_W1!$AH$6:$AH$69,0)),0)+IFERROR(INDEX(Picks_W2!$AV$6:$AV$69,MATCH($V27,Picks_W2!$AH$6:$AH$69,0)),0)+IFERROR(INDEX(Picks_W3!$AV$6:$AV$69,MATCH($V27,Picks_W3!$AH$6:$AH$69,0)),0)+IFERROR(INDEX(Picks_W4!$AV$6:$AV$69,MATCH($V27,Picks_W4!$AH$6:$AH$69,0)),0)+IFERROR(INDEX(Picks_W5!$AV$6:$AV$69,MATCH($V27,Picks_W5!$AH$6:$AH$69,0)),0)+IFERROR(INDEX(Picks_W6!$AV$6:$AV$69,MATCH($V27,Picks_W6!$AH$6:$AH$69,0)),0)+IFERROR(INDEX(Picks_W7!$AV$6:$AV$69,MATCH($V27,Picks_W7!$AH$6:$AH$69,0)),0)+IFERROR(INDEX(Picks_W8!$AV$6:$AV$69,MATCH($V27,Picks_W8!$AH$6:$AH$69,0)),0)+IFERROR(INDEX(Picks_W9!$AV$6:$AV$69,MATCH($V27,Picks_W9!$AH$6:$AH$69,0)),0)+IFERROR(INDEX(Picks_W10!$AV$6:$AV$69,MATCH($V27,Picks_W10!$AH$6:$AH$69,0)),0)+IFERROR(INDEX(Picks_W11!$AV$6:$AV$69,MATCH($V27,Picks_W11!$AH$6:$AH$69,0)),0)+IFERROR(INDEX(Picks_W12!$AV$6:$AV$69,MATCH($V27,Picks_W12!$AH$6:$AH$69,0)),0)+IFERROR(INDEX(Picks_W13!$AV$6:$AV$69,MATCH($V27,Picks_W13!$AH$6:$AH$69,0)),0)</f>
        <v>3</v>
      </c>
      <c r="U27" s="17">
        <f>IF(Results!$B$35=0,0,T27/Results!$B$35)</f>
        <v>0.375</v>
      </c>
      <c r="V27" s="4">
        <v>38</v>
      </c>
    </row>
    <row r="28" spans="1:22" ht="15" customHeight="1" x14ac:dyDescent="0.25">
      <c r="A28" s="4" t="str">
        <f>IFERROR(INDEX(Players!$D$6:$D$69,MATCH(V28,Players!$A$6:$A$69,0)),"")</f>
        <v>Jeff K.</v>
      </c>
      <c r="B28" s="4">
        <f>IFERROR(INDEX(Picks_W1!$AF$6:$AF$69,MATCH($V28,Picks_W1!$AH$6:$AH$69,0)),0)</f>
        <v>10</v>
      </c>
      <c r="C28" s="4">
        <f>IFERROR(INDEX(Picks_W2!$AF$6:$AF$69,MATCH($V28,Picks_W2!$AH$6:$AH$69,0)),0)</f>
        <v>9</v>
      </c>
      <c r="D28" s="4">
        <f>IFERROR(INDEX(Picks_W3!$AF$6:$AF$69,MATCH($V28,Picks_W3!$AH$6:$AH$69,0)),0)</f>
        <v>0</v>
      </c>
      <c r="E28" s="4">
        <f>IFERROR(INDEX(Picks_W4!$AF$6:$AF$69,MATCH($V28,Picks_W4!$AH$6:$AH$69,0)),0)</f>
        <v>0</v>
      </c>
      <c r="F28" s="4">
        <f>IFERROR(INDEX(Picks_W5!$AF$6:$AF$69,MATCH($V28,Picks_W5!$AH$6:$AH$69,0)),0)</f>
        <v>0</v>
      </c>
      <c r="G28" s="4">
        <f>IFERROR(INDEX(Picks_W6!$AF$6:$AF$69,MATCH($V28,Picks_W6!$AH$6:$AH$69,0)),0)</f>
        <v>0</v>
      </c>
      <c r="H28" s="4">
        <f>IFERROR(INDEX(Picks_W7!$AF$6:$AF$69,MATCH($V28,Picks_W7!$AH$6:$AH$69,0)),0)</f>
        <v>0</v>
      </c>
      <c r="I28" s="4">
        <f>IFERROR(INDEX(Picks_W8!$AF$6:$AF$69,MATCH($V28,Picks_W8!$AH$6:$AH$69,0)),0)</f>
        <v>0</v>
      </c>
      <c r="J28" s="4">
        <f>IFERROR(INDEX(Picks_W9!$AF$6:$AF$69,MATCH($V28,Picks_W9!$AH$6:$AH$69,0)),0)</f>
        <v>0</v>
      </c>
      <c r="K28" s="4">
        <f>IFERROR(INDEX(Picks_W10!$AF$6:$AF$69,MATCH($V28,Picks_W10!$AH$6:$AH$69,0)),0)</f>
        <v>0</v>
      </c>
      <c r="L28" s="4">
        <f>IFERROR(INDEX(Picks_W11!$AF$6:$AF$69,MATCH($V28,Picks_W11!$AH$6:$AH$69,0)),0)</f>
        <v>0</v>
      </c>
      <c r="M28" s="4">
        <f>IFERROR(INDEX(Picks_W12!$AF$6:$AF$69,MATCH($V28,Picks_W12!$AH$6:$AH$69,0)),0)</f>
        <v>0</v>
      </c>
      <c r="N28" s="4">
        <f>IFERROR(INDEX(Picks_W13!$AF$6:$AF$69,MATCH($V28,Picks_W13!$AH$6:$AH$69,0)),0)</f>
        <v>0</v>
      </c>
      <c r="O28" s="4">
        <f t="shared" si="0"/>
        <v>19</v>
      </c>
      <c r="P28" s="4">
        <f>(IFERROR(INDEX(Picks_W1!$AF$6:$AF$69,MATCH($V28,Picks_W1!$AH$6:$AH$69,0)),"")=Results!$B$21)*(IFERROR(INDEX(Picks_W1!$AG$6:$AG$69,MATCH($V28,Picks_W1!$AH$6:$AH$69,0)),"")=Results!$C$21)+(IFERROR(INDEX(Picks_W2!$AF$6:$AF$69,MATCH($V28,Picks_W2!$AH$6:$AH$69,0)),"")=Results!$B$22)*(IFERROR(INDEX(Picks_W2!$AG$6:$AG$69,MATCH($V28,Picks_W2!$AH$6:$AH$69,0)),"")=Results!$C$22)+(IFERROR(INDEX(Picks_W3!$AF$6:$AF$69,MATCH($V28,Picks_W3!$AH$6:$AH$69,0)),"")=Results!$B$23)*(IFERROR(INDEX(Picks_W3!$AG$6:$AG$69,MATCH($V28,Picks_W3!$AH$6:$AH$69,0)),"")=Results!$C$23)+(IFERROR(INDEX(Picks_W4!$AF$6:$AF$69,MATCH($V28,Picks_W4!$AH$6:$AH$69,0)),"")=Results!$B$24)*(IFERROR(INDEX(Picks_W4!$AG$6:$AG$69,MATCH($V28,Picks_W4!$AH$6:$AH$69,0)),"")=Results!$C$24)+(IFERROR(INDEX(Picks_W5!$AF$6:$AF$69,MATCH($V28,Picks_W5!$AH$6:$AH$69,0)),"")=Results!$B$25)*(IFERROR(INDEX(Picks_W5!$AG$6:$AG$69,MATCH($V28,Picks_W5!$AH$6:$AH$69,0)),"")=Results!$C$25)+(IFERROR(INDEX(Picks_W6!$AF$6:$AF$69,MATCH($V28,Picks_W6!$AH$6:$AH$69,0)),"")=Results!$B$26)*(IFERROR(INDEX(Picks_W6!$AG$6:$AG$69,MATCH($V28,Picks_W6!$AH$6:$AH$69,0)),"")=Results!$C$26)+(IFERROR(INDEX(Picks_W7!$AF$6:$AF$69,MATCH($V28,Picks_W7!$AH$6:$AH$69,0)),"")=Results!$B$27)*(IFERROR(INDEX(Picks_W7!$AG$6:$AG$69,MATCH($V28,Picks_W7!$AH$6:$AH$69,0)),"")=Results!$C$27)+(IFERROR(INDEX(Picks_W8!$AF$6:$AF$69,MATCH($V28,Picks_W8!$AH$6:$AH$69,0)),"")=Results!$B$28)*(IFERROR(INDEX(Picks_W8!$AG$6:$AG$69,MATCH($V28,Picks_W8!$AH$6:$AH$69,0)),"")=Results!$C$28)+(IFERROR(INDEX(Picks_W9!$AF$6:$AF$69,MATCH($V28,Picks_W9!$AH$6:$AH$69,0)),"")=Results!$B$29)*(IFERROR(INDEX(Picks_W9!$AG$6:$AG$69,MATCH($V28,Picks_W9!$AH$6:$AH$69,0)),"")=Results!$C$29)+(IFERROR(INDEX(Picks_W10!$AF$6:$AF$69,MATCH($V28,Picks_W10!$AH$6:$AH$69,0)),"")=Results!$B$30)*(IFERROR(INDEX(Picks_W10!$AG$6:$AG$69,MATCH($V28,Picks_W10!$AH$6:$AH$69,0)),"")=Results!$C$30)+(IFERROR(INDEX(Picks_W11!$AF$6:$AF$69,MATCH($V28,Picks_W11!$AH$6:$AH$69,0)),"")=Results!$B$31)*(IFERROR(INDEX(Picks_W11!$AG$6:$AG$69,MATCH($V28,Picks_W11!$AH$6:$AH$69,0)),"")=Results!$C$31)+(IFERROR(INDEX(Picks_W12!$AF$6:$AF$69,MATCH($V28,Picks_W12!$AH$6:$AH$69,0)),"")=Results!$B$32)*(IFERROR(INDEX(Picks_W12!$AG$6:$AG$69,MATCH($V28,Picks_W12!$AH$6:$AH$69,0)),"")=Results!$C$32)+(IFERROR(INDEX(Picks_W13!$AF$6:$AF$69,MATCH($V28,Picks_W13!$AH$6:$AH$69,0)),"")=Results!$B$33)*(IFERROR(INDEX(Picks_W13!$AG$6:$AG$69,MATCH($V28,Picks_W13!$AH$6:$AH$69,0)),"")=Results!$C$33)</f>
        <v>0</v>
      </c>
      <c r="Q28" s="4">
        <f t="shared" si="1"/>
        <v>10</v>
      </c>
      <c r="R28" s="4">
        <f t="shared" si="2"/>
        <v>0</v>
      </c>
      <c r="S28" s="4">
        <f t="shared" si="3"/>
        <v>19.0001222</v>
      </c>
      <c r="T28" s="4">
        <f>IFERROR(INDEX(Picks_W1!$AV$6:$AV$69,MATCH($V28,Picks_W1!$AH$6:$AH$69,0)),0)+IFERROR(INDEX(Picks_W2!$AV$6:$AV$69,MATCH($V28,Picks_W2!$AH$6:$AH$69,0)),0)+IFERROR(INDEX(Picks_W3!$AV$6:$AV$69,MATCH($V28,Picks_W3!$AH$6:$AH$69,0)),0)+IFERROR(INDEX(Picks_W4!$AV$6:$AV$69,MATCH($V28,Picks_W4!$AH$6:$AH$69,0)),0)+IFERROR(INDEX(Picks_W5!$AV$6:$AV$69,MATCH($V28,Picks_W5!$AH$6:$AH$69,0)),0)+IFERROR(INDEX(Picks_W6!$AV$6:$AV$69,MATCH($V28,Picks_W6!$AH$6:$AH$69,0)),0)+IFERROR(INDEX(Picks_W7!$AV$6:$AV$69,MATCH($V28,Picks_W7!$AH$6:$AH$69,0)),0)+IFERROR(INDEX(Picks_W8!$AV$6:$AV$69,MATCH($V28,Picks_W8!$AH$6:$AH$69,0)),0)+IFERROR(INDEX(Picks_W9!$AV$6:$AV$69,MATCH($V28,Picks_W9!$AH$6:$AH$69,0)),0)+IFERROR(INDEX(Picks_W10!$AV$6:$AV$69,MATCH($V28,Picks_W10!$AH$6:$AH$69,0)),0)+IFERROR(INDEX(Picks_W11!$AV$6:$AV$69,MATCH($V28,Picks_W11!$AH$6:$AH$69,0)),0)+IFERROR(INDEX(Picks_W12!$AV$6:$AV$69,MATCH($V28,Picks_W12!$AH$6:$AH$69,0)),0)+IFERROR(INDEX(Picks_W13!$AV$6:$AV$69,MATCH($V28,Picks_W13!$AH$6:$AH$69,0)),0)</f>
        <v>1</v>
      </c>
      <c r="U28" s="17">
        <f>IF(Results!$B$35=0,0,T28/Results!$B$35)</f>
        <v>0.125</v>
      </c>
      <c r="V28" s="4">
        <v>60</v>
      </c>
    </row>
    <row r="29" spans="1:22" ht="15" customHeight="1" x14ac:dyDescent="0.25">
      <c r="A29" s="4" t="str">
        <f>IFERROR(INDEX(Players!$D$6:$D$69,MATCH(V29,Players!$A$6:$A$69,0)),"")</f>
        <v>Jeff R.</v>
      </c>
      <c r="B29" s="4">
        <f>IFERROR(INDEX(Picks_W1!$AF$6:$AF$69,MATCH($V29,Picks_W1!$AH$6:$AH$69,0)),0)</f>
        <v>14</v>
      </c>
      <c r="C29" s="4">
        <f>IFERROR(INDEX(Picks_W2!$AF$6:$AF$69,MATCH($V29,Picks_W2!$AH$6:$AH$69,0)),0)</f>
        <v>6</v>
      </c>
      <c r="D29" s="4">
        <f>IFERROR(INDEX(Picks_W3!$AF$6:$AF$69,MATCH($V29,Picks_W3!$AH$6:$AH$69,0)),0)</f>
        <v>0</v>
      </c>
      <c r="E29" s="4">
        <f>IFERROR(INDEX(Picks_W4!$AF$6:$AF$69,MATCH($V29,Picks_W4!$AH$6:$AH$69,0)),0)</f>
        <v>0</v>
      </c>
      <c r="F29" s="4">
        <f>IFERROR(INDEX(Picks_W5!$AF$6:$AF$69,MATCH($V29,Picks_W5!$AH$6:$AH$69,0)),0)</f>
        <v>0</v>
      </c>
      <c r="G29" s="4">
        <f>IFERROR(INDEX(Picks_W6!$AF$6:$AF$69,MATCH($V29,Picks_W6!$AH$6:$AH$69,0)),0)</f>
        <v>0</v>
      </c>
      <c r="H29" s="4">
        <f>IFERROR(INDEX(Picks_W7!$AF$6:$AF$69,MATCH($V29,Picks_W7!$AH$6:$AH$69,0)),0)</f>
        <v>0</v>
      </c>
      <c r="I29" s="4">
        <f>IFERROR(INDEX(Picks_W8!$AF$6:$AF$69,MATCH($V29,Picks_W8!$AH$6:$AH$69,0)),0)</f>
        <v>0</v>
      </c>
      <c r="J29" s="4">
        <f>IFERROR(INDEX(Picks_W9!$AF$6:$AF$69,MATCH($V29,Picks_W9!$AH$6:$AH$69,0)),0)</f>
        <v>0</v>
      </c>
      <c r="K29" s="4">
        <f>IFERROR(INDEX(Picks_W10!$AF$6:$AF$69,MATCH($V29,Picks_W10!$AH$6:$AH$69,0)),0)</f>
        <v>0</v>
      </c>
      <c r="L29" s="4">
        <f>IFERROR(INDEX(Picks_W11!$AF$6:$AF$69,MATCH($V29,Picks_W11!$AH$6:$AH$69,0)),0)</f>
        <v>0</v>
      </c>
      <c r="M29" s="4">
        <f>IFERROR(INDEX(Picks_W12!$AF$6:$AF$69,MATCH($V29,Picks_W12!$AH$6:$AH$69,0)),0)</f>
        <v>0</v>
      </c>
      <c r="N29" s="4">
        <f>IFERROR(INDEX(Picks_W13!$AF$6:$AF$69,MATCH($V29,Picks_W13!$AH$6:$AH$69,0)),0)</f>
        <v>0</v>
      </c>
      <c r="O29" s="4">
        <f t="shared" si="0"/>
        <v>20</v>
      </c>
      <c r="P29" s="4">
        <f>(IFERROR(INDEX(Picks_W1!$AF$6:$AF$69,MATCH($V29,Picks_W1!$AH$6:$AH$69,0)),"")=Results!$B$21)*(IFERROR(INDEX(Picks_W1!$AG$6:$AG$69,MATCH($V29,Picks_W1!$AH$6:$AH$69,0)),"")=Results!$C$21)+(IFERROR(INDEX(Picks_W2!$AF$6:$AF$69,MATCH($V29,Picks_W2!$AH$6:$AH$69,0)),"")=Results!$B$22)*(IFERROR(INDEX(Picks_W2!$AG$6:$AG$69,MATCH($V29,Picks_W2!$AH$6:$AH$69,0)),"")=Results!$C$22)+(IFERROR(INDEX(Picks_W3!$AF$6:$AF$69,MATCH($V29,Picks_W3!$AH$6:$AH$69,0)),"")=Results!$B$23)*(IFERROR(INDEX(Picks_W3!$AG$6:$AG$69,MATCH($V29,Picks_W3!$AH$6:$AH$69,0)),"")=Results!$C$23)+(IFERROR(INDEX(Picks_W4!$AF$6:$AF$69,MATCH($V29,Picks_W4!$AH$6:$AH$69,0)),"")=Results!$B$24)*(IFERROR(INDEX(Picks_W4!$AG$6:$AG$69,MATCH($V29,Picks_W4!$AH$6:$AH$69,0)),"")=Results!$C$24)+(IFERROR(INDEX(Picks_W5!$AF$6:$AF$69,MATCH($V29,Picks_W5!$AH$6:$AH$69,0)),"")=Results!$B$25)*(IFERROR(INDEX(Picks_W5!$AG$6:$AG$69,MATCH($V29,Picks_W5!$AH$6:$AH$69,0)),"")=Results!$C$25)+(IFERROR(INDEX(Picks_W6!$AF$6:$AF$69,MATCH($V29,Picks_W6!$AH$6:$AH$69,0)),"")=Results!$B$26)*(IFERROR(INDEX(Picks_W6!$AG$6:$AG$69,MATCH($V29,Picks_W6!$AH$6:$AH$69,0)),"")=Results!$C$26)+(IFERROR(INDEX(Picks_W7!$AF$6:$AF$69,MATCH($V29,Picks_W7!$AH$6:$AH$69,0)),"")=Results!$B$27)*(IFERROR(INDEX(Picks_W7!$AG$6:$AG$69,MATCH($V29,Picks_W7!$AH$6:$AH$69,0)),"")=Results!$C$27)+(IFERROR(INDEX(Picks_W8!$AF$6:$AF$69,MATCH($V29,Picks_W8!$AH$6:$AH$69,0)),"")=Results!$B$28)*(IFERROR(INDEX(Picks_W8!$AG$6:$AG$69,MATCH($V29,Picks_W8!$AH$6:$AH$69,0)),"")=Results!$C$28)+(IFERROR(INDEX(Picks_W9!$AF$6:$AF$69,MATCH($V29,Picks_W9!$AH$6:$AH$69,0)),"")=Results!$B$29)*(IFERROR(INDEX(Picks_W9!$AG$6:$AG$69,MATCH($V29,Picks_W9!$AH$6:$AH$69,0)),"")=Results!$C$29)+(IFERROR(INDEX(Picks_W10!$AF$6:$AF$69,MATCH($V29,Picks_W10!$AH$6:$AH$69,0)),"")=Results!$B$30)*(IFERROR(INDEX(Picks_W10!$AG$6:$AG$69,MATCH($V29,Picks_W10!$AH$6:$AH$69,0)),"")=Results!$C$30)+(IFERROR(INDEX(Picks_W11!$AF$6:$AF$69,MATCH($V29,Picks_W11!$AH$6:$AH$69,0)),"")=Results!$B$31)*(IFERROR(INDEX(Picks_W11!$AG$6:$AG$69,MATCH($V29,Picks_W11!$AH$6:$AH$69,0)),"")=Results!$C$31)+(IFERROR(INDEX(Picks_W12!$AF$6:$AF$69,MATCH($V29,Picks_W12!$AH$6:$AH$69,0)),"")=Results!$B$32)*(IFERROR(INDEX(Picks_W12!$AG$6:$AG$69,MATCH($V29,Picks_W12!$AH$6:$AH$69,0)),"")=Results!$C$32)+(IFERROR(INDEX(Picks_W13!$AF$6:$AF$69,MATCH($V29,Picks_W13!$AH$6:$AH$69,0)),"")=Results!$B$33)*(IFERROR(INDEX(Picks_W13!$AG$6:$AG$69,MATCH($V29,Picks_W13!$AH$6:$AH$69,0)),"")=Results!$C$33)</f>
        <v>0</v>
      </c>
      <c r="Q29" s="4">
        <f t="shared" si="1"/>
        <v>14</v>
      </c>
      <c r="R29" s="4">
        <f t="shared" si="2"/>
        <v>0</v>
      </c>
      <c r="S29" s="4">
        <f t="shared" si="3"/>
        <v>20.000247100000003</v>
      </c>
      <c r="T29" s="4">
        <f>IFERROR(INDEX(Picks_W1!$AV$6:$AV$69,MATCH($V29,Picks_W1!$AH$6:$AH$69,0)),0)+IFERROR(INDEX(Picks_W2!$AV$6:$AV$69,MATCH($V29,Picks_W2!$AH$6:$AH$69,0)),0)+IFERROR(INDEX(Picks_W3!$AV$6:$AV$69,MATCH($V29,Picks_W3!$AH$6:$AH$69,0)),0)+IFERROR(INDEX(Picks_W4!$AV$6:$AV$69,MATCH($V29,Picks_W4!$AH$6:$AH$69,0)),0)+IFERROR(INDEX(Picks_W5!$AV$6:$AV$69,MATCH($V29,Picks_W5!$AH$6:$AH$69,0)),0)+IFERROR(INDEX(Picks_W6!$AV$6:$AV$69,MATCH($V29,Picks_W6!$AH$6:$AH$69,0)),0)+IFERROR(INDEX(Picks_W7!$AV$6:$AV$69,MATCH($V29,Picks_W7!$AH$6:$AH$69,0)),0)+IFERROR(INDEX(Picks_W8!$AV$6:$AV$69,MATCH($V29,Picks_W8!$AH$6:$AH$69,0)),0)+IFERROR(INDEX(Picks_W9!$AV$6:$AV$69,MATCH($V29,Picks_W9!$AH$6:$AH$69,0)),0)+IFERROR(INDEX(Picks_W10!$AV$6:$AV$69,MATCH($V29,Picks_W10!$AH$6:$AH$69,0)),0)+IFERROR(INDEX(Picks_W11!$AV$6:$AV$69,MATCH($V29,Picks_W11!$AH$6:$AH$69,0)),0)+IFERROR(INDEX(Picks_W12!$AV$6:$AV$69,MATCH($V29,Picks_W12!$AH$6:$AH$69,0)),0)+IFERROR(INDEX(Picks_W13!$AV$6:$AV$69,MATCH($V29,Picks_W13!$AH$6:$AH$69,0)),0)</f>
        <v>2</v>
      </c>
      <c r="U29" s="17">
        <f>IF(Results!$B$35=0,0,T29/Results!$B$35)</f>
        <v>0.25</v>
      </c>
      <c r="V29" s="4">
        <v>11</v>
      </c>
    </row>
    <row r="30" spans="1:22" ht="15" customHeight="1" x14ac:dyDescent="0.25">
      <c r="A30" s="4" t="str">
        <f>IFERROR(INDEX(Players!$D$6:$D$69,MATCH(V30,Players!$A$6:$A$69,0)),"")</f>
        <v>Jill B.</v>
      </c>
      <c r="B30" s="4">
        <f>IFERROR(INDEX(Picks_W1!$AF$6:$AF$69,MATCH($V30,Picks_W1!$AH$6:$AH$69,0)),0)</f>
        <v>13</v>
      </c>
      <c r="C30" s="4">
        <f>IFERROR(INDEX(Picks_W2!$AF$6:$AF$69,MATCH($V30,Picks_W2!$AH$6:$AH$69,0)),0)</f>
        <v>9</v>
      </c>
      <c r="D30" s="4">
        <f>IFERROR(INDEX(Picks_W3!$AF$6:$AF$69,MATCH($V30,Picks_W3!$AH$6:$AH$69,0)),0)</f>
        <v>0</v>
      </c>
      <c r="E30" s="4">
        <f>IFERROR(INDEX(Picks_W4!$AF$6:$AF$69,MATCH($V30,Picks_W4!$AH$6:$AH$69,0)),0)</f>
        <v>0</v>
      </c>
      <c r="F30" s="4">
        <f>IFERROR(INDEX(Picks_W5!$AF$6:$AF$69,MATCH($V30,Picks_W5!$AH$6:$AH$69,0)),0)</f>
        <v>0</v>
      </c>
      <c r="G30" s="4">
        <f>IFERROR(INDEX(Picks_W6!$AF$6:$AF$69,MATCH($V30,Picks_W6!$AH$6:$AH$69,0)),0)</f>
        <v>0</v>
      </c>
      <c r="H30" s="4">
        <f>IFERROR(INDEX(Picks_W7!$AF$6:$AF$69,MATCH($V30,Picks_W7!$AH$6:$AH$69,0)),0)</f>
        <v>0</v>
      </c>
      <c r="I30" s="4">
        <f>IFERROR(INDEX(Picks_W8!$AF$6:$AF$69,MATCH($V30,Picks_W8!$AH$6:$AH$69,0)),0)</f>
        <v>0</v>
      </c>
      <c r="J30" s="4">
        <f>IFERROR(INDEX(Picks_W9!$AF$6:$AF$69,MATCH($V30,Picks_W9!$AH$6:$AH$69,0)),0)</f>
        <v>0</v>
      </c>
      <c r="K30" s="4">
        <f>IFERROR(INDEX(Picks_W10!$AF$6:$AF$69,MATCH($V30,Picks_W10!$AH$6:$AH$69,0)),0)</f>
        <v>0</v>
      </c>
      <c r="L30" s="4">
        <f>IFERROR(INDEX(Picks_W11!$AF$6:$AF$69,MATCH($V30,Picks_W11!$AH$6:$AH$69,0)),0)</f>
        <v>0</v>
      </c>
      <c r="M30" s="4">
        <f>IFERROR(INDEX(Picks_W12!$AF$6:$AF$69,MATCH($V30,Picks_W12!$AH$6:$AH$69,0)),0)</f>
        <v>0</v>
      </c>
      <c r="N30" s="4">
        <f>IFERROR(INDEX(Picks_W13!$AF$6:$AF$69,MATCH($V30,Picks_W13!$AH$6:$AH$69,0)),0)</f>
        <v>0</v>
      </c>
      <c r="O30" s="4">
        <f t="shared" si="0"/>
        <v>22</v>
      </c>
      <c r="P30" s="4">
        <f>(IFERROR(INDEX(Picks_W1!$AF$6:$AF$69,MATCH($V30,Picks_W1!$AH$6:$AH$69,0)),"")=Results!$B$21)*(IFERROR(INDEX(Picks_W1!$AG$6:$AG$69,MATCH($V30,Picks_W1!$AH$6:$AH$69,0)),"")=Results!$C$21)+(IFERROR(INDEX(Picks_W2!$AF$6:$AF$69,MATCH($V30,Picks_W2!$AH$6:$AH$69,0)),"")=Results!$B$22)*(IFERROR(INDEX(Picks_W2!$AG$6:$AG$69,MATCH($V30,Picks_W2!$AH$6:$AH$69,0)),"")=Results!$C$22)+(IFERROR(INDEX(Picks_W3!$AF$6:$AF$69,MATCH($V30,Picks_W3!$AH$6:$AH$69,0)),"")=Results!$B$23)*(IFERROR(INDEX(Picks_W3!$AG$6:$AG$69,MATCH($V30,Picks_W3!$AH$6:$AH$69,0)),"")=Results!$C$23)+(IFERROR(INDEX(Picks_W4!$AF$6:$AF$69,MATCH($V30,Picks_W4!$AH$6:$AH$69,0)),"")=Results!$B$24)*(IFERROR(INDEX(Picks_W4!$AG$6:$AG$69,MATCH($V30,Picks_W4!$AH$6:$AH$69,0)),"")=Results!$C$24)+(IFERROR(INDEX(Picks_W5!$AF$6:$AF$69,MATCH($V30,Picks_W5!$AH$6:$AH$69,0)),"")=Results!$B$25)*(IFERROR(INDEX(Picks_W5!$AG$6:$AG$69,MATCH($V30,Picks_W5!$AH$6:$AH$69,0)),"")=Results!$C$25)+(IFERROR(INDEX(Picks_W6!$AF$6:$AF$69,MATCH($V30,Picks_W6!$AH$6:$AH$69,0)),"")=Results!$B$26)*(IFERROR(INDEX(Picks_W6!$AG$6:$AG$69,MATCH($V30,Picks_W6!$AH$6:$AH$69,0)),"")=Results!$C$26)+(IFERROR(INDEX(Picks_W7!$AF$6:$AF$69,MATCH($V30,Picks_W7!$AH$6:$AH$69,0)),"")=Results!$B$27)*(IFERROR(INDEX(Picks_W7!$AG$6:$AG$69,MATCH($V30,Picks_W7!$AH$6:$AH$69,0)),"")=Results!$C$27)+(IFERROR(INDEX(Picks_W8!$AF$6:$AF$69,MATCH($V30,Picks_W8!$AH$6:$AH$69,0)),"")=Results!$B$28)*(IFERROR(INDEX(Picks_W8!$AG$6:$AG$69,MATCH($V30,Picks_W8!$AH$6:$AH$69,0)),"")=Results!$C$28)+(IFERROR(INDEX(Picks_W9!$AF$6:$AF$69,MATCH($V30,Picks_W9!$AH$6:$AH$69,0)),"")=Results!$B$29)*(IFERROR(INDEX(Picks_W9!$AG$6:$AG$69,MATCH($V30,Picks_W9!$AH$6:$AH$69,0)),"")=Results!$C$29)+(IFERROR(INDEX(Picks_W10!$AF$6:$AF$69,MATCH($V30,Picks_W10!$AH$6:$AH$69,0)),"")=Results!$B$30)*(IFERROR(INDEX(Picks_W10!$AG$6:$AG$69,MATCH($V30,Picks_W10!$AH$6:$AH$69,0)),"")=Results!$C$30)+(IFERROR(INDEX(Picks_W11!$AF$6:$AF$69,MATCH($V30,Picks_W11!$AH$6:$AH$69,0)),"")=Results!$B$31)*(IFERROR(INDEX(Picks_W11!$AG$6:$AG$69,MATCH($V30,Picks_W11!$AH$6:$AH$69,0)),"")=Results!$C$31)+(IFERROR(INDEX(Picks_W12!$AF$6:$AF$69,MATCH($V30,Picks_W12!$AH$6:$AH$69,0)),"")=Results!$B$32)*(IFERROR(INDEX(Picks_W12!$AG$6:$AG$69,MATCH($V30,Picks_W12!$AH$6:$AH$69,0)),"")=Results!$C$32)+(IFERROR(INDEX(Picks_W13!$AF$6:$AF$69,MATCH($V30,Picks_W13!$AH$6:$AH$69,0)),"")=Results!$B$33)*(IFERROR(INDEX(Picks_W13!$AG$6:$AG$69,MATCH($V30,Picks_W13!$AH$6:$AH$69,0)),"")=Results!$C$33)</f>
        <v>0</v>
      </c>
      <c r="Q30" s="4">
        <f t="shared" si="1"/>
        <v>13</v>
      </c>
      <c r="R30" s="4">
        <f t="shared" si="2"/>
        <v>0</v>
      </c>
      <c r="S30" s="4">
        <f t="shared" si="3"/>
        <v>22.000247000000002</v>
      </c>
      <c r="T30" s="4">
        <f>IFERROR(INDEX(Picks_W1!$AV$6:$AV$69,MATCH($V30,Picks_W1!$AH$6:$AH$69,0)),0)+IFERROR(INDEX(Picks_W2!$AV$6:$AV$69,MATCH($V30,Picks_W2!$AH$6:$AH$69,0)),0)+IFERROR(INDEX(Picks_W3!$AV$6:$AV$69,MATCH($V30,Picks_W3!$AH$6:$AH$69,0)),0)+IFERROR(INDEX(Picks_W4!$AV$6:$AV$69,MATCH($V30,Picks_W4!$AH$6:$AH$69,0)),0)+IFERROR(INDEX(Picks_W5!$AV$6:$AV$69,MATCH($V30,Picks_W5!$AH$6:$AH$69,0)),0)+IFERROR(INDEX(Picks_W6!$AV$6:$AV$69,MATCH($V30,Picks_W6!$AH$6:$AH$69,0)),0)+IFERROR(INDEX(Picks_W7!$AV$6:$AV$69,MATCH($V30,Picks_W7!$AH$6:$AH$69,0)),0)+IFERROR(INDEX(Picks_W8!$AV$6:$AV$69,MATCH($V30,Picks_W8!$AH$6:$AH$69,0)),0)+IFERROR(INDEX(Picks_W9!$AV$6:$AV$69,MATCH($V30,Picks_W9!$AH$6:$AH$69,0)),0)+IFERROR(INDEX(Picks_W10!$AV$6:$AV$69,MATCH($V30,Picks_W10!$AH$6:$AH$69,0)),0)+IFERROR(INDEX(Picks_W11!$AV$6:$AV$69,MATCH($V30,Picks_W11!$AH$6:$AH$69,0)),0)+IFERROR(INDEX(Picks_W12!$AV$6:$AV$69,MATCH($V30,Picks_W12!$AH$6:$AH$69,0)),0)+IFERROR(INDEX(Picks_W13!$AV$6:$AV$69,MATCH($V30,Picks_W13!$AH$6:$AH$69,0)),0)</f>
        <v>2</v>
      </c>
      <c r="U30" s="17">
        <f>IF(Results!$B$35=0,0,T30/Results!$B$35)</f>
        <v>0.25</v>
      </c>
      <c r="V30" s="4">
        <v>12</v>
      </c>
    </row>
    <row r="31" spans="1:22" ht="15" customHeight="1" x14ac:dyDescent="0.25">
      <c r="A31" s="4" t="str">
        <f>IFERROR(INDEX(Players!$D$6:$D$69,MATCH(V31,Players!$A$6:$A$69,0)),"")</f>
        <v>Joel G.</v>
      </c>
      <c r="B31" s="4">
        <f>IFERROR(INDEX(Picks_W1!$AF$6:$AF$69,MATCH($V31,Picks_W1!$AH$6:$AH$69,0)),0)</f>
        <v>11</v>
      </c>
      <c r="C31" s="4">
        <f>IFERROR(INDEX(Picks_W2!$AF$6:$AF$69,MATCH($V31,Picks_W2!$AH$6:$AH$69,0)),0)</f>
        <v>6</v>
      </c>
      <c r="D31" s="4">
        <f>IFERROR(INDEX(Picks_W3!$AF$6:$AF$69,MATCH($V31,Picks_W3!$AH$6:$AH$69,0)),0)</f>
        <v>0</v>
      </c>
      <c r="E31" s="4">
        <f>IFERROR(INDEX(Picks_W4!$AF$6:$AF$69,MATCH($V31,Picks_W4!$AH$6:$AH$69,0)),0)</f>
        <v>0</v>
      </c>
      <c r="F31" s="4">
        <f>IFERROR(INDEX(Picks_W5!$AF$6:$AF$69,MATCH($V31,Picks_W5!$AH$6:$AH$69,0)),0)</f>
        <v>0</v>
      </c>
      <c r="G31" s="4">
        <f>IFERROR(INDEX(Picks_W6!$AF$6:$AF$69,MATCH($V31,Picks_W6!$AH$6:$AH$69,0)),0)</f>
        <v>0</v>
      </c>
      <c r="H31" s="4">
        <f>IFERROR(INDEX(Picks_W7!$AF$6:$AF$69,MATCH($V31,Picks_W7!$AH$6:$AH$69,0)),0)</f>
        <v>0</v>
      </c>
      <c r="I31" s="4">
        <f>IFERROR(INDEX(Picks_W8!$AF$6:$AF$69,MATCH($V31,Picks_W8!$AH$6:$AH$69,0)),0)</f>
        <v>0</v>
      </c>
      <c r="J31" s="4">
        <f>IFERROR(INDEX(Picks_W9!$AF$6:$AF$69,MATCH($V31,Picks_W9!$AH$6:$AH$69,0)),0)</f>
        <v>0</v>
      </c>
      <c r="K31" s="4">
        <f>IFERROR(INDEX(Picks_W10!$AF$6:$AF$69,MATCH($V31,Picks_W10!$AH$6:$AH$69,0)),0)</f>
        <v>0</v>
      </c>
      <c r="L31" s="4">
        <f>IFERROR(INDEX(Picks_W11!$AF$6:$AF$69,MATCH($V31,Picks_W11!$AH$6:$AH$69,0)),0)</f>
        <v>0</v>
      </c>
      <c r="M31" s="4">
        <f>IFERROR(INDEX(Picks_W12!$AF$6:$AF$69,MATCH($V31,Picks_W12!$AH$6:$AH$69,0)),0)</f>
        <v>0</v>
      </c>
      <c r="N31" s="4">
        <f>IFERROR(INDEX(Picks_W13!$AF$6:$AF$69,MATCH($V31,Picks_W13!$AH$6:$AH$69,0)),0)</f>
        <v>0</v>
      </c>
      <c r="O31" s="4">
        <f t="shared" si="0"/>
        <v>17</v>
      </c>
      <c r="P31" s="4">
        <f>(IFERROR(INDEX(Picks_W1!$AF$6:$AF$69,MATCH($V31,Picks_W1!$AH$6:$AH$69,0)),"")=Results!$B$21)*(IFERROR(INDEX(Picks_W1!$AG$6:$AG$69,MATCH($V31,Picks_W1!$AH$6:$AH$69,0)),"")=Results!$C$21)+(IFERROR(INDEX(Picks_W2!$AF$6:$AF$69,MATCH($V31,Picks_W2!$AH$6:$AH$69,0)),"")=Results!$B$22)*(IFERROR(INDEX(Picks_W2!$AG$6:$AG$69,MATCH($V31,Picks_W2!$AH$6:$AH$69,0)),"")=Results!$C$22)+(IFERROR(INDEX(Picks_W3!$AF$6:$AF$69,MATCH($V31,Picks_W3!$AH$6:$AH$69,0)),"")=Results!$B$23)*(IFERROR(INDEX(Picks_W3!$AG$6:$AG$69,MATCH($V31,Picks_W3!$AH$6:$AH$69,0)),"")=Results!$C$23)+(IFERROR(INDEX(Picks_W4!$AF$6:$AF$69,MATCH($V31,Picks_W4!$AH$6:$AH$69,0)),"")=Results!$B$24)*(IFERROR(INDEX(Picks_W4!$AG$6:$AG$69,MATCH($V31,Picks_W4!$AH$6:$AH$69,0)),"")=Results!$C$24)+(IFERROR(INDEX(Picks_W5!$AF$6:$AF$69,MATCH($V31,Picks_W5!$AH$6:$AH$69,0)),"")=Results!$B$25)*(IFERROR(INDEX(Picks_W5!$AG$6:$AG$69,MATCH($V31,Picks_W5!$AH$6:$AH$69,0)),"")=Results!$C$25)+(IFERROR(INDEX(Picks_W6!$AF$6:$AF$69,MATCH($V31,Picks_W6!$AH$6:$AH$69,0)),"")=Results!$B$26)*(IFERROR(INDEX(Picks_W6!$AG$6:$AG$69,MATCH($V31,Picks_W6!$AH$6:$AH$69,0)),"")=Results!$C$26)+(IFERROR(INDEX(Picks_W7!$AF$6:$AF$69,MATCH($V31,Picks_W7!$AH$6:$AH$69,0)),"")=Results!$B$27)*(IFERROR(INDEX(Picks_W7!$AG$6:$AG$69,MATCH($V31,Picks_W7!$AH$6:$AH$69,0)),"")=Results!$C$27)+(IFERROR(INDEX(Picks_W8!$AF$6:$AF$69,MATCH($V31,Picks_W8!$AH$6:$AH$69,0)),"")=Results!$B$28)*(IFERROR(INDEX(Picks_W8!$AG$6:$AG$69,MATCH($V31,Picks_W8!$AH$6:$AH$69,0)),"")=Results!$C$28)+(IFERROR(INDEX(Picks_W9!$AF$6:$AF$69,MATCH($V31,Picks_W9!$AH$6:$AH$69,0)),"")=Results!$B$29)*(IFERROR(INDEX(Picks_W9!$AG$6:$AG$69,MATCH($V31,Picks_W9!$AH$6:$AH$69,0)),"")=Results!$C$29)+(IFERROR(INDEX(Picks_W10!$AF$6:$AF$69,MATCH($V31,Picks_W10!$AH$6:$AH$69,0)),"")=Results!$B$30)*(IFERROR(INDEX(Picks_W10!$AG$6:$AG$69,MATCH($V31,Picks_W10!$AH$6:$AH$69,0)),"")=Results!$C$30)+(IFERROR(INDEX(Picks_W11!$AF$6:$AF$69,MATCH($V31,Picks_W11!$AH$6:$AH$69,0)),"")=Results!$B$31)*(IFERROR(INDEX(Picks_W11!$AG$6:$AG$69,MATCH($V31,Picks_W11!$AH$6:$AH$69,0)),"")=Results!$C$31)+(IFERROR(INDEX(Picks_W12!$AF$6:$AF$69,MATCH($V31,Picks_W12!$AH$6:$AH$69,0)),"")=Results!$B$32)*(IFERROR(INDEX(Picks_W12!$AG$6:$AG$69,MATCH($V31,Picks_W12!$AH$6:$AH$69,0)),"")=Results!$C$32)+(IFERROR(INDEX(Picks_W13!$AF$6:$AF$69,MATCH($V31,Picks_W13!$AH$6:$AH$69,0)),"")=Results!$B$33)*(IFERROR(INDEX(Picks_W13!$AG$6:$AG$69,MATCH($V31,Picks_W13!$AH$6:$AH$69,0)),"")=Results!$C$33)</f>
        <v>0</v>
      </c>
      <c r="Q31" s="4">
        <f t="shared" si="1"/>
        <v>11</v>
      </c>
      <c r="R31" s="4">
        <f t="shared" si="2"/>
        <v>0</v>
      </c>
      <c r="S31" s="4">
        <f t="shared" si="3"/>
        <v>16.999996899999999</v>
      </c>
      <c r="T31" s="4">
        <f>IFERROR(INDEX(Picks_W1!$AV$6:$AV$69,MATCH($V31,Picks_W1!$AH$6:$AH$69,0)),0)+IFERROR(INDEX(Picks_W2!$AV$6:$AV$69,MATCH($V31,Picks_W2!$AH$6:$AH$69,0)),0)+IFERROR(INDEX(Picks_W3!$AV$6:$AV$69,MATCH($V31,Picks_W3!$AH$6:$AH$69,0)),0)+IFERROR(INDEX(Picks_W4!$AV$6:$AV$69,MATCH($V31,Picks_W4!$AH$6:$AH$69,0)),0)+IFERROR(INDEX(Picks_W5!$AV$6:$AV$69,MATCH($V31,Picks_W5!$AH$6:$AH$69,0)),0)+IFERROR(INDEX(Picks_W6!$AV$6:$AV$69,MATCH($V31,Picks_W6!$AH$6:$AH$69,0)),0)+IFERROR(INDEX(Picks_W7!$AV$6:$AV$69,MATCH($V31,Picks_W7!$AH$6:$AH$69,0)),0)+IFERROR(INDEX(Picks_W8!$AV$6:$AV$69,MATCH($V31,Picks_W8!$AH$6:$AH$69,0)),0)+IFERROR(INDEX(Picks_W9!$AV$6:$AV$69,MATCH($V31,Picks_W9!$AH$6:$AH$69,0)),0)+IFERROR(INDEX(Picks_W10!$AV$6:$AV$69,MATCH($V31,Picks_W10!$AH$6:$AH$69,0)),0)+IFERROR(INDEX(Picks_W11!$AV$6:$AV$69,MATCH($V31,Picks_W11!$AH$6:$AH$69,0)),0)+IFERROR(INDEX(Picks_W12!$AV$6:$AV$69,MATCH($V31,Picks_W12!$AH$6:$AH$69,0)),0)+IFERROR(INDEX(Picks_W13!$AV$6:$AV$69,MATCH($V31,Picks_W13!$AH$6:$AH$69,0)),0)</f>
        <v>0</v>
      </c>
      <c r="U31" s="17">
        <f>IF(Results!$B$35=0,0,T31/Results!$B$35)</f>
        <v>0</v>
      </c>
      <c r="V31" s="4">
        <v>13</v>
      </c>
    </row>
    <row r="32" spans="1:22" ht="15" customHeight="1" x14ac:dyDescent="0.25">
      <c r="A32" s="4" t="str">
        <f>IFERROR(INDEX(Players!$D$6:$D$69,MATCH(V32,Players!$A$6:$A$69,0)),"")</f>
        <v>John K.</v>
      </c>
      <c r="B32" s="4">
        <f>IFERROR(INDEX(Picks_W1!$AF$6:$AF$69,MATCH($V32,Picks_W1!$AH$6:$AH$69,0)),0)</f>
        <v>12</v>
      </c>
      <c r="C32" s="4">
        <f>IFERROR(INDEX(Picks_W2!$AF$6:$AF$69,MATCH($V32,Picks_W2!$AH$6:$AH$69,0)),0)</f>
        <v>7</v>
      </c>
      <c r="D32" s="4">
        <f>IFERROR(INDEX(Picks_W3!$AF$6:$AF$69,MATCH($V32,Picks_W3!$AH$6:$AH$69,0)),0)</f>
        <v>0</v>
      </c>
      <c r="E32" s="4">
        <f>IFERROR(INDEX(Picks_W4!$AF$6:$AF$69,MATCH($V32,Picks_W4!$AH$6:$AH$69,0)),0)</f>
        <v>0</v>
      </c>
      <c r="F32" s="4">
        <f>IFERROR(INDEX(Picks_W5!$AF$6:$AF$69,MATCH($V32,Picks_W5!$AH$6:$AH$69,0)),0)</f>
        <v>0</v>
      </c>
      <c r="G32" s="4">
        <f>IFERROR(INDEX(Picks_W6!$AF$6:$AF$69,MATCH($V32,Picks_W6!$AH$6:$AH$69,0)),0)</f>
        <v>0</v>
      </c>
      <c r="H32" s="4">
        <f>IFERROR(INDEX(Picks_W7!$AF$6:$AF$69,MATCH($V32,Picks_W7!$AH$6:$AH$69,0)),0)</f>
        <v>0</v>
      </c>
      <c r="I32" s="4">
        <f>IFERROR(INDEX(Picks_W8!$AF$6:$AF$69,MATCH($V32,Picks_W8!$AH$6:$AH$69,0)),0)</f>
        <v>0</v>
      </c>
      <c r="J32" s="4">
        <f>IFERROR(INDEX(Picks_W9!$AF$6:$AF$69,MATCH($V32,Picks_W9!$AH$6:$AH$69,0)),0)</f>
        <v>0</v>
      </c>
      <c r="K32" s="4">
        <f>IFERROR(INDEX(Picks_W10!$AF$6:$AF$69,MATCH($V32,Picks_W10!$AH$6:$AH$69,0)),0)</f>
        <v>0</v>
      </c>
      <c r="L32" s="4">
        <f>IFERROR(INDEX(Picks_W11!$AF$6:$AF$69,MATCH($V32,Picks_W11!$AH$6:$AH$69,0)),0)</f>
        <v>0</v>
      </c>
      <c r="M32" s="4">
        <f>IFERROR(INDEX(Picks_W12!$AF$6:$AF$69,MATCH($V32,Picks_W12!$AH$6:$AH$69,0)),0)</f>
        <v>0</v>
      </c>
      <c r="N32" s="4">
        <f>IFERROR(INDEX(Picks_W13!$AF$6:$AF$69,MATCH($V32,Picks_W13!$AH$6:$AH$69,0)),0)</f>
        <v>0</v>
      </c>
      <c r="O32" s="4">
        <f t="shared" si="0"/>
        <v>19</v>
      </c>
      <c r="P32" s="4">
        <f>(IFERROR(INDEX(Picks_W1!$AF$6:$AF$69,MATCH($V32,Picks_W1!$AH$6:$AH$69,0)),"")=Results!$B$21)*(IFERROR(INDEX(Picks_W1!$AG$6:$AG$69,MATCH($V32,Picks_W1!$AH$6:$AH$69,0)),"")=Results!$C$21)+(IFERROR(INDEX(Picks_W2!$AF$6:$AF$69,MATCH($V32,Picks_W2!$AH$6:$AH$69,0)),"")=Results!$B$22)*(IFERROR(INDEX(Picks_W2!$AG$6:$AG$69,MATCH($V32,Picks_W2!$AH$6:$AH$69,0)),"")=Results!$C$22)+(IFERROR(INDEX(Picks_W3!$AF$6:$AF$69,MATCH($V32,Picks_W3!$AH$6:$AH$69,0)),"")=Results!$B$23)*(IFERROR(INDEX(Picks_W3!$AG$6:$AG$69,MATCH($V32,Picks_W3!$AH$6:$AH$69,0)),"")=Results!$C$23)+(IFERROR(INDEX(Picks_W4!$AF$6:$AF$69,MATCH($V32,Picks_W4!$AH$6:$AH$69,0)),"")=Results!$B$24)*(IFERROR(INDEX(Picks_W4!$AG$6:$AG$69,MATCH($V32,Picks_W4!$AH$6:$AH$69,0)),"")=Results!$C$24)+(IFERROR(INDEX(Picks_W5!$AF$6:$AF$69,MATCH($V32,Picks_W5!$AH$6:$AH$69,0)),"")=Results!$B$25)*(IFERROR(INDEX(Picks_W5!$AG$6:$AG$69,MATCH($V32,Picks_W5!$AH$6:$AH$69,0)),"")=Results!$C$25)+(IFERROR(INDEX(Picks_W6!$AF$6:$AF$69,MATCH($V32,Picks_W6!$AH$6:$AH$69,0)),"")=Results!$B$26)*(IFERROR(INDEX(Picks_W6!$AG$6:$AG$69,MATCH($V32,Picks_W6!$AH$6:$AH$69,0)),"")=Results!$C$26)+(IFERROR(INDEX(Picks_W7!$AF$6:$AF$69,MATCH($V32,Picks_W7!$AH$6:$AH$69,0)),"")=Results!$B$27)*(IFERROR(INDEX(Picks_W7!$AG$6:$AG$69,MATCH($V32,Picks_W7!$AH$6:$AH$69,0)),"")=Results!$C$27)+(IFERROR(INDEX(Picks_W8!$AF$6:$AF$69,MATCH($V32,Picks_W8!$AH$6:$AH$69,0)),"")=Results!$B$28)*(IFERROR(INDEX(Picks_W8!$AG$6:$AG$69,MATCH($V32,Picks_W8!$AH$6:$AH$69,0)),"")=Results!$C$28)+(IFERROR(INDEX(Picks_W9!$AF$6:$AF$69,MATCH($V32,Picks_W9!$AH$6:$AH$69,0)),"")=Results!$B$29)*(IFERROR(INDEX(Picks_W9!$AG$6:$AG$69,MATCH($V32,Picks_W9!$AH$6:$AH$69,0)),"")=Results!$C$29)+(IFERROR(INDEX(Picks_W10!$AF$6:$AF$69,MATCH($V32,Picks_W10!$AH$6:$AH$69,0)),"")=Results!$B$30)*(IFERROR(INDEX(Picks_W10!$AG$6:$AG$69,MATCH($V32,Picks_W10!$AH$6:$AH$69,0)),"")=Results!$C$30)+(IFERROR(INDEX(Picks_W11!$AF$6:$AF$69,MATCH($V32,Picks_W11!$AH$6:$AH$69,0)),"")=Results!$B$31)*(IFERROR(INDEX(Picks_W11!$AG$6:$AG$69,MATCH($V32,Picks_W11!$AH$6:$AH$69,0)),"")=Results!$C$31)+(IFERROR(INDEX(Picks_W12!$AF$6:$AF$69,MATCH($V32,Picks_W12!$AH$6:$AH$69,0)),"")=Results!$B$32)*(IFERROR(INDEX(Picks_W12!$AG$6:$AG$69,MATCH($V32,Picks_W12!$AH$6:$AH$69,0)),"")=Results!$C$32)+(IFERROR(INDEX(Picks_W13!$AF$6:$AF$69,MATCH($V32,Picks_W13!$AH$6:$AH$69,0)),"")=Results!$B$33)*(IFERROR(INDEX(Picks_W13!$AG$6:$AG$69,MATCH($V32,Picks_W13!$AH$6:$AH$69,0)),"")=Results!$C$33)</f>
        <v>0</v>
      </c>
      <c r="Q32" s="4">
        <f t="shared" si="1"/>
        <v>12</v>
      </c>
      <c r="R32" s="4">
        <f t="shared" si="2"/>
        <v>0</v>
      </c>
      <c r="S32" s="4">
        <f t="shared" si="3"/>
        <v>19.000121800000002</v>
      </c>
      <c r="T32" s="4">
        <f>IFERROR(INDEX(Picks_W1!$AV$6:$AV$69,MATCH($V32,Picks_W1!$AH$6:$AH$69,0)),0)+IFERROR(INDEX(Picks_W2!$AV$6:$AV$69,MATCH($V32,Picks_W2!$AH$6:$AH$69,0)),0)+IFERROR(INDEX(Picks_W3!$AV$6:$AV$69,MATCH($V32,Picks_W3!$AH$6:$AH$69,0)),0)+IFERROR(INDEX(Picks_W4!$AV$6:$AV$69,MATCH($V32,Picks_W4!$AH$6:$AH$69,0)),0)+IFERROR(INDEX(Picks_W5!$AV$6:$AV$69,MATCH($V32,Picks_W5!$AH$6:$AH$69,0)),0)+IFERROR(INDEX(Picks_W6!$AV$6:$AV$69,MATCH($V32,Picks_W6!$AH$6:$AH$69,0)),0)+IFERROR(INDEX(Picks_W7!$AV$6:$AV$69,MATCH($V32,Picks_W7!$AH$6:$AH$69,0)),0)+IFERROR(INDEX(Picks_W8!$AV$6:$AV$69,MATCH($V32,Picks_W8!$AH$6:$AH$69,0)),0)+IFERROR(INDEX(Picks_W9!$AV$6:$AV$69,MATCH($V32,Picks_W9!$AH$6:$AH$69,0)),0)+IFERROR(INDEX(Picks_W10!$AV$6:$AV$69,MATCH($V32,Picks_W10!$AH$6:$AH$69,0)),0)+IFERROR(INDEX(Picks_W11!$AV$6:$AV$69,MATCH($V32,Picks_W11!$AH$6:$AH$69,0)),0)+IFERROR(INDEX(Picks_W12!$AV$6:$AV$69,MATCH($V32,Picks_W12!$AH$6:$AH$69,0)),0)+IFERROR(INDEX(Picks_W13!$AV$6:$AV$69,MATCH($V32,Picks_W13!$AH$6:$AH$69,0)),0)</f>
        <v>1</v>
      </c>
      <c r="U32" s="17">
        <f>IF(Results!$B$35=0,0,T32/Results!$B$35)</f>
        <v>0.125</v>
      </c>
      <c r="V32" s="4">
        <v>14</v>
      </c>
    </row>
    <row r="33" spans="1:22" ht="15" customHeight="1" x14ac:dyDescent="0.25">
      <c r="A33" s="4" t="str">
        <f>IFERROR(INDEX(Players!$D$6:$D$69,MATCH(V33,Players!$A$6:$A$69,0)),"")</f>
        <v>John T.</v>
      </c>
      <c r="B33" s="4">
        <f>IFERROR(INDEX(Picks_W1!$AF$6:$AF$69,MATCH($V33,Picks_W1!$AH$6:$AH$69,0)),0)</f>
        <v>14</v>
      </c>
      <c r="C33" s="4">
        <f>IFERROR(INDEX(Picks_W2!$AF$6:$AF$69,MATCH($V33,Picks_W2!$AH$6:$AH$69,0)),0)</f>
        <v>8</v>
      </c>
      <c r="D33" s="4">
        <f>IFERROR(INDEX(Picks_W3!$AF$6:$AF$69,MATCH($V33,Picks_W3!$AH$6:$AH$69,0)),0)</f>
        <v>0</v>
      </c>
      <c r="E33" s="4">
        <f>IFERROR(INDEX(Picks_W4!$AF$6:$AF$69,MATCH($V33,Picks_W4!$AH$6:$AH$69,0)),0)</f>
        <v>0</v>
      </c>
      <c r="F33" s="4">
        <f>IFERROR(INDEX(Picks_W5!$AF$6:$AF$69,MATCH($V33,Picks_W5!$AH$6:$AH$69,0)),0)</f>
        <v>0</v>
      </c>
      <c r="G33" s="4">
        <f>IFERROR(INDEX(Picks_W6!$AF$6:$AF$69,MATCH($V33,Picks_W6!$AH$6:$AH$69,0)),0)</f>
        <v>0</v>
      </c>
      <c r="H33" s="4">
        <f>IFERROR(INDEX(Picks_W7!$AF$6:$AF$69,MATCH($V33,Picks_W7!$AH$6:$AH$69,0)),0)</f>
        <v>0</v>
      </c>
      <c r="I33" s="4">
        <f>IFERROR(INDEX(Picks_W8!$AF$6:$AF$69,MATCH($V33,Picks_W8!$AH$6:$AH$69,0)),0)</f>
        <v>0</v>
      </c>
      <c r="J33" s="4">
        <f>IFERROR(INDEX(Picks_W9!$AF$6:$AF$69,MATCH($V33,Picks_W9!$AH$6:$AH$69,0)),0)</f>
        <v>0</v>
      </c>
      <c r="K33" s="4">
        <f>IFERROR(INDEX(Picks_W10!$AF$6:$AF$69,MATCH($V33,Picks_W10!$AH$6:$AH$69,0)),0)</f>
        <v>0</v>
      </c>
      <c r="L33" s="4">
        <f>IFERROR(INDEX(Picks_W11!$AF$6:$AF$69,MATCH($V33,Picks_W11!$AH$6:$AH$69,0)),0)</f>
        <v>0</v>
      </c>
      <c r="M33" s="4">
        <f>IFERROR(INDEX(Picks_W12!$AF$6:$AF$69,MATCH($V33,Picks_W12!$AH$6:$AH$69,0)),0)</f>
        <v>0</v>
      </c>
      <c r="N33" s="4">
        <f>IFERROR(INDEX(Picks_W13!$AF$6:$AF$69,MATCH($V33,Picks_W13!$AH$6:$AH$69,0)),0)</f>
        <v>0</v>
      </c>
      <c r="O33" s="4">
        <f t="shared" si="0"/>
        <v>22</v>
      </c>
      <c r="P33" s="4">
        <f>(IFERROR(INDEX(Picks_W1!$AF$6:$AF$69,MATCH($V33,Picks_W1!$AH$6:$AH$69,0)),"")=Results!$B$21)*(IFERROR(INDEX(Picks_W1!$AG$6:$AG$69,MATCH($V33,Picks_W1!$AH$6:$AH$69,0)),"")=Results!$C$21)+(IFERROR(INDEX(Picks_W2!$AF$6:$AF$69,MATCH($V33,Picks_W2!$AH$6:$AH$69,0)),"")=Results!$B$22)*(IFERROR(INDEX(Picks_W2!$AG$6:$AG$69,MATCH($V33,Picks_W2!$AH$6:$AH$69,0)),"")=Results!$C$22)+(IFERROR(INDEX(Picks_W3!$AF$6:$AF$69,MATCH($V33,Picks_W3!$AH$6:$AH$69,0)),"")=Results!$B$23)*(IFERROR(INDEX(Picks_W3!$AG$6:$AG$69,MATCH($V33,Picks_W3!$AH$6:$AH$69,0)),"")=Results!$C$23)+(IFERROR(INDEX(Picks_W4!$AF$6:$AF$69,MATCH($V33,Picks_W4!$AH$6:$AH$69,0)),"")=Results!$B$24)*(IFERROR(INDEX(Picks_W4!$AG$6:$AG$69,MATCH($V33,Picks_W4!$AH$6:$AH$69,0)),"")=Results!$C$24)+(IFERROR(INDEX(Picks_W5!$AF$6:$AF$69,MATCH($V33,Picks_W5!$AH$6:$AH$69,0)),"")=Results!$B$25)*(IFERROR(INDEX(Picks_W5!$AG$6:$AG$69,MATCH($V33,Picks_W5!$AH$6:$AH$69,0)),"")=Results!$C$25)+(IFERROR(INDEX(Picks_W6!$AF$6:$AF$69,MATCH($V33,Picks_W6!$AH$6:$AH$69,0)),"")=Results!$B$26)*(IFERROR(INDEX(Picks_W6!$AG$6:$AG$69,MATCH($V33,Picks_W6!$AH$6:$AH$69,0)),"")=Results!$C$26)+(IFERROR(INDEX(Picks_W7!$AF$6:$AF$69,MATCH($V33,Picks_W7!$AH$6:$AH$69,0)),"")=Results!$B$27)*(IFERROR(INDEX(Picks_W7!$AG$6:$AG$69,MATCH($V33,Picks_W7!$AH$6:$AH$69,0)),"")=Results!$C$27)+(IFERROR(INDEX(Picks_W8!$AF$6:$AF$69,MATCH($V33,Picks_W8!$AH$6:$AH$69,0)),"")=Results!$B$28)*(IFERROR(INDEX(Picks_W8!$AG$6:$AG$69,MATCH($V33,Picks_W8!$AH$6:$AH$69,0)),"")=Results!$C$28)+(IFERROR(INDEX(Picks_W9!$AF$6:$AF$69,MATCH($V33,Picks_W9!$AH$6:$AH$69,0)),"")=Results!$B$29)*(IFERROR(INDEX(Picks_W9!$AG$6:$AG$69,MATCH($V33,Picks_W9!$AH$6:$AH$69,0)),"")=Results!$C$29)+(IFERROR(INDEX(Picks_W10!$AF$6:$AF$69,MATCH($V33,Picks_W10!$AH$6:$AH$69,0)),"")=Results!$B$30)*(IFERROR(INDEX(Picks_W10!$AG$6:$AG$69,MATCH($V33,Picks_W10!$AH$6:$AH$69,0)),"")=Results!$C$30)+(IFERROR(INDEX(Picks_W11!$AF$6:$AF$69,MATCH($V33,Picks_W11!$AH$6:$AH$69,0)),"")=Results!$B$31)*(IFERROR(INDEX(Picks_W11!$AG$6:$AG$69,MATCH($V33,Picks_W11!$AH$6:$AH$69,0)),"")=Results!$C$31)+(IFERROR(INDEX(Picks_W12!$AF$6:$AF$69,MATCH($V33,Picks_W12!$AH$6:$AH$69,0)),"")=Results!$B$32)*(IFERROR(INDEX(Picks_W12!$AG$6:$AG$69,MATCH($V33,Picks_W12!$AH$6:$AH$69,0)),"")=Results!$C$32)+(IFERROR(INDEX(Picks_W13!$AF$6:$AF$69,MATCH($V33,Picks_W13!$AH$6:$AH$69,0)),"")=Results!$B$33)*(IFERROR(INDEX(Picks_W13!$AG$6:$AG$69,MATCH($V33,Picks_W13!$AH$6:$AH$69,0)),"")=Results!$C$33)</f>
        <v>0</v>
      </c>
      <c r="Q33" s="4">
        <f t="shared" si="1"/>
        <v>14</v>
      </c>
      <c r="R33" s="4">
        <f t="shared" si="2"/>
        <v>0</v>
      </c>
      <c r="S33" s="4">
        <f t="shared" si="3"/>
        <v>22.000246700000002</v>
      </c>
      <c r="T33" s="4">
        <f>IFERROR(INDEX(Picks_W1!$AV$6:$AV$69,MATCH($V33,Picks_W1!$AH$6:$AH$69,0)),0)+IFERROR(INDEX(Picks_W2!$AV$6:$AV$69,MATCH($V33,Picks_W2!$AH$6:$AH$69,0)),0)+IFERROR(INDEX(Picks_W3!$AV$6:$AV$69,MATCH($V33,Picks_W3!$AH$6:$AH$69,0)),0)+IFERROR(INDEX(Picks_W4!$AV$6:$AV$69,MATCH($V33,Picks_W4!$AH$6:$AH$69,0)),0)+IFERROR(INDEX(Picks_W5!$AV$6:$AV$69,MATCH($V33,Picks_W5!$AH$6:$AH$69,0)),0)+IFERROR(INDEX(Picks_W6!$AV$6:$AV$69,MATCH($V33,Picks_W6!$AH$6:$AH$69,0)),0)+IFERROR(INDEX(Picks_W7!$AV$6:$AV$69,MATCH($V33,Picks_W7!$AH$6:$AH$69,0)),0)+IFERROR(INDEX(Picks_W8!$AV$6:$AV$69,MATCH($V33,Picks_W8!$AH$6:$AH$69,0)),0)+IFERROR(INDEX(Picks_W9!$AV$6:$AV$69,MATCH($V33,Picks_W9!$AH$6:$AH$69,0)),0)+IFERROR(INDEX(Picks_W10!$AV$6:$AV$69,MATCH($V33,Picks_W10!$AH$6:$AH$69,0)),0)+IFERROR(INDEX(Picks_W11!$AV$6:$AV$69,MATCH($V33,Picks_W11!$AH$6:$AH$69,0)),0)+IFERROR(INDEX(Picks_W12!$AV$6:$AV$69,MATCH($V33,Picks_W12!$AH$6:$AH$69,0)),0)+IFERROR(INDEX(Picks_W13!$AV$6:$AV$69,MATCH($V33,Picks_W13!$AH$6:$AH$69,0)),0)</f>
        <v>2</v>
      </c>
      <c r="U33" s="17">
        <f>IF(Results!$B$35=0,0,T33/Results!$B$35)</f>
        <v>0.25</v>
      </c>
      <c r="V33" s="4">
        <v>15</v>
      </c>
    </row>
    <row r="34" spans="1:22" ht="15" customHeight="1" x14ac:dyDescent="0.25">
      <c r="A34" s="4" t="str">
        <f>IFERROR(INDEX(Players!$D$6:$D$69,MATCH(V34,Players!$A$6:$A$69,0)),"")</f>
        <v>Josh H.</v>
      </c>
      <c r="B34" s="4">
        <f>IFERROR(INDEX(Picks_W1!$AF$6:$AF$69,MATCH($V34,Picks_W1!$AH$6:$AH$69,0)),0)</f>
        <v>15</v>
      </c>
      <c r="C34" s="4">
        <f>IFERROR(INDEX(Picks_W2!$AF$6:$AF$69,MATCH($V34,Picks_W2!$AH$6:$AH$69,0)),0)</f>
        <v>7</v>
      </c>
      <c r="D34" s="4">
        <f>IFERROR(INDEX(Picks_W3!$AF$6:$AF$69,MATCH($V34,Picks_W3!$AH$6:$AH$69,0)),0)</f>
        <v>0</v>
      </c>
      <c r="E34" s="4">
        <f>IFERROR(INDEX(Picks_W4!$AF$6:$AF$69,MATCH($V34,Picks_W4!$AH$6:$AH$69,0)),0)</f>
        <v>0</v>
      </c>
      <c r="F34" s="4">
        <f>IFERROR(INDEX(Picks_W5!$AF$6:$AF$69,MATCH($V34,Picks_W5!$AH$6:$AH$69,0)),0)</f>
        <v>0</v>
      </c>
      <c r="G34" s="4">
        <f>IFERROR(INDEX(Picks_W6!$AF$6:$AF$69,MATCH($V34,Picks_W6!$AH$6:$AH$69,0)),0)</f>
        <v>0</v>
      </c>
      <c r="H34" s="4">
        <f>IFERROR(INDEX(Picks_W7!$AF$6:$AF$69,MATCH($V34,Picks_W7!$AH$6:$AH$69,0)),0)</f>
        <v>0</v>
      </c>
      <c r="I34" s="4">
        <f>IFERROR(INDEX(Picks_W8!$AF$6:$AF$69,MATCH($V34,Picks_W8!$AH$6:$AH$69,0)),0)</f>
        <v>0</v>
      </c>
      <c r="J34" s="4">
        <f>IFERROR(INDEX(Picks_W9!$AF$6:$AF$69,MATCH($V34,Picks_W9!$AH$6:$AH$69,0)),0)</f>
        <v>0</v>
      </c>
      <c r="K34" s="4">
        <f>IFERROR(INDEX(Picks_W10!$AF$6:$AF$69,MATCH($V34,Picks_W10!$AH$6:$AH$69,0)),0)</f>
        <v>0</v>
      </c>
      <c r="L34" s="4">
        <f>IFERROR(INDEX(Picks_W11!$AF$6:$AF$69,MATCH($V34,Picks_W11!$AH$6:$AH$69,0)),0)</f>
        <v>0</v>
      </c>
      <c r="M34" s="4">
        <f>IFERROR(INDEX(Picks_W12!$AF$6:$AF$69,MATCH($V34,Picks_W12!$AH$6:$AH$69,0)),0)</f>
        <v>0</v>
      </c>
      <c r="N34" s="4">
        <f>IFERROR(INDEX(Picks_W13!$AF$6:$AF$69,MATCH($V34,Picks_W13!$AH$6:$AH$69,0)),0)</f>
        <v>0</v>
      </c>
      <c r="O34" s="4">
        <f t="shared" si="0"/>
        <v>22</v>
      </c>
      <c r="P34" s="4">
        <f>(IFERROR(INDEX(Picks_W1!$AF$6:$AF$69,MATCH($V34,Picks_W1!$AH$6:$AH$69,0)),"")=Results!$B$21)*(IFERROR(INDEX(Picks_W1!$AG$6:$AG$69,MATCH($V34,Picks_W1!$AH$6:$AH$69,0)),"")=Results!$C$21)+(IFERROR(INDEX(Picks_W2!$AF$6:$AF$69,MATCH($V34,Picks_W2!$AH$6:$AH$69,0)),"")=Results!$B$22)*(IFERROR(INDEX(Picks_W2!$AG$6:$AG$69,MATCH($V34,Picks_W2!$AH$6:$AH$69,0)),"")=Results!$C$22)+(IFERROR(INDEX(Picks_W3!$AF$6:$AF$69,MATCH($V34,Picks_W3!$AH$6:$AH$69,0)),"")=Results!$B$23)*(IFERROR(INDEX(Picks_W3!$AG$6:$AG$69,MATCH($V34,Picks_W3!$AH$6:$AH$69,0)),"")=Results!$C$23)+(IFERROR(INDEX(Picks_W4!$AF$6:$AF$69,MATCH($V34,Picks_W4!$AH$6:$AH$69,0)),"")=Results!$B$24)*(IFERROR(INDEX(Picks_W4!$AG$6:$AG$69,MATCH($V34,Picks_W4!$AH$6:$AH$69,0)),"")=Results!$C$24)+(IFERROR(INDEX(Picks_W5!$AF$6:$AF$69,MATCH($V34,Picks_W5!$AH$6:$AH$69,0)),"")=Results!$B$25)*(IFERROR(INDEX(Picks_W5!$AG$6:$AG$69,MATCH($V34,Picks_W5!$AH$6:$AH$69,0)),"")=Results!$C$25)+(IFERROR(INDEX(Picks_W6!$AF$6:$AF$69,MATCH($V34,Picks_W6!$AH$6:$AH$69,0)),"")=Results!$B$26)*(IFERROR(INDEX(Picks_W6!$AG$6:$AG$69,MATCH($V34,Picks_W6!$AH$6:$AH$69,0)),"")=Results!$C$26)+(IFERROR(INDEX(Picks_W7!$AF$6:$AF$69,MATCH($V34,Picks_W7!$AH$6:$AH$69,0)),"")=Results!$B$27)*(IFERROR(INDEX(Picks_W7!$AG$6:$AG$69,MATCH($V34,Picks_W7!$AH$6:$AH$69,0)),"")=Results!$C$27)+(IFERROR(INDEX(Picks_W8!$AF$6:$AF$69,MATCH($V34,Picks_W8!$AH$6:$AH$69,0)),"")=Results!$B$28)*(IFERROR(INDEX(Picks_W8!$AG$6:$AG$69,MATCH($V34,Picks_W8!$AH$6:$AH$69,0)),"")=Results!$C$28)+(IFERROR(INDEX(Picks_W9!$AF$6:$AF$69,MATCH($V34,Picks_W9!$AH$6:$AH$69,0)),"")=Results!$B$29)*(IFERROR(INDEX(Picks_W9!$AG$6:$AG$69,MATCH($V34,Picks_W9!$AH$6:$AH$69,0)),"")=Results!$C$29)+(IFERROR(INDEX(Picks_W10!$AF$6:$AF$69,MATCH($V34,Picks_W10!$AH$6:$AH$69,0)),"")=Results!$B$30)*(IFERROR(INDEX(Picks_W10!$AG$6:$AG$69,MATCH($V34,Picks_W10!$AH$6:$AH$69,0)),"")=Results!$C$30)+(IFERROR(INDEX(Picks_W11!$AF$6:$AF$69,MATCH($V34,Picks_W11!$AH$6:$AH$69,0)),"")=Results!$B$31)*(IFERROR(INDEX(Picks_W11!$AG$6:$AG$69,MATCH($V34,Picks_W11!$AH$6:$AH$69,0)),"")=Results!$C$31)+(IFERROR(INDEX(Picks_W12!$AF$6:$AF$69,MATCH($V34,Picks_W12!$AH$6:$AH$69,0)),"")=Results!$B$32)*(IFERROR(INDEX(Picks_W12!$AG$6:$AG$69,MATCH($V34,Picks_W12!$AH$6:$AH$69,0)),"")=Results!$C$32)+(IFERROR(INDEX(Picks_W13!$AF$6:$AF$69,MATCH($V34,Picks_W13!$AH$6:$AH$69,0)),"")=Results!$B$33)*(IFERROR(INDEX(Picks_W13!$AG$6:$AG$69,MATCH($V34,Picks_W13!$AH$6:$AH$69,0)),"")=Results!$C$33)</f>
        <v>1</v>
      </c>
      <c r="Q34" s="4">
        <f t="shared" si="1"/>
        <v>15</v>
      </c>
      <c r="R34" s="4">
        <f t="shared" si="2"/>
        <v>0</v>
      </c>
      <c r="S34" s="4">
        <f t="shared" si="3"/>
        <v>22.000246600000001</v>
      </c>
      <c r="T34" s="4">
        <f>IFERROR(INDEX(Picks_W1!$AV$6:$AV$69,MATCH($V34,Picks_W1!$AH$6:$AH$69,0)),0)+IFERROR(INDEX(Picks_W2!$AV$6:$AV$69,MATCH($V34,Picks_W2!$AH$6:$AH$69,0)),0)+IFERROR(INDEX(Picks_W3!$AV$6:$AV$69,MATCH($V34,Picks_W3!$AH$6:$AH$69,0)),0)+IFERROR(INDEX(Picks_W4!$AV$6:$AV$69,MATCH($V34,Picks_W4!$AH$6:$AH$69,0)),0)+IFERROR(INDEX(Picks_W5!$AV$6:$AV$69,MATCH($V34,Picks_W5!$AH$6:$AH$69,0)),0)+IFERROR(INDEX(Picks_W6!$AV$6:$AV$69,MATCH($V34,Picks_W6!$AH$6:$AH$69,0)),0)+IFERROR(INDEX(Picks_W7!$AV$6:$AV$69,MATCH($V34,Picks_W7!$AH$6:$AH$69,0)),0)+IFERROR(INDEX(Picks_W8!$AV$6:$AV$69,MATCH($V34,Picks_W8!$AH$6:$AH$69,0)),0)+IFERROR(INDEX(Picks_W9!$AV$6:$AV$69,MATCH($V34,Picks_W9!$AH$6:$AH$69,0)),0)+IFERROR(INDEX(Picks_W10!$AV$6:$AV$69,MATCH($V34,Picks_W10!$AH$6:$AH$69,0)),0)+IFERROR(INDEX(Picks_W11!$AV$6:$AV$69,MATCH($V34,Picks_W11!$AH$6:$AH$69,0)),0)+IFERROR(INDEX(Picks_W12!$AV$6:$AV$69,MATCH($V34,Picks_W12!$AH$6:$AH$69,0)),0)+IFERROR(INDEX(Picks_W13!$AV$6:$AV$69,MATCH($V34,Picks_W13!$AH$6:$AH$69,0)),0)</f>
        <v>2</v>
      </c>
      <c r="U34" s="17">
        <f>IF(Results!$B$35=0,0,T34/Results!$B$35)</f>
        <v>0.25</v>
      </c>
      <c r="V34" s="4">
        <v>16</v>
      </c>
    </row>
    <row r="35" spans="1:22" ht="15" customHeight="1" x14ac:dyDescent="0.25">
      <c r="A35" s="4" t="str">
        <f>IFERROR(INDEX(Players!$D$6:$D$69,MATCH(V35,Players!$A$6:$A$69,0)),"")</f>
        <v>Justin S.</v>
      </c>
      <c r="B35" s="4">
        <f>IFERROR(INDEX(Picks_W1!$AF$6:$AF$69,MATCH($V35,Picks_W1!$AH$6:$AH$69,0)),0)</f>
        <v>11</v>
      </c>
      <c r="C35" s="4">
        <f>IFERROR(INDEX(Picks_W2!$AF$6:$AF$69,MATCH($V35,Picks_W2!$AH$6:$AH$69,0)),0)</f>
        <v>9</v>
      </c>
      <c r="D35" s="4">
        <f>IFERROR(INDEX(Picks_W3!$AF$6:$AF$69,MATCH($V35,Picks_W3!$AH$6:$AH$69,0)),0)</f>
        <v>0</v>
      </c>
      <c r="E35" s="4">
        <f>IFERROR(INDEX(Picks_W4!$AF$6:$AF$69,MATCH($V35,Picks_W4!$AH$6:$AH$69,0)),0)</f>
        <v>0</v>
      </c>
      <c r="F35" s="4">
        <f>IFERROR(INDEX(Picks_W5!$AF$6:$AF$69,MATCH($V35,Picks_W5!$AH$6:$AH$69,0)),0)</f>
        <v>0</v>
      </c>
      <c r="G35" s="4">
        <f>IFERROR(INDEX(Picks_W6!$AF$6:$AF$69,MATCH($V35,Picks_W6!$AH$6:$AH$69,0)),0)</f>
        <v>0</v>
      </c>
      <c r="H35" s="4">
        <f>IFERROR(INDEX(Picks_W7!$AF$6:$AF$69,MATCH($V35,Picks_W7!$AH$6:$AH$69,0)),0)</f>
        <v>0</v>
      </c>
      <c r="I35" s="4">
        <f>IFERROR(INDEX(Picks_W8!$AF$6:$AF$69,MATCH($V35,Picks_W8!$AH$6:$AH$69,0)),0)</f>
        <v>0</v>
      </c>
      <c r="J35" s="4">
        <f>IFERROR(INDEX(Picks_W9!$AF$6:$AF$69,MATCH($V35,Picks_W9!$AH$6:$AH$69,0)),0)</f>
        <v>0</v>
      </c>
      <c r="K35" s="4">
        <f>IFERROR(INDEX(Picks_W10!$AF$6:$AF$69,MATCH($V35,Picks_W10!$AH$6:$AH$69,0)),0)</f>
        <v>0</v>
      </c>
      <c r="L35" s="4">
        <f>IFERROR(INDEX(Picks_W11!$AF$6:$AF$69,MATCH($V35,Picks_W11!$AH$6:$AH$69,0)),0)</f>
        <v>0</v>
      </c>
      <c r="M35" s="4">
        <f>IFERROR(INDEX(Picks_W12!$AF$6:$AF$69,MATCH($V35,Picks_W12!$AH$6:$AH$69,0)),0)</f>
        <v>0</v>
      </c>
      <c r="N35" s="4">
        <f>IFERROR(INDEX(Picks_W13!$AF$6:$AF$69,MATCH($V35,Picks_W13!$AH$6:$AH$69,0)),0)</f>
        <v>0</v>
      </c>
      <c r="O35" s="4">
        <f t="shared" si="0"/>
        <v>20</v>
      </c>
      <c r="P35" s="4">
        <f>(IFERROR(INDEX(Picks_W1!$AF$6:$AF$69,MATCH($V35,Picks_W1!$AH$6:$AH$69,0)),"")=Results!$B$21)*(IFERROR(INDEX(Picks_W1!$AG$6:$AG$69,MATCH($V35,Picks_W1!$AH$6:$AH$69,0)),"")=Results!$C$21)+(IFERROR(INDEX(Picks_W2!$AF$6:$AF$69,MATCH($V35,Picks_W2!$AH$6:$AH$69,0)),"")=Results!$B$22)*(IFERROR(INDEX(Picks_W2!$AG$6:$AG$69,MATCH($V35,Picks_W2!$AH$6:$AH$69,0)),"")=Results!$C$22)+(IFERROR(INDEX(Picks_W3!$AF$6:$AF$69,MATCH($V35,Picks_W3!$AH$6:$AH$69,0)),"")=Results!$B$23)*(IFERROR(INDEX(Picks_W3!$AG$6:$AG$69,MATCH($V35,Picks_W3!$AH$6:$AH$69,0)),"")=Results!$C$23)+(IFERROR(INDEX(Picks_W4!$AF$6:$AF$69,MATCH($V35,Picks_W4!$AH$6:$AH$69,0)),"")=Results!$B$24)*(IFERROR(INDEX(Picks_W4!$AG$6:$AG$69,MATCH($V35,Picks_W4!$AH$6:$AH$69,0)),"")=Results!$C$24)+(IFERROR(INDEX(Picks_W5!$AF$6:$AF$69,MATCH($V35,Picks_W5!$AH$6:$AH$69,0)),"")=Results!$B$25)*(IFERROR(INDEX(Picks_W5!$AG$6:$AG$69,MATCH($V35,Picks_W5!$AH$6:$AH$69,0)),"")=Results!$C$25)+(IFERROR(INDEX(Picks_W6!$AF$6:$AF$69,MATCH($V35,Picks_W6!$AH$6:$AH$69,0)),"")=Results!$B$26)*(IFERROR(INDEX(Picks_W6!$AG$6:$AG$69,MATCH($V35,Picks_W6!$AH$6:$AH$69,0)),"")=Results!$C$26)+(IFERROR(INDEX(Picks_W7!$AF$6:$AF$69,MATCH($V35,Picks_W7!$AH$6:$AH$69,0)),"")=Results!$B$27)*(IFERROR(INDEX(Picks_W7!$AG$6:$AG$69,MATCH($V35,Picks_W7!$AH$6:$AH$69,0)),"")=Results!$C$27)+(IFERROR(INDEX(Picks_W8!$AF$6:$AF$69,MATCH($V35,Picks_W8!$AH$6:$AH$69,0)),"")=Results!$B$28)*(IFERROR(INDEX(Picks_W8!$AG$6:$AG$69,MATCH($V35,Picks_W8!$AH$6:$AH$69,0)),"")=Results!$C$28)+(IFERROR(INDEX(Picks_W9!$AF$6:$AF$69,MATCH($V35,Picks_W9!$AH$6:$AH$69,0)),"")=Results!$B$29)*(IFERROR(INDEX(Picks_W9!$AG$6:$AG$69,MATCH($V35,Picks_W9!$AH$6:$AH$69,0)),"")=Results!$C$29)+(IFERROR(INDEX(Picks_W10!$AF$6:$AF$69,MATCH($V35,Picks_W10!$AH$6:$AH$69,0)),"")=Results!$B$30)*(IFERROR(INDEX(Picks_W10!$AG$6:$AG$69,MATCH($V35,Picks_W10!$AH$6:$AH$69,0)),"")=Results!$C$30)+(IFERROR(INDEX(Picks_W11!$AF$6:$AF$69,MATCH($V35,Picks_W11!$AH$6:$AH$69,0)),"")=Results!$B$31)*(IFERROR(INDEX(Picks_W11!$AG$6:$AG$69,MATCH($V35,Picks_W11!$AH$6:$AH$69,0)),"")=Results!$C$31)+(IFERROR(INDEX(Picks_W12!$AF$6:$AF$69,MATCH($V35,Picks_W12!$AH$6:$AH$69,0)),"")=Results!$B$32)*(IFERROR(INDEX(Picks_W12!$AG$6:$AG$69,MATCH($V35,Picks_W12!$AH$6:$AH$69,0)),"")=Results!$C$32)+(IFERROR(INDEX(Picks_W13!$AF$6:$AF$69,MATCH($V35,Picks_W13!$AH$6:$AH$69,0)),"")=Results!$B$33)*(IFERROR(INDEX(Picks_W13!$AG$6:$AG$69,MATCH($V35,Picks_W13!$AH$6:$AH$69,0)),"")=Results!$C$33)</f>
        <v>0</v>
      </c>
      <c r="Q35" s="4">
        <f t="shared" si="1"/>
        <v>11</v>
      </c>
      <c r="R35" s="4">
        <f t="shared" si="2"/>
        <v>0</v>
      </c>
      <c r="S35" s="4">
        <f t="shared" si="3"/>
        <v>20.000246500000003</v>
      </c>
      <c r="T35" s="4">
        <f>IFERROR(INDEX(Picks_W1!$AV$6:$AV$69,MATCH($V35,Picks_W1!$AH$6:$AH$69,0)),0)+IFERROR(INDEX(Picks_W2!$AV$6:$AV$69,MATCH($V35,Picks_W2!$AH$6:$AH$69,0)),0)+IFERROR(INDEX(Picks_W3!$AV$6:$AV$69,MATCH($V35,Picks_W3!$AH$6:$AH$69,0)),0)+IFERROR(INDEX(Picks_W4!$AV$6:$AV$69,MATCH($V35,Picks_W4!$AH$6:$AH$69,0)),0)+IFERROR(INDEX(Picks_W5!$AV$6:$AV$69,MATCH($V35,Picks_W5!$AH$6:$AH$69,0)),0)+IFERROR(INDEX(Picks_W6!$AV$6:$AV$69,MATCH($V35,Picks_W6!$AH$6:$AH$69,0)),0)+IFERROR(INDEX(Picks_W7!$AV$6:$AV$69,MATCH($V35,Picks_W7!$AH$6:$AH$69,0)),0)+IFERROR(INDEX(Picks_W8!$AV$6:$AV$69,MATCH($V35,Picks_W8!$AH$6:$AH$69,0)),0)+IFERROR(INDEX(Picks_W9!$AV$6:$AV$69,MATCH($V35,Picks_W9!$AH$6:$AH$69,0)),0)+IFERROR(INDEX(Picks_W10!$AV$6:$AV$69,MATCH($V35,Picks_W10!$AH$6:$AH$69,0)),0)+IFERROR(INDEX(Picks_W11!$AV$6:$AV$69,MATCH($V35,Picks_W11!$AH$6:$AH$69,0)),0)+IFERROR(INDEX(Picks_W12!$AV$6:$AV$69,MATCH($V35,Picks_W12!$AH$6:$AH$69,0)),0)+IFERROR(INDEX(Picks_W13!$AV$6:$AV$69,MATCH($V35,Picks_W13!$AH$6:$AH$69,0)),0)</f>
        <v>2</v>
      </c>
      <c r="U35" s="17">
        <f>IF(Results!$B$35=0,0,T35/Results!$B$35)</f>
        <v>0.25</v>
      </c>
      <c r="V35" s="4">
        <v>17</v>
      </c>
    </row>
    <row r="36" spans="1:22" ht="15" customHeight="1" x14ac:dyDescent="0.25">
      <c r="A36" s="4" t="str">
        <f>IFERROR(INDEX(Players!$D$6:$D$69,MATCH(V36,Players!$A$6:$A$69,0)),"")</f>
        <v>Kaley P.</v>
      </c>
      <c r="B36" s="4">
        <f>IFERROR(INDEX(Picks_W1!$AF$6:$AF$69,MATCH($V36,Picks_W1!$AH$6:$AH$69,0)),0)</f>
        <v>13</v>
      </c>
      <c r="C36" s="4">
        <f>IFERROR(INDEX(Picks_W2!$AF$6:$AF$69,MATCH($V36,Picks_W2!$AH$6:$AH$69,0)),0)</f>
        <v>7</v>
      </c>
      <c r="D36" s="4">
        <f>IFERROR(INDEX(Picks_W3!$AF$6:$AF$69,MATCH($V36,Picks_W3!$AH$6:$AH$69,0)),0)</f>
        <v>0</v>
      </c>
      <c r="E36" s="4">
        <f>IFERROR(INDEX(Picks_W4!$AF$6:$AF$69,MATCH($V36,Picks_W4!$AH$6:$AH$69,0)),0)</f>
        <v>0</v>
      </c>
      <c r="F36" s="4">
        <f>IFERROR(INDEX(Picks_W5!$AF$6:$AF$69,MATCH($V36,Picks_W5!$AH$6:$AH$69,0)),0)</f>
        <v>0</v>
      </c>
      <c r="G36" s="4">
        <f>IFERROR(INDEX(Picks_W6!$AF$6:$AF$69,MATCH($V36,Picks_W6!$AH$6:$AH$69,0)),0)</f>
        <v>0</v>
      </c>
      <c r="H36" s="4">
        <f>IFERROR(INDEX(Picks_W7!$AF$6:$AF$69,MATCH($V36,Picks_W7!$AH$6:$AH$69,0)),0)</f>
        <v>0</v>
      </c>
      <c r="I36" s="4">
        <f>IFERROR(INDEX(Picks_W8!$AF$6:$AF$69,MATCH($V36,Picks_W8!$AH$6:$AH$69,0)),0)</f>
        <v>0</v>
      </c>
      <c r="J36" s="4">
        <f>IFERROR(INDEX(Picks_W9!$AF$6:$AF$69,MATCH($V36,Picks_W9!$AH$6:$AH$69,0)),0)</f>
        <v>0</v>
      </c>
      <c r="K36" s="4">
        <f>IFERROR(INDEX(Picks_W10!$AF$6:$AF$69,MATCH($V36,Picks_W10!$AH$6:$AH$69,0)),0)</f>
        <v>0</v>
      </c>
      <c r="L36" s="4">
        <f>IFERROR(INDEX(Picks_W11!$AF$6:$AF$69,MATCH($V36,Picks_W11!$AH$6:$AH$69,0)),0)</f>
        <v>0</v>
      </c>
      <c r="M36" s="4">
        <f>IFERROR(INDEX(Picks_W12!$AF$6:$AF$69,MATCH($V36,Picks_W12!$AH$6:$AH$69,0)),0)</f>
        <v>0</v>
      </c>
      <c r="N36" s="4">
        <f>IFERROR(INDEX(Picks_W13!$AF$6:$AF$69,MATCH($V36,Picks_W13!$AH$6:$AH$69,0)),0)</f>
        <v>0</v>
      </c>
      <c r="O36" s="4">
        <f t="shared" si="0"/>
        <v>20</v>
      </c>
      <c r="P36" s="4">
        <f>(IFERROR(INDEX(Picks_W1!$AF$6:$AF$69,MATCH($V36,Picks_W1!$AH$6:$AH$69,0)),"")=Results!$B$21)*(IFERROR(INDEX(Picks_W1!$AG$6:$AG$69,MATCH($V36,Picks_W1!$AH$6:$AH$69,0)),"")=Results!$C$21)+(IFERROR(INDEX(Picks_W2!$AF$6:$AF$69,MATCH($V36,Picks_W2!$AH$6:$AH$69,0)),"")=Results!$B$22)*(IFERROR(INDEX(Picks_W2!$AG$6:$AG$69,MATCH($V36,Picks_W2!$AH$6:$AH$69,0)),"")=Results!$C$22)+(IFERROR(INDEX(Picks_W3!$AF$6:$AF$69,MATCH($V36,Picks_W3!$AH$6:$AH$69,0)),"")=Results!$B$23)*(IFERROR(INDEX(Picks_W3!$AG$6:$AG$69,MATCH($V36,Picks_W3!$AH$6:$AH$69,0)),"")=Results!$C$23)+(IFERROR(INDEX(Picks_W4!$AF$6:$AF$69,MATCH($V36,Picks_W4!$AH$6:$AH$69,0)),"")=Results!$B$24)*(IFERROR(INDEX(Picks_W4!$AG$6:$AG$69,MATCH($V36,Picks_W4!$AH$6:$AH$69,0)),"")=Results!$C$24)+(IFERROR(INDEX(Picks_W5!$AF$6:$AF$69,MATCH($V36,Picks_W5!$AH$6:$AH$69,0)),"")=Results!$B$25)*(IFERROR(INDEX(Picks_W5!$AG$6:$AG$69,MATCH($V36,Picks_W5!$AH$6:$AH$69,0)),"")=Results!$C$25)+(IFERROR(INDEX(Picks_W6!$AF$6:$AF$69,MATCH($V36,Picks_W6!$AH$6:$AH$69,0)),"")=Results!$B$26)*(IFERROR(INDEX(Picks_W6!$AG$6:$AG$69,MATCH($V36,Picks_W6!$AH$6:$AH$69,0)),"")=Results!$C$26)+(IFERROR(INDEX(Picks_W7!$AF$6:$AF$69,MATCH($V36,Picks_W7!$AH$6:$AH$69,0)),"")=Results!$B$27)*(IFERROR(INDEX(Picks_W7!$AG$6:$AG$69,MATCH($V36,Picks_W7!$AH$6:$AH$69,0)),"")=Results!$C$27)+(IFERROR(INDEX(Picks_W8!$AF$6:$AF$69,MATCH($V36,Picks_W8!$AH$6:$AH$69,0)),"")=Results!$B$28)*(IFERROR(INDEX(Picks_W8!$AG$6:$AG$69,MATCH($V36,Picks_W8!$AH$6:$AH$69,0)),"")=Results!$C$28)+(IFERROR(INDEX(Picks_W9!$AF$6:$AF$69,MATCH($V36,Picks_W9!$AH$6:$AH$69,0)),"")=Results!$B$29)*(IFERROR(INDEX(Picks_W9!$AG$6:$AG$69,MATCH($V36,Picks_W9!$AH$6:$AH$69,0)),"")=Results!$C$29)+(IFERROR(INDEX(Picks_W10!$AF$6:$AF$69,MATCH($V36,Picks_W10!$AH$6:$AH$69,0)),"")=Results!$B$30)*(IFERROR(INDEX(Picks_W10!$AG$6:$AG$69,MATCH($V36,Picks_W10!$AH$6:$AH$69,0)),"")=Results!$C$30)+(IFERROR(INDEX(Picks_W11!$AF$6:$AF$69,MATCH($V36,Picks_W11!$AH$6:$AH$69,0)),"")=Results!$B$31)*(IFERROR(INDEX(Picks_W11!$AG$6:$AG$69,MATCH($V36,Picks_W11!$AH$6:$AH$69,0)),"")=Results!$C$31)+(IFERROR(INDEX(Picks_W12!$AF$6:$AF$69,MATCH($V36,Picks_W12!$AH$6:$AH$69,0)),"")=Results!$B$32)*(IFERROR(INDEX(Picks_W12!$AG$6:$AG$69,MATCH($V36,Picks_W12!$AH$6:$AH$69,0)),"")=Results!$C$32)+(IFERROR(INDEX(Picks_W13!$AF$6:$AF$69,MATCH($V36,Picks_W13!$AH$6:$AH$69,0)),"")=Results!$B$33)*(IFERROR(INDEX(Picks_W13!$AG$6:$AG$69,MATCH($V36,Picks_W13!$AH$6:$AH$69,0)),"")=Results!$C$33)</f>
        <v>0</v>
      </c>
      <c r="Q36" s="4">
        <f t="shared" si="1"/>
        <v>13</v>
      </c>
      <c r="R36" s="4">
        <f t="shared" si="2"/>
        <v>0</v>
      </c>
      <c r="S36" s="4">
        <f t="shared" si="3"/>
        <v>20.000121400000001</v>
      </c>
      <c r="T36" s="4">
        <f>IFERROR(INDEX(Picks_W1!$AV$6:$AV$69,MATCH($V36,Picks_W1!$AH$6:$AH$69,0)),0)+IFERROR(INDEX(Picks_W2!$AV$6:$AV$69,MATCH($V36,Picks_W2!$AH$6:$AH$69,0)),0)+IFERROR(INDEX(Picks_W3!$AV$6:$AV$69,MATCH($V36,Picks_W3!$AH$6:$AH$69,0)),0)+IFERROR(INDEX(Picks_W4!$AV$6:$AV$69,MATCH($V36,Picks_W4!$AH$6:$AH$69,0)),0)+IFERROR(INDEX(Picks_W5!$AV$6:$AV$69,MATCH($V36,Picks_W5!$AH$6:$AH$69,0)),0)+IFERROR(INDEX(Picks_W6!$AV$6:$AV$69,MATCH($V36,Picks_W6!$AH$6:$AH$69,0)),0)+IFERROR(INDEX(Picks_W7!$AV$6:$AV$69,MATCH($V36,Picks_W7!$AH$6:$AH$69,0)),0)+IFERROR(INDEX(Picks_W8!$AV$6:$AV$69,MATCH($V36,Picks_W8!$AH$6:$AH$69,0)),0)+IFERROR(INDEX(Picks_W9!$AV$6:$AV$69,MATCH($V36,Picks_W9!$AH$6:$AH$69,0)),0)+IFERROR(INDEX(Picks_W10!$AV$6:$AV$69,MATCH($V36,Picks_W10!$AH$6:$AH$69,0)),0)+IFERROR(INDEX(Picks_W11!$AV$6:$AV$69,MATCH($V36,Picks_W11!$AH$6:$AH$69,0)),0)+IFERROR(INDEX(Picks_W12!$AV$6:$AV$69,MATCH($V36,Picks_W12!$AH$6:$AH$69,0)),0)+IFERROR(INDEX(Picks_W13!$AV$6:$AV$69,MATCH($V36,Picks_W13!$AH$6:$AH$69,0)),0)</f>
        <v>1</v>
      </c>
      <c r="U36" s="17">
        <f>IF(Results!$B$35=0,0,T36/Results!$B$35)</f>
        <v>0.125</v>
      </c>
      <c r="V36" s="4">
        <v>39</v>
      </c>
    </row>
    <row r="37" spans="1:22" ht="15" customHeight="1" x14ac:dyDescent="0.25">
      <c r="A37" s="4" t="str">
        <f>IFERROR(INDEX(Players!$D$6:$D$69,MATCH(V37,Players!$A$6:$A$69,0)),"")</f>
        <v>Kate S.</v>
      </c>
      <c r="B37" s="4">
        <f>IFERROR(INDEX(Picks_W1!$AF$6:$AF$69,MATCH($V37,Picks_W1!$AH$6:$AH$69,0)),0)</f>
        <v>11</v>
      </c>
      <c r="C37" s="4">
        <f>IFERROR(INDEX(Picks_W2!$AF$6:$AF$69,MATCH($V37,Picks_W2!$AH$6:$AH$69,0)),0)</f>
        <v>9</v>
      </c>
      <c r="D37" s="4">
        <f>IFERROR(INDEX(Picks_W3!$AF$6:$AF$69,MATCH($V37,Picks_W3!$AH$6:$AH$69,0)),0)</f>
        <v>0</v>
      </c>
      <c r="E37" s="4">
        <f>IFERROR(INDEX(Picks_W4!$AF$6:$AF$69,MATCH($V37,Picks_W4!$AH$6:$AH$69,0)),0)</f>
        <v>0</v>
      </c>
      <c r="F37" s="4">
        <f>IFERROR(INDEX(Picks_W5!$AF$6:$AF$69,MATCH($V37,Picks_W5!$AH$6:$AH$69,0)),0)</f>
        <v>0</v>
      </c>
      <c r="G37" s="4">
        <f>IFERROR(INDEX(Picks_W6!$AF$6:$AF$69,MATCH($V37,Picks_W6!$AH$6:$AH$69,0)),0)</f>
        <v>0</v>
      </c>
      <c r="H37" s="4">
        <f>IFERROR(INDEX(Picks_W7!$AF$6:$AF$69,MATCH($V37,Picks_W7!$AH$6:$AH$69,0)),0)</f>
        <v>0</v>
      </c>
      <c r="I37" s="4">
        <f>IFERROR(INDEX(Picks_W8!$AF$6:$AF$69,MATCH($V37,Picks_W8!$AH$6:$AH$69,0)),0)</f>
        <v>0</v>
      </c>
      <c r="J37" s="4">
        <f>IFERROR(INDEX(Picks_W9!$AF$6:$AF$69,MATCH($V37,Picks_W9!$AH$6:$AH$69,0)),0)</f>
        <v>0</v>
      </c>
      <c r="K37" s="4">
        <f>IFERROR(INDEX(Picks_W10!$AF$6:$AF$69,MATCH($V37,Picks_W10!$AH$6:$AH$69,0)),0)</f>
        <v>0</v>
      </c>
      <c r="L37" s="4">
        <f>IFERROR(INDEX(Picks_W11!$AF$6:$AF$69,MATCH($V37,Picks_W11!$AH$6:$AH$69,0)),0)</f>
        <v>0</v>
      </c>
      <c r="M37" s="4">
        <f>IFERROR(INDEX(Picks_W12!$AF$6:$AF$69,MATCH($V37,Picks_W12!$AH$6:$AH$69,0)),0)</f>
        <v>0</v>
      </c>
      <c r="N37" s="4">
        <f>IFERROR(INDEX(Picks_W13!$AF$6:$AF$69,MATCH($V37,Picks_W13!$AH$6:$AH$69,0)),0)</f>
        <v>0</v>
      </c>
      <c r="O37" s="4">
        <f t="shared" si="0"/>
        <v>20</v>
      </c>
      <c r="P37" s="4">
        <f>(IFERROR(INDEX(Picks_W1!$AF$6:$AF$69,MATCH($V37,Picks_W1!$AH$6:$AH$69,0)),"")=Results!$B$21)*(IFERROR(INDEX(Picks_W1!$AG$6:$AG$69,MATCH($V37,Picks_W1!$AH$6:$AH$69,0)),"")=Results!$C$21)+(IFERROR(INDEX(Picks_W2!$AF$6:$AF$69,MATCH($V37,Picks_W2!$AH$6:$AH$69,0)),"")=Results!$B$22)*(IFERROR(INDEX(Picks_W2!$AG$6:$AG$69,MATCH($V37,Picks_W2!$AH$6:$AH$69,0)),"")=Results!$C$22)+(IFERROR(INDEX(Picks_W3!$AF$6:$AF$69,MATCH($V37,Picks_W3!$AH$6:$AH$69,0)),"")=Results!$B$23)*(IFERROR(INDEX(Picks_W3!$AG$6:$AG$69,MATCH($V37,Picks_W3!$AH$6:$AH$69,0)),"")=Results!$C$23)+(IFERROR(INDEX(Picks_W4!$AF$6:$AF$69,MATCH($V37,Picks_W4!$AH$6:$AH$69,0)),"")=Results!$B$24)*(IFERROR(INDEX(Picks_W4!$AG$6:$AG$69,MATCH($V37,Picks_W4!$AH$6:$AH$69,0)),"")=Results!$C$24)+(IFERROR(INDEX(Picks_W5!$AF$6:$AF$69,MATCH($V37,Picks_W5!$AH$6:$AH$69,0)),"")=Results!$B$25)*(IFERROR(INDEX(Picks_W5!$AG$6:$AG$69,MATCH($V37,Picks_W5!$AH$6:$AH$69,0)),"")=Results!$C$25)+(IFERROR(INDEX(Picks_W6!$AF$6:$AF$69,MATCH($V37,Picks_W6!$AH$6:$AH$69,0)),"")=Results!$B$26)*(IFERROR(INDEX(Picks_W6!$AG$6:$AG$69,MATCH($V37,Picks_W6!$AH$6:$AH$69,0)),"")=Results!$C$26)+(IFERROR(INDEX(Picks_W7!$AF$6:$AF$69,MATCH($V37,Picks_W7!$AH$6:$AH$69,0)),"")=Results!$B$27)*(IFERROR(INDEX(Picks_W7!$AG$6:$AG$69,MATCH($V37,Picks_W7!$AH$6:$AH$69,0)),"")=Results!$C$27)+(IFERROR(INDEX(Picks_W8!$AF$6:$AF$69,MATCH($V37,Picks_W8!$AH$6:$AH$69,0)),"")=Results!$B$28)*(IFERROR(INDEX(Picks_W8!$AG$6:$AG$69,MATCH($V37,Picks_W8!$AH$6:$AH$69,0)),"")=Results!$C$28)+(IFERROR(INDEX(Picks_W9!$AF$6:$AF$69,MATCH($V37,Picks_W9!$AH$6:$AH$69,0)),"")=Results!$B$29)*(IFERROR(INDEX(Picks_W9!$AG$6:$AG$69,MATCH($V37,Picks_W9!$AH$6:$AH$69,0)),"")=Results!$C$29)+(IFERROR(INDEX(Picks_W10!$AF$6:$AF$69,MATCH($V37,Picks_W10!$AH$6:$AH$69,0)),"")=Results!$B$30)*(IFERROR(INDEX(Picks_W10!$AG$6:$AG$69,MATCH($V37,Picks_W10!$AH$6:$AH$69,0)),"")=Results!$C$30)+(IFERROR(INDEX(Picks_W11!$AF$6:$AF$69,MATCH($V37,Picks_W11!$AH$6:$AH$69,0)),"")=Results!$B$31)*(IFERROR(INDEX(Picks_W11!$AG$6:$AG$69,MATCH($V37,Picks_W11!$AH$6:$AH$69,0)),"")=Results!$C$31)+(IFERROR(INDEX(Picks_W12!$AF$6:$AF$69,MATCH($V37,Picks_W12!$AH$6:$AH$69,0)),"")=Results!$B$32)*(IFERROR(INDEX(Picks_W12!$AG$6:$AG$69,MATCH($V37,Picks_W12!$AH$6:$AH$69,0)),"")=Results!$C$32)+(IFERROR(INDEX(Picks_W13!$AF$6:$AF$69,MATCH($V37,Picks_W13!$AH$6:$AH$69,0)),"")=Results!$B$33)*(IFERROR(INDEX(Picks_W13!$AG$6:$AG$69,MATCH($V37,Picks_W13!$AH$6:$AH$69,0)),"")=Results!$C$33)</f>
        <v>0</v>
      </c>
      <c r="Q37" s="4">
        <f t="shared" si="1"/>
        <v>11</v>
      </c>
      <c r="R37" s="4">
        <f t="shared" si="2"/>
        <v>0</v>
      </c>
      <c r="S37" s="4">
        <f t="shared" si="3"/>
        <v>20.0001213</v>
      </c>
      <c r="T37" s="4">
        <f>IFERROR(INDEX(Picks_W1!$AV$6:$AV$69,MATCH($V37,Picks_W1!$AH$6:$AH$69,0)),0)+IFERROR(INDEX(Picks_W2!$AV$6:$AV$69,MATCH($V37,Picks_W2!$AH$6:$AH$69,0)),0)+IFERROR(INDEX(Picks_W3!$AV$6:$AV$69,MATCH($V37,Picks_W3!$AH$6:$AH$69,0)),0)+IFERROR(INDEX(Picks_W4!$AV$6:$AV$69,MATCH($V37,Picks_W4!$AH$6:$AH$69,0)),0)+IFERROR(INDEX(Picks_W5!$AV$6:$AV$69,MATCH($V37,Picks_W5!$AH$6:$AH$69,0)),0)+IFERROR(INDEX(Picks_W6!$AV$6:$AV$69,MATCH($V37,Picks_W6!$AH$6:$AH$69,0)),0)+IFERROR(INDEX(Picks_W7!$AV$6:$AV$69,MATCH($V37,Picks_W7!$AH$6:$AH$69,0)),0)+IFERROR(INDEX(Picks_W8!$AV$6:$AV$69,MATCH($V37,Picks_W8!$AH$6:$AH$69,0)),0)+IFERROR(INDEX(Picks_W9!$AV$6:$AV$69,MATCH($V37,Picks_W9!$AH$6:$AH$69,0)),0)+IFERROR(INDEX(Picks_W10!$AV$6:$AV$69,MATCH($V37,Picks_W10!$AH$6:$AH$69,0)),0)+IFERROR(INDEX(Picks_W11!$AV$6:$AV$69,MATCH($V37,Picks_W11!$AH$6:$AH$69,0)),0)+IFERROR(INDEX(Picks_W12!$AV$6:$AV$69,MATCH($V37,Picks_W12!$AH$6:$AH$69,0)),0)+IFERROR(INDEX(Picks_W13!$AV$6:$AV$69,MATCH($V37,Picks_W13!$AH$6:$AH$69,0)),0)</f>
        <v>1</v>
      </c>
      <c r="U37" s="17">
        <f>IF(Results!$B$35=0,0,T37/Results!$B$35)</f>
        <v>0.125</v>
      </c>
      <c r="V37" s="4">
        <v>49</v>
      </c>
    </row>
    <row r="38" spans="1:22" ht="15" customHeight="1" x14ac:dyDescent="0.25">
      <c r="A38" s="4" t="str">
        <f>IFERROR(INDEX(Players!$D$6:$D$69,MATCH(V38,Players!$A$6:$A$69,0)),"")</f>
        <v>Ken L.</v>
      </c>
      <c r="B38" s="4">
        <f>IFERROR(INDEX(Picks_W1!$AF$6:$AF$69,MATCH($V38,Picks_W1!$AH$6:$AH$69,0)),0)</f>
        <v>14</v>
      </c>
      <c r="C38" s="4">
        <f>IFERROR(INDEX(Picks_W2!$AF$6:$AF$69,MATCH($V38,Picks_W2!$AH$6:$AH$69,0)),0)</f>
        <v>9</v>
      </c>
      <c r="D38" s="4">
        <f>IFERROR(INDEX(Picks_W3!$AF$6:$AF$69,MATCH($V38,Picks_W3!$AH$6:$AH$69,0)),0)</f>
        <v>0</v>
      </c>
      <c r="E38" s="4">
        <f>IFERROR(INDEX(Picks_W4!$AF$6:$AF$69,MATCH($V38,Picks_W4!$AH$6:$AH$69,0)),0)</f>
        <v>0</v>
      </c>
      <c r="F38" s="4">
        <f>IFERROR(INDEX(Picks_W5!$AF$6:$AF$69,MATCH($V38,Picks_W5!$AH$6:$AH$69,0)),0)</f>
        <v>0</v>
      </c>
      <c r="G38" s="4">
        <f>IFERROR(INDEX(Picks_W6!$AF$6:$AF$69,MATCH($V38,Picks_W6!$AH$6:$AH$69,0)),0)</f>
        <v>0</v>
      </c>
      <c r="H38" s="4">
        <f>IFERROR(INDEX(Picks_W7!$AF$6:$AF$69,MATCH($V38,Picks_W7!$AH$6:$AH$69,0)),0)</f>
        <v>0</v>
      </c>
      <c r="I38" s="4">
        <f>IFERROR(INDEX(Picks_W8!$AF$6:$AF$69,MATCH($V38,Picks_W8!$AH$6:$AH$69,0)),0)</f>
        <v>0</v>
      </c>
      <c r="J38" s="4">
        <f>IFERROR(INDEX(Picks_W9!$AF$6:$AF$69,MATCH($V38,Picks_W9!$AH$6:$AH$69,0)),0)</f>
        <v>0</v>
      </c>
      <c r="K38" s="4">
        <f>IFERROR(INDEX(Picks_W10!$AF$6:$AF$69,MATCH($V38,Picks_W10!$AH$6:$AH$69,0)),0)</f>
        <v>0</v>
      </c>
      <c r="L38" s="4">
        <f>IFERROR(INDEX(Picks_W11!$AF$6:$AF$69,MATCH($V38,Picks_W11!$AH$6:$AH$69,0)),0)</f>
        <v>0</v>
      </c>
      <c r="M38" s="4">
        <f>IFERROR(INDEX(Picks_W12!$AF$6:$AF$69,MATCH($V38,Picks_W12!$AH$6:$AH$69,0)),0)</f>
        <v>0</v>
      </c>
      <c r="N38" s="4">
        <f>IFERROR(INDEX(Picks_W13!$AF$6:$AF$69,MATCH($V38,Picks_W13!$AH$6:$AH$69,0)),0)</f>
        <v>0</v>
      </c>
      <c r="O38" s="4">
        <f t="shared" ref="O38:O65" si="4">SUM(B38:N38)</f>
        <v>23</v>
      </c>
      <c r="P38" s="4">
        <f>(IFERROR(INDEX(Picks_W1!$AF$6:$AF$69,MATCH($V38,Picks_W1!$AH$6:$AH$69,0)),"")=Results!$B$21)*(IFERROR(INDEX(Picks_W1!$AG$6:$AG$69,MATCH($V38,Picks_W1!$AH$6:$AH$69,0)),"")=Results!$C$21)+(IFERROR(INDEX(Picks_W2!$AF$6:$AF$69,MATCH($V38,Picks_W2!$AH$6:$AH$69,0)),"")=Results!$B$22)*(IFERROR(INDEX(Picks_W2!$AG$6:$AG$69,MATCH($V38,Picks_W2!$AH$6:$AH$69,0)),"")=Results!$C$22)+(IFERROR(INDEX(Picks_W3!$AF$6:$AF$69,MATCH($V38,Picks_W3!$AH$6:$AH$69,0)),"")=Results!$B$23)*(IFERROR(INDEX(Picks_W3!$AG$6:$AG$69,MATCH($V38,Picks_W3!$AH$6:$AH$69,0)),"")=Results!$C$23)+(IFERROR(INDEX(Picks_W4!$AF$6:$AF$69,MATCH($V38,Picks_W4!$AH$6:$AH$69,0)),"")=Results!$B$24)*(IFERROR(INDEX(Picks_W4!$AG$6:$AG$69,MATCH($V38,Picks_W4!$AH$6:$AH$69,0)),"")=Results!$C$24)+(IFERROR(INDEX(Picks_W5!$AF$6:$AF$69,MATCH($V38,Picks_W5!$AH$6:$AH$69,0)),"")=Results!$B$25)*(IFERROR(INDEX(Picks_W5!$AG$6:$AG$69,MATCH($V38,Picks_W5!$AH$6:$AH$69,0)),"")=Results!$C$25)+(IFERROR(INDEX(Picks_W6!$AF$6:$AF$69,MATCH($V38,Picks_W6!$AH$6:$AH$69,0)),"")=Results!$B$26)*(IFERROR(INDEX(Picks_W6!$AG$6:$AG$69,MATCH($V38,Picks_W6!$AH$6:$AH$69,0)),"")=Results!$C$26)+(IFERROR(INDEX(Picks_W7!$AF$6:$AF$69,MATCH($V38,Picks_W7!$AH$6:$AH$69,0)),"")=Results!$B$27)*(IFERROR(INDEX(Picks_W7!$AG$6:$AG$69,MATCH($V38,Picks_W7!$AH$6:$AH$69,0)),"")=Results!$C$27)+(IFERROR(INDEX(Picks_W8!$AF$6:$AF$69,MATCH($V38,Picks_W8!$AH$6:$AH$69,0)),"")=Results!$B$28)*(IFERROR(INDEX(Picks_W8!$AG$6:$AG$69,MATCH($V38,Picks_W8!$AH$6:$AH$69,0)),"")=Results!$C$28)+(IFERROR(INDEX(Picks_W9!$AF$6:$AF$69,MATCH($V38,Picks_W9!$AH$6:$AH$69,0)),"")=Results!$B$29)*(IFERROR(INDEX(Picks_W9!$AG$6:$AG$69,MATCH($V38,Picks_W9!$AH$6:$AH$69,0)),"")=Results!$C$29)+(IFERROR(INDEX(Picks_W10!$AF$6:$AF$69,MATCH($V38,Picks_W10!$AH$6:$AH$69,0)),"")=Results!$B$30)*(IFERROR(INDEX(Picks_W10!$AG$6:$AG$69,MATCH($V38,Picks_W10!$AH$6:$AH$69,0)),"")=Results!$C$30)+(IFERROR(INDEX(Picks_W11!$AF$6:$AF$69,MATCH($V38,Picks_W11!$AH$6:$AH$69,0)),"")=Results!$B$31)*(IFERROR(INDEX(Picks_W11!$AG$6:$AG$69,MATCH($V38,Picks_W11!$AH$6:$AH$69,0)),"")=Results!$C$31)+(IFERROR(INDEX(Picks_W12!$AF$6:$AF$69,MATCH($V38,Picks_W12!$AH$6:$AH$69,0)),"")=Results!$B$32)*(IFERROR(INDEX(Picks_W12!$AG$6:$AG$69,MATCH($V38,Picks_W12!$AH$6:$AH$69,0)),"")=Results!$C$32)+(IFERROR(INDEX(Picks_W13!$AF$6:$AF$69,MATCH($V38,Picks_W13!$AH$6:$AH$69,0)),"")=Results!$B$33)*(IFERROR(INDEX(Picks_W13!$AG$6:$AG$69,MATCH($V38,Picks_W13!$AH$6:$AH$69,0)),"")=Results!$C$33)</f>
        <v>0</v>
      </c>
      <c r="Q38" s="4">
        <f t="shared" ref="Q38:Q65" si="5">IF(COUNT(B38:N38)=0,0,MAX(B38:N38))</f>
        <v>14</v>
      </c>
      <c r="R38" s="4">
        <f t="shared" ref="R38:R65" si="6">IF(COUNT(B38:N38)=0,0,MIN(B38:N38))</f>
        <v>0</v>
      </c>
      <c r="S38" s="4">
        <f t="shared" ref="S38:S65" si="7">O38+(U38/1000)-(ROW()*0.0000001)</f>
        <v>23.000121199999999</v>
      </c>
      <c r="T38" s="4">
        <f>IFERROR(INDEX(Picks_W1!$AV$6:$AV$69,MATCH($V38,Picks_W1!$AH$6:$AH$69,0)),0)+IFERROR(INDEX(Picks_W2!$AV$6:$AV$69,MATCH($V38,Picks_W2!$AH$6:$AH$69,0)),0)+IFERROR(INDEX(Picks_W3!$AV$6:$AV$69,MATCH($V38,Picks_W3!$AH$6:$AH$69,0)),0)+IFERROR(INDEX(Picks_W4!$AV$6:$AV$69,MATCH($V38,Picks_W4!$AH$6:$AH$69,0)),0)+IFERROR(INDEX(Picks_W5!$AV$6:$AV$69,MATCH($V38,Picks_W5!$AH$6:$AH$69,0)),0)+IFERROR(INDEX(Picks_W6!$AV$6:$AV$69,MATCH($V38,Picks_W6!$AH$6:$AH$69,0)),0)+IFERROR(INDEX(Picks_W7!$AV$6:$AV$69,MATCH($V38,Picks_W7!$AH$6:$AH$69,0)),0)+IFERROR(INDEX(Picks_W8!$AV$6:$AV$69,MATCH($V38,Picks_W8!$AH$6:$AH$69,0)),0)+IFERROR(INDEX(Picks_W9!$AV$6:$AV$69,MATCH($V38,Picks_W9!$AH$6:$AH$69,0)),0)+IFERROR(INDEX(Picks_W10!$AV$6:$AV$69,MATCH($V38,Picks_W10!$AH$6:$AH$69,0)),0)+IFERROR(INDEX(Picks_W11!$AV$6:$AV$69,MATCH($V38,Picks_W11!$AH$6:$AH$69,0)),0)+IFERROR(INDEX(Picks_W12!$AV$6:$AV$69,MATCH($V38,Picks_W12!$AH$6:$AH$69,0)),0)+IFERROR(INDEX(Picks_W13!$AV$6:$AV$69,MATCH($V38,Picks_W13!$AH$6:$AH$69,0)),0)</f>
        <v>1</v>
      </c>
      <c r="U38" s="17">
        <f>IF(Results!$B$35=0,0,T38/Results!$B$35)</f>
        <v>0.125</v>
      </c>
      <c r="V38" s="4">
        <v>18</v>
      </c>
    </row>
    <row r="39" spans="1:22" ht="15" customHeight="1" x14ac:dyDescent="0.25">
      <c r="A39" s="4" t="str">
        <f>IFERROR(INDEX(Players!$D$6:$D$69,MATCH(V39,Players!$A$6:$A$69,0)),"")</f>
        <v>Kyle W.</v>
      </c>
      <c r="B39" s="4">
        <f>IFERROR(INDEX(Picks_W1!$AF$6:$AF$69,MATCH($V39,Picks_W1!$AH$6:$AH$69,0)),0)</f>
        <v>12</v>
      </c>
      <c r="C39" s="4">
        <f>IFERROR(INDEX(Picks_W2!$AF$6:$AF$69,MATCH($V39,Picks_W2!$AH$6:$AH$69,0)),0)</f>
        <v>9</v>
      </c>
      <c r="D39" s="4">
        <f>IFERROR(INDEX(Picks_W3!$AF$6:$AF$69,MATCH($V39,Picks_W3!$AH$6:$AH$69,0)),0)</f>
        <v>0</v>
      </c>
      <c r="E39" s="4">
        <f>IFERROR(INDEX(Picks_W4!$AF$6:$AF$69,MATCH($V39,Picks_W4!$AH$6:$AH$69,0)),0)</f>
        <v>0</v>
      </c>
      <c r="F39" s="4">
        <f>IFERROR(INDEX(Picks_W5!$AF$6:$AF$69,MATCH($V39,Picks_W5!$AH$6:$AH$69,0)),0)</f>
        <v>0</v>
      </c>
      <c r="G39" s="4">
        <f>IFERROR(INDEX(Picks_W6!$AF$6:$AF$69,MATCH($V39,Picks_W6!$AH$6:$AH$69,0)),0)</f>
        <v>0</v>
      </c>
      <c r="H39" s="4">
        <f>IFERROR(INDEX(Picks_W7!$AF$6:$AF$69,MATCH($V39,Picks_W7!$AH$6:$AH$69,0)),0)</f>
        <v>0</v>
      </c>
      <c r="I39" s="4">
        <f>IFERROR(INDEX(Picks_W8!$AF$6:$AF$69,MATCH($V39,Picks_W8!$AH$6:$AH$69,0)),0)</f>
        <v>0</v>
      </c>
      <c r="J39" s="4">
        <f>IFERROR(INDEX(Picks_W9!$AF$6:$AF$69,MATCH($V39,Picks_W9!$AH$6:$AH$69,0)),0)</f>
        <v>0</v>
      </c>
      <c r="K39" s="4">
        <f>IFERROR(INDEX(Picks_W10!$AF$6:$AF$69,MATCH($V39,Picks_W10!$AH$6:$AH$69,0)),0)</f>
        <v>0</v>
      </c>
      <c r="L39" s="4">
        <f>IFERROR(INDEX(Picks_W11!$AF$6:$AF$69,MATCH($V39,Picks_W11!$AH$6:$AH$69,0)),0)</f>
        <v>0</v>
      </c>
      <c r="M39" s="4">
        <f>IFERROR(INDEX(Picks_W12!$AF$6:$AF$69,MATCH($V39,Picks_W12!$AH$6:$AH$69,0)),0)</f>
        <v>0</v>
      </c>
      <c r="N39" s="4">
        <f>IFERROR(INDEX(Picks_W13!$AF$6:$AF$69,MATCH($V39,Picks_W13!$AH$6:$AH$69,0)),0)</f>
        <v>0</v>
      </c>
      <c r="O39" s="4">
        <f t="shared" si="4"/>
        <v>21</v>
      </c>
      <c r="P39" s="4">
        <f>(IFERROR(INDEX(Picks_W1!$AF$6:$AF$69,MATCH($V39,Picks_W1!$AH$6:$AH$69,0)),"")=Results!$B$21)*(IFERROR(INDEX(Picks_W1!$AG$6:$AG$69,MATCH($V39,Picks_W1!$AH$6:$AH$69,0)),"")=Results!$C$21)+(IFERROR(INDEX(Picks_W2!$AF$6:$AF$69,MATCH($V39,Picks_W2!$AH$6:$AH$69,0)),"")=Results!$B$22)*(IFERROR(INDEX(Picks_W2!$AG$6:$AG$69,MATCH($V39,Picks_W2!$AH$6:$AH$69,0)),"")=Results!$C$22)+(IFERROR(INDEX(Picks_W3!$AF$6:$AF$69,MATCH($V39,Picks_W3!$AH$6:$AH$69,0)),"")=Results!$B$23)*(IFERROR(INDEX(Picks_W3!$AG$6:$AG$69,MATCH($V39,Picks_W3!$AH$6:$AH$69,0)),"")=Results!$C$23)+(IFERROR(INDEX(Picks_W4!$AF$6:$AF$69,MATCH($V39,Picks_W4!$AH$6:$AH$69,0)),"")=Results!$B$24)*(IFERROR(INDEX(Picks_W4!$AG$6:$AG$69,MATCH($V39,Picks_W4!$AH$6:$AH$69,0)),"")=Results!$C$24)+(IFERROR(INDEX(Picks_W5!$AF$6:$AF$69,MATCH($V39,Picks_W5!$AH$6:$AH$69,0)),"")=Results!$B$25)*(IFERROR(INDEX(Picks_W5!$AG$6:$AG$69,MATCH($V39,Picks_W5!$AH$6:$AH$69,0)),"")=Results!$C$25)+(IFERROR(INDEX(Picks_W6!$AF$6:$AF$69,MATCH($V39,Picks_W6!$AH$6:$AH$69,0)),"")=Results!$B$26)*(IFERROR(INDEX(Picks_W6!$AG$6:$AG$69,MATCH($V39,Picks_W6!$AH$6:$AH$69,0)),"")=Results!$C$26)+(IFERROR(INDEX(Picks_W7!$AF$6:$AF$69,MATCH($V39,Picks_W7!$AH$6:$AH$69,0)),"")=Results!$B$27)*(IFERROR(INDEX(Picks_W7!$AG$6:$AG$69,MATCH($V39,Picks_W7!$AH$6:$AH$69,0)),"")=Results!$C$27)+(IFERROR(INDEX(Picks_W8!$AF$6:$AF$69,MATCH($V39,Picks_W8!$AH$6:$AH$69,0)),"")=Results!$B$28)*(IFERROR(INDEX(Picks_W8!$AG$6:$AG$69,MATCH($V39,Picks_W8!$AH$6:$AH$69,0)),"")=Results!$C$28)+(IFERROR(INDEX(Picks_W9!$AF$6:$AF$69,MATCH($V39,Picks_W9!$AH$6:$AH$69,0)),"")=Results!$B$29)*(IFERROR(INDEX(Picks_W9!$AG$6:$AG$69,MATCH($V39,Picks_W9!$AH$6:$AH$69,0)),"")=Results!$C$29)+(IFERROR(INDEX(Picks_W10!$AF$6:$AF$69,MATCH($V39,Picks_W10!$AH$6:$AH$69,0)),"")=Results!$B$30)*(IFERROR(INDEX(Picks_W10!$AG$6:$AG$69,MATCH($V39,Picks_W10!$AH$6:$AH$69,0)),"")=Results!$C$30)+(IFERROR(INDEX(Picks_W11!$AF$6:$AF$69,MATCH($V39,Picks_W11!$AH$6:$AH$69,0)),"")=Results!$B$31)*(IFERROR(INDEX(Picks_W11!$AG$6:$AG$69,MATCH($V39,Picks_W11!$AH$6:$AH$69,0)),"")=Results!$C$31)+(IFERROR(INDEX(Picks_W12!$AF$6:$AF$69,MATCH($V39,Picks_W12!$AH$6:$AH$69,0)),"")=Results!$B$32)*(IFERROR(INDEX(Picks_W12!$AG$6:$AG$69,MATCH($V39,Picks_W12!$AH$6:$AH$69,0)),"")=Results!$C$32)+(IFERROR(INDEX(Picks_W13!$AF$6:$AF$69,MATCH($V39,Picks_W13!$AH$6:$AH$69,0)),"")=Results!$B$33)*(IFERROR(INDEX(Picks_W13!$AG$6:$AG$69,MATCH($V39,Picks_W13!$AH$6:$AH$69,0)),"")=Results!$C$33)</f>
        <v>0</v>
      </c>
      <c r="Q39" s="4">
        <f t="shared" si="5"/>
        <v>12</v>
      </c>
      <c r="R39" s="4">
        <f t="shared" si="6"/>
        <v>0</v>
      </c>
      <c r="S39" s="4">
        <f t="shared" si="7"/>
        <v>21.000246100000002</v>
      </c>
      <c r="T39" s="4">
        <f>IFERROR(INDEX(Picks_W1!$AV$6:$AV$69,MATCH($V39,Picks_W1!$AH$6:$AH$69,0)),0)+IFERROR(INDEX(Picks_W2!$AV$6:$AV$69,MATCH($V39,Picks_W2!$AH$6:$AH$69,0)),0)+IFERROR(INDEX(Picks_W3!$AV$6:$AV$69,MATCH($V39,Picks_W3!$AH$6:$AH$69,0)),0)+IFERROR(INDEX(Picks_W4!$AV$6:$AV$69,MATCH($V39,Picks_W4!$AH$6:$AH$69,0)),0)+IFERROR(INDEX(Picks_W5!$AV$6:$AV$69,MATCH($V39,Picks_W5!$AH$6:$AH$69,0)),0)+IFERROR(INDEX(Picks_W6!$AV$6:$AV$69,MATCH($V39,Picks_W6!$AH$6:$AH$69,0)),0)+IFERROR(INDEX(Picks_W7!$AV$6:$AV$69,MATCH($V39,Picks_W7!$AH$6:$AH$69,0)),0)+IFERROR(INDEX(Picks_W8!$AV$6:$AV$69,MATCH($V39,Picks_W8!$AH$6:$AH$69,0)),0)+IFERROR(INDEX(Picks_W9!$AV$6:$AV$69,MATCH($V39,Picks_W9!$AH$6:$AH$69,0)),0)+IFERROR(INDEX(Picks_W10!$AV$6:$AV$69,MATCH($V39,Picks_W10!$AH$6:$AH$69,0)),0)+IFERROR(INDEX(Picks_W11!$AV$6:$AV$69,MATCH($V39,Picks_W11!$AH$6:$AH$69,0)),0)+IFERROR(INDEX(Picks_W12!$AV$6:$AV$69,MATCH($V39,Picks_W12!$AH$6:$AH$69,0)),0)+IFERROR(INDEX(Picks_W13!$AV$6:$AV$69,MATCH($V39,Picks_W13!$AH$6:$AH$69,0)),0)</f>
        <v>2</v>
      </c>
      <c r="U39" s="17">
        <f>IF(Results!$B$35=0,0,T39/Results!$B$35)</f>
        <v>0.25</v>
      </c>
      <c r="V39" s="4">
        <v>50</v>
      </c>
    </row>
    <row r="40" spans="1:22" ht="15" customHeight="1" x14ac:dyDescent="0.25">
      <c r="A40" s="4" t="str">
        <f>IFERROR(INDEX(Players!$D$6:$D$69,MATCH(V40,Players!$A$6:$A$69,0)),"")</f>
        <v>Lauren C.</v>
      </c>
      <c r="B40" s="4">
        <f>IFERROR(INDEX(Picks_W1!$AF$6:$AF$69,MATCH($V40,Picks_W1!$AH$6:$AH$69,0)),0)</f>
        <v>12</v>
      </c>
      <c r="C40" s="4">
        <f>IFERROR(INDEX(Picks_W2!$AF$6:$AF$69,MATCH($V40,Picks_W2!$AH$6:$AH$69,0)),0)</f>
        <v>9</v>
      </c>
      <c r="D40" s="4">
        <f>IFERROR(INDEX(Picks_W3!$AF$6:$AF$69,MATCH($V40,Picks_W3!$AH$6:$AH$69,0)),0)</f>
        <v>0</v>
      </c>
      <c r="E40" s="4">
        <f>IFERROR(INDEX(Picks_W4!$AF$6:$AF$69,MATCH($V40,Picks_W4!$AH$6:$AH$69,0)),0)</f>
        <v>0</v>
      </c>
      <c r="F40" s="4">
        <f>IFERROR(INDEX(Picks_W5!$AF$6:$AF$69,MATCH($V40,Picks_W5!$AH$6:$AH$69,0)),0)</f>
        <v>0</v>
      </c>
      <c r="G40" s="4">
        <f>IFERROR(INDEX(Picks_W6!$AF$6:$AF$69,MATCH($V40,Picks_W6!$AH$6:$AH$69,0)),0)</f>
        <v>0</v>
      </c>
      <c r="H40" s="4">
        <f>IFERROR(INDEX(Picks_W7!$AF$6:$AF$69,MATCH($V40,Picks_W7!$AH$6:$AH$69,0)),0)</f>
        <v>0</v>
      </c>
      <c r="I40" s="4">
        <f>IFERROR(INDEX(Picks_W8!$AF$6:$AF$69,MATCH($V40,Picks_W8!$AH$6:$AH$69,0)),0)</f>
        <v>0</v>
      </c>
      <c r="J40" s="4">
        <f>IFERROR(INDEX(Picks_W9!$AF$6:$AF$69,MATCH($V40,Picks_W9!$AH$6:$AH$69,0)),0)</f>
        <v>0</v>
      </c>
      <c r="K40" s="4">
        <f>IFERROR(INDEX(Picks_W10!$AF$6:$AF$69,MATCH($V40,Picks_W10!$AH$6:$AH$69,0)),0)</f>
        <v>0</v>
      </c>
      <c r="L40" s="4">
        <f>IFERROR(INDEX(Picks_W11!$AF$6:$AF$69,MATCH($V40,Picks_W11!$AH$6:$AH$69,0)),0)</f>
        <v>0</v>
      </c>
      <c r="M40" s="4">
        <f>IFERROR(INDEX(Picks_W12!$AF$6:$AF$69,MATCH($V40,Picks_W12!$AH$6:$AH$69,0)),0)</f>
        <v>0</v>
      </c>
      <c r="N40" s="4">
        <f>IFERROR(INDEX(Picks_W13!$AF$6:$AF$69,MATCH($V40,Picks_W13!$AH$6:$AH$69,0)),0)</f>
        <v>0</v>
      </c>
      <c r="O40" s="4">
        <f t="shared" si="4"/>
        <v>21</v>
      </c>
      <c r="P40" s="4">
        <f>(IFERROR(INDEX(Picks_W1!$AF$6:$AF$69,MATCH($V40,Picks_W1!$AH$6:$AH$69,0)),"")=Results!$B$21)*(IFERROR(INDEX(Picks_W1!$AG$6:$AG$69,MATCH($V40,Picks_W1!$AH$6:$AH$69,0)),"")=Results!$C$21)+(IFERROR(INDEX(Picks_W2!$AF$6:$AF$69,MATCH($V40,Picks_W2!$AH$6:$AH$69,0)),"")=Results!$B$22)*(IFERROR(INDEX(Picks_W2!$AG$6:$AG$69,MATCH($V40,Picks_W2!$AH$6:$AH$69,0)),"")=Results!$C$22)+(IFERROR(INDEX(Picks_W3!$AF$6:$AF$69,MATCH($V40,Picks_W3!$AH$6:$AH$69,0)),"")=Results!$B$23)*(IFERROR(INDEX(Picks_W3!$AG$6:$AG$69,MATCH($V40,Picks_W3!$AH$6:$AH$69,0)),"")=Results!$C$23)+(IFERROR(INDEX(Picks_W4!$AF$6:$AF$69,MATCH($V40,Picks_W4!$AH$6:$AH$69,0)),"")=Results!$B$24)*(IFERROR(INDEX(Picks_W4!$AG$6:$AG$69,MATCH($V40,Picks_W4!$AH$6:$AH$69,0)),"")=Results!$C$24)+(IFERROR(INDEX(Picks_W5!$AF$6:$AF$69,MATCH($V40,Picks_W5!$AH$6:$AH$69,0)),"")=Results!$B$25)*(IFERROR(INDEX(Picks_W5!$AG$6:$AG$69,MATCH($V40,Picks_W5!$AH$6:$AH$69,0)),"")=Results!$C$25)+(IFERROR(INDEX(Picks_W6!$AF$6:$AF$69,MATCH($V40,Picks_W6!$AH$6:$AH$69,0)),"")=Results!$B$26)*(IFERROR(INDEX(Picks_W6!$AG$6:$AG$69,MATCH($V40,Picks_W6!$AH$6:$AH$69,0)),"")=Results!$C$26)+(IFERROR(INDEX(Picks_W7!$AF$6:$AF$69,MATCH($V40,Picks_W7!$AH$6:$AH$69,0)),"")=Results!$B$27)*(IFERROR(INDEX(Picks_W7!$AG$6:$AG$69,MATCH($V40,Picks_W7!$AH$6:$AH$69,0)),"")=Results!$C$27)+(IFERROR(INDEX(Picks_W8!$AF$6:$AF$69,MATCH($V40,Picks_W8!$AH$6:$AH$69,0)),"")=Results!$B$28)*(IFERROR(INDEX(Picks_W8!$AG$6:$AG$69,MATCH($V40,Picks_W8!$AH$6:$AH$69,0)),"")=Results!$C$28)+(IFERROR(INDEX(Picks_W9!$AF$6:$AF$69,MATCH($V40,Picks_W9!$AH$6:$AH$69,0)),"")=Results!$B$29)*(IFERROR(INDEX(Picks_W9!$AG$6:$AG$69,MATCH($V40,Picks_W9!$AH$6:$AH$69,0)),"")=Results!$C$29)+(IFERROR(INDEX(Picks_W10!$AF$6:$AF$69,MATCH($V40,Picks_W10!$AH$6:$AH$69,0)),"")=Results!$B$30)*(IFERROR(INDEX(Picks_W10!$AG$6:$AG$69,MATCH($V40,Picks_W10!$AH$6:$AH$69,0)),"")=Results!$C$30)+(IFERROR(INDEX(Picks_W11!$AF$6:$AF$69,MATCH($V40,Picks_W11!$AH$6:$AH$69,0)),"")=Results!$B$31)*(IFERROR(INDEX(Picks_W11!$AG$6:$AG$69,MATCH($V40,Picks_W11!$AH$6:$AH$69,0)),"")=Results!$C$31)+(IFERROR(INDEX(Picks_W12!$AF$6:$AF$69,MATCH($V40,Picks_W12!$AH$6:$AH$69,0)),"")=Results!$B$32)*(IFERROR(INDEX(Picks_W12!$AG$6:$AG$69,MATCH($V40,Picks_W12!$AH$6:$AH$69,0)),"")=Results!$C$32)+(IFERROR(INDEX(Picks_W13!$AF$6:$AF$69,MATCH($V40,Picks_W13!$AH$6:$AH$69,0)),"")=Results!$B$33)*(IFERROR(INDEX(Picks_W13!$AG$6:$AG$69,MATCH($V40,Picks_W13!$AH$6:$AH$69,0)),"")=Results!$C$33)</f>
        <v>0</v>
      </c>
      <c r="Q40" s="4">
        <f t="shared" si="5"/>
        <v>12</v>
      </c>
      <c r="R40" s="4">
        <f t="shared" si="6"/>
        <v>0</v>
      </c>
      <c r="S40" s="4">
        <f t="shared" si="7"/>
        <v>20.999995999999999</v>
      </c>
      <c r="T40" s="4">
        <f>IFERROR(INDEX(Picks_W1!$AV$6:$AV$69,MATCH($V40,Picks_W1!$AH$6:$AH$69,0)),0)+IFERROR(INDEX(Picks_W2!$AV$6:$AV$69,MATCH($V40,Picks_W2!$AH$6:$AH$69,0)),0)+IFERROR(INDEX(Picks_W3!$AV$6:$AV$69,MATCH($V40,Picks_W3!$AH$6:$AH$69,0)),0)+IFERROR(INDEX(Picks_W4!$AV$6:$AV$69,MATCH($V40,Picks_W4!$AH$6:$AH$69,0)),0)+IFERROR(INDEX(Picks_W5!$AV$6:$AV$69,MATCH($V40,Picks_W5!$AH$6:$AH$69,0)),0)+IFERROR(INDEX(Picks_W6!$AV$6:$AV$69,MATCH($V40,Picks_W6!$AH$6:$AH$69,0)),0)+IFERROR(INDEX(Picks_W7!$AV$6:$AV$69,MATCH($V40,Picks_W7!$AH$6:$AH$69,0)),0)+IFERROR(INDEX(Picks_W8!$AV$6:$AV$69,MATCH($V40,Picks_W8!$AH$6:$AH$69,0)),0)+IFERROR(INDEX(Picks_W9!$AV$6:$AV$69,MATCH($V40,Picks_W9!$AH$6:$AH$69,0)),0)+IFERROR(INDEX(Picks_W10!$AV$6:$AV$69,MATCH($V40,Picks_W10!$AH$6:$AH$69,0)),0)+IFERROR(INDEX(Picks_W11!$AV$6:$AV$69,MATCH($V40,Picks_W11!$AH$6:$AH$69,0)),0)+IFERROR(INDEX(Picks_W12!$AV$6:$AV$69,MATCH($V40,Picks_W12!$AH$6:$AH$69,0)),0)+IFERROR(INDEX(Picks_W13!$AV$6:$AV$69,MATCH($V40,Picks_W13!$AH$6:$AH$69,0)),0)</f>
        <v>0</v>
      </c>
      <c r="U40" s="17">
        <f>IF(Results!$B$35=0,0,T40/Results!$B$35)</f>
        <v>0</v>
      </c>
      <c r="V40" s="4">
        <v>19</v>
      </c>
    </row>
    <row r="41" spans="1:22" ht="15" customHeight="1" x14ac:dyDescent="0.25">
      <c r="A41" s="4" t="str">
        <f>IFERROR(INDEX(Players!$D$6:$D$69,MATCH(V41,Players!$A$6:$A$69,0)),"")</f>
        <v>Lauren P.</v>
      </c>
      <c r="B41" s="4">
        <f>IFERROR(INDEX(Picks_W1!$AF$6:$AF$69,MATCH($V41,Picks_W1!$AH$6:$AH$69,0)),0)</f>
        <v>12</v>
      </c>
      <c r="C41" s="4">
        <f>IFERROR(INDEX(Picks_W2!$AF$6:$AF$69,MATCH($V41,Picks_W2!$AH$6:$AH$69,0)),0)</f>
        <v>5</v>
      </c>
      <c r="D41" s="4">
        <f>IFERROR(INDEX(Picks_W3!$AF$6:$AF$69,MATCH($V41,Picks_W3!$AH$6:$AH$69,0)),0)</f>
        <v>0</v>
      </c>
      <c r="E41" s="4">
        <f>IFERROR(INDEX(Picks_W4!$AF$6:$AF$69,MATCH($V41,Picks_W4!$AH$6:$AH$69,0)),0)</f>
        <v>0</v>
      </c>
      <c r="F41" s="4">
        <f>IFERROR(INDEX(Picks_W5!$AF$6:$AF$69,MATCH($V41,Picks_W5!$AH$6:$AH$69,0)),0)</f>
        <v>0</v>
      </c>
      <c r="G41" s="4">
        <f>IFERROR(INDEX(Picks_W6!$AF$6:$AF$69,MATCH($V41,Picks_W6!$AH$6:$AH$69,0)),0)</f>
        <v>0</v>
      </c>
      <c r="H41" s="4">
        <f>IFERROR(INDEX(Picks_W7!$AF$6:$AF$69,MATCH($V41,Picks_W7!$AH$6:$AH$69,0)),0)</f>
        <v>0</v>
      </c>
      <c r="I41" s="4">
        <f>IFERROR(INDEX(Picks_W8!$AF$6:$AF$69,MATCH($V41,Picks_W8!$AH$6:$AH$69,0)),0)</f>
        <v>0</v>
      </c>
      <c r="J41" s="4">
        <f>IFERROR(INDEX(Picks_W9!$AF$6:$AF$69,MATCH($V41,Picks_W9!$AH$6:$AH$69,0)),0)</f>
        <v>0</v>
      </c>
      <c r="K41" s="4">
        <f>IFERROR(INDEX(Picks_W10!$AF$6:$AF$69,MATCH($V41,Picks_W10!$AH$6:$AH$69,0)),0)</f>
        <v>0</v>
      </c>
      <c r="L41" s="4">
        <f>IFERROR(INDEX(Picks_W11!$AF$6:$AF$69,MATCH($V41,Picks_W11!$AH$6:$AH$69,0)),0)</f>
        <v>0</v>
      </c>
      <c r="M41" s="4">
        <f>IFERROR(INDEX(Picks_W12!$AF$6:$AF$69,MATCH($V41,Picks_W12!$AH$6:$AH$69,0)),0)</f>
        <v>0</v>
      </c>
      <c r="N41" s="4">
        <f>IFERROR(INDEX(Picks_W13!$AF$6:$AF$69,MATCH($V41,Picks_W13!$AH$6:$AH$69,0)),0)</f>
        <v>0</v>
      </c>
      <c r="O41" s="4">
        <f t="shared" si="4"/>
        <v>17</v>
      </c>
      <c r="P41" s="4">
        <f>(IFERROR(INDEX(Picks_W1!$AF$6:$AF$69,MATCH($V41,Picks_W1!$AH$6:$AH$69,0)),"")=Results!$B$21)*(IFERROR(INDEX(Picks_W1!$AG$6:$AG$69,MATCH($V41,Picks_W1!$AH$6:$AH$69,0)),"")=Results!$C$21)+(IFERROR(INDEX(Picks_W2!$AF$6:$AF$69,MATCH($V41,Picks_W2!$AH$6:$AH$69,0)),"")=Results!$B$22)*(IFERROR(INDEX(Picks_W2!$AG$6:$AG$69,MATCH($V41,Picks_W2!$AH$6:$AH$69,0)),"")=Results!$C$22)+(IFERROR(INDEX(Picks_W3!$AF$6:$AF$69,MATCH($V41,Picks_W3!$AH$6:$AH$69,0)),"")=Results!$B$23)*(IFERROR(INDEX(Picks_W3!$AG$6:$AG$69,MATCH($V41,Picks_W3!$AH$6:$AH$69,0)),"")=Results!$C$23)+(IFERROR(INDEX(Picks_W4!$AF$6:$AF$69,MATCH($V41,Picks_W4!$AH$6:$AH$69,0)),"")=Results!$B$24)*(IFERROR(INDEX(Picks_W4!$AG$6:$AG$69,MATCH($V41,Picks_W4!$AH$6:$AH$69,0)),"")=Results!$C$24)+(IFERROR(INDEX(Picks_W5!$AF$6:$AF$69,MATCH($V41,Picks_W5!$AH$6:$AH$69,0)),"")=Results!$B$25)*(IFERROR(INDEX(Picks_W5!$AG$6:$AG$69,MATCH($V41,Picks_W5!$AH$6:$AH$69,0)),"")=Results!$C$25)+(IFERROR(INDEX(Picks_W6!$AF$6:$AF$69,MATCH($V41,Picks_W6!$AH$6:$AH$69,0)),"")=Results!$B$26)*(IFERROR(INDEX(Picks_W6!$AG$6:$AG$69,MATCH($V41,Picks_W6!$AH$6:$AH$69,0)),"")=Results!$C$26)+(IFERROR(INDEX(Picks_W7!$AF$6:$AF$69,MATCH($V41,Picks_W7!$AH$6:$AH$69,0)),"")=Results!$B$27)*(IFERROR(INDEX(Picks_W7!$AG$6:$AG$69,MATCH($V41,Picks_W7!$AH$6:$AH$69,0)),"")=Results!$C$27)+(IFERROR(INDEX(Picks_W8!$AF$6:$AF$69,MATCH($V41,Picks_W8!$AH$6:$AH$69,0)),"")=Results!$B$28)*(IFERROR(INDEX(Picks_W8!$AG$6:$AG$69,MATCH($V41,Picks_W8!$AH$6:$AH$69,0)),"")=Results!$C$28)+(IFERROR(INDEX(Picks_W9!$AF$6:$AF$69,MATCH($V41,Picks_W9!$AH$6:$AH$69,0)),"")=Results!$B$29)*(IFERROR(INDEX(Picks_W9!$AG$6:$AG$69,MATCH($V41,Picks_W9!$AH$6:$AH$69,0)),"")=Results!$C$29)+(IFERROR(INDEX(Picks_W10!$AF$6:$AF$69,MATCH($V41,Picks_W10!$AH$6:$AH$69,0)),"")=Results!$B$30)*(IFERROR(INDEX(Picks_W10!$AG$6:$AG$69,MATCH($V41,Picks_W10!$AH$6:$AH$69,0)),"")=Results!$C$30)+(IFERROR(INDEX(Picks_W11!$AF$6:$AF$69,MATCH($V41,Picks_W11!$AH$6:$AH$69,0)),"")=Results!$B$31)*(IFERROR(INDEX(Picks_W11!$AG$6:$AG$69,MATCH($V41,Picks_W11!$AH$6:$AH$69,0)),"")=Results!$C$31)+(IFERROR(INDEX(Picks_W12!$AF$6:$AF$69,MATCH($V41,Picks_W12!$AH$6:$AH$69,0)),"")=Results!$B$32)*(IFERROR(INDEX(Picks_W12!$AG$6:$AG$69,MATCH($V41,Picks_W12!$AH$6:$AH$69,0)),"")=Results!$C$32)+(IFERROR(INDEX(Picks_W13!$AF$6:$AF$69,MATCH($V41,Picks_W13!$AH$6:$AH$69,0)),"")=Results!$B$33)*(IFERROR(INDEX(Picks_W13!$AG$6:$AG$69,MATCH($V41,Picks_W13!$AH$6:$AH$69,0)),"")=Results!$C$33)</f>
        <v>0</v>
      </c>
      <c r="Q41" s="4">
        <f t="shared" si="5"/>
        <v>12</v>
      </c>
      <c r="R41" s="4">
        <f t="shared" si="6"/>
        <v>0</v>
      </c>
      <c r="S41" s="4">
        <f t="shared" si="7"/>
        <v>17.000120899999999</v>
      </c>
      <c r="T41" s="4">
        <f>IFERROR(INDEX(Picks_W1!$AV$6:$AV$69,MATCH($V41,Picks_W1!$AH$6:$AH$69,0)),0)+IFERROR(INDEX(Picks_W2!$AV$6:$AV$69,MATCH($V41,Picks_W2!$AH$6:$AH$69,0)),0)+IFERROR(INDEX(Picks_W3!$AV$6:$AV$69,MATCH($V41,Picks_W3!$AH$6:$AH$69,0)),0)+IFERROR(INDEX(Picks_W4!$AV$6:$AV$69,MATCH($V41,Picks_W4!$AH$6:$AH$69,0)),0)+IFERROR(INDEX(Picks_W5!$AV$6:$AV$69,MATCH($V41,Picks_W5!$AH$6:$AH$69,0)),0)+IFERROR(INDEX(Picks_W6!$AV$6:$AV$69,MATCH($V41,Picks_W6!$AH$6:$AH$69,0)),0)+IFERROR(INDEX(Picks_W7!$AV$6:$AV$69,MATCH($V41,Picks_W7!$AH$6:$AH$69,0)),0)+IFERROR(INDEX(Picks_W8!$AV$6:$AV$69,MATCH($V41,Picks_W8!$AH$6:$AH$69,0)),0)+IFERROR(INDEX(Picks_W9!$AV$6:$AV$69,MATCH($V41,Picks_W9!$AH$6:$AH$69,0)),0)+IFERROR(INDEX(Picks_W10!$AV$6:$AV$69,MATCH($V41,Picks_W10!$AH$6:$AH$69,0)),0)+IFERROR(INDEX(Picks_W11!$AV$6:$AV$69,MATCH($V41,Picks_W11!$AH$6:$AH$69,0)),0)+IFERROR(INDEX(Picks_W12!$AV$6:$AV$69,MATCH($V41,Picks_W12!$AH$6:$AH$69,0)),0)+IFERROR(INDEX(Picks_W13!$AV$6:$AV$69,MATCH($V41,Picks_W13!$AH$6:$AH$69,0)),0)</f>
        <v>1</v>
      </c>
      <c r="U41" s="17">
        <f>IF(Results!$B$35=0,0,T41/Results!$B$35)</f>
        <v>0.125</v>
      </c>
      <c r="V41" s="4">
        <v>20</v>
      </c>
    </row>
    <row r="42" spans="1:22" ht="15" customHeight="1" x14ac:dyDescent="0.25">
      <c r="A42" s="4" t="str">
        <f>IFERROR(INDEX(Players!$D$6:$D$69,MATCH(V42,Players!$A$6:$A$69,0)),"")</f>
        <v>Lucas D.</v>
      </c>
      <c r="B42" s="4">
        <f>IFERROR(INDEX(Picks_W1!$AF$6:$AF$69,MATCH($V42,Picks_W1!$AH$6:$AH$69,0)),0)</f>
        <v>14</v>
      </c>
      <c r="C42" s="4">
        <f>IFERROR(INDEX(Picks_W2!$AF$6:$AF$69,MATCH($V42,Picks_W2!$AH$6:$AH$69,0)),0)</f>
        <v>9</v>
      </c>
      <c r="D42" s="4">
        <f>IFERROR(INDEX(Picks_W3!$AF$6:$AF$69,MATCH($V42,Picks_W3!$AH$6:$AH$69,0)),0)</f>
        <v>0</v>
      </c>
      <c r="E42" s="4">
        <f>IFERROR(INDEX(Picks_W4!$AF$6:$AF$69,MATCH($V42,Picks_W4!$AH$6:$AH$69,0)),0)</f>
        <v>0</v>
      </c>
      <c r="F42" s="4">
        <f>IFERROR(INDEX(Picks_W5!$AF$6:$AF$69,MATCH($V42,Picks_W5!$AH$6:$AH$69,0)),0)</f>
        <v>0</v>
      </c>
      <c r="G42" s="4">
        <f>IFERROR(INDEX(Picks_W6!$AF$6:$AF$69,MATCH($V42,Picks_W6!$AH$6:$AH$69,0)),0)</f>
        <v>0</v>
      </c>
      <c r="H42" s="4">
        <f>IFERROR(INDEX(Picks_W7!$AF$6:$AF$69,MATCH($V42,Picks_W7!$AH$6:$AH$69,0)),0)</f>
        <v>0</v>
      </c>
      <c r="I42" s="4">
        <f>IFERROR(INDEX(Picks_W8!$AF$6:$AF$69,MATCH($V42,Picks_W8!$AH$6:$AH$69,0)),0)</f>
        <v>0</v>
      </c>
      <c r="J42" s="4">
        <f>IFERROR(INDEX(Picks_W9!$AF$6:$AF$69,MATCH($V42,Picks_W9!$AH$6:$AH$69,0)),0)</f>
        <v>0</v>
      </c>
      <c r="K42" s="4">
        <f>IFERROR(INDEX(Picks_W10!$AF$6:$AF$69,MATCH($V42,Picks_W10!$AH$6:$AH$69,0)),0)</f>
        <v>0</v>
      </c>
      <c r="L42" s="4">
        <f>IFERROR(INDEX(Picks_W11!$AF$6:$AF$69,MATCH($V42,Picks_W11!$AH$6:$AH$69,0)),0)</f>
        <v>0</v>
      </c>
      <c r="M42" s="4">
        <f>IFERROR(INDEX(Picks_W12!$AF$6:$AF$69,MATCH($V42,Picks_W12!$AH$6:$AH$69,0)),0)</f>
        <v>0</v>
      </c>
      <c r="N42" s="4">
        <f>IFERROR(INDEX(Picks_W13!$AF$6:$AF$69,MATCH($V42,Picks_W13!$AH$6:$AH$69,0)),0)</f>
        <v>0</v>
      </c>
      <c r="O42" s="4">
        <f t="shared" si="4"/>
        <v>23</v>
      </c>
      <c r="P42" s="4">
        <f>(IFERROR(INDEX(Picks_W1!$AF$6:$AF$69,MATCH($V42,Picks_W1!$AH$6:$AH$69,0)),"")=Results!$B$21)*(IFERROR(INDEX(Picks_W1!$AG$6:$AG$69,MATCH($V42,Picks_W1!$AH$6:$AH$69,0)),"")=Results!$C$21)+(IFERROR(INDEX(Picks_W2!$AF$6:$AF$69,MATCH($V42,Picks_W2!$AH$6:$AH$69,0)),"")=Results!$B$22)*(IFERROR(INDEX(Picks_W2!$AG$6:$AG$69,MATCH($V42,Picks_W2!$AH$6:$AH$69,0)),"")=Results!$C$22)+(IFERROR(INDEX(Picks_W3!$AF$6:$AF$69,MATCH($V42,Picks_W3!$AH$6:$AH$69,0)),"")=Results!$B$23)*(IFERROR(INDEX(Picks_W3!$AG$6:$AG$69,MATCH($V42,Picks_W3!$AH$6:$AH$69,0)),"")=Results!$C$23)+(IFERROR(INDEX(Picks_W4!$AF$6:$AF$69,MATCH($V42,Picks_W4!$AH$6:$AH$69,0)),"")=Results!$B$24)*(IFERROR(INDEX(Picks_W4!$AG$6:$AG$69,MATCH($V42,Picks_W4!$AH$6:$AH$69,0)),"")=Results!$C$24)+(IFERROR(INDEX(Picks_W5!$AF$6:$AF$69,MATCH($V42,Picks_W5!$AH$6:$AH$69,0)),"")=Results!$B$25)*(IFERROR(INDEX(Picks_W5!$AG$6:$AG$69,MATCH($V42,Picks_W5!$AH$6:$AH$69,0)),"")=Results!$C$25)+(IFERROR(INDEX(Picks_W6!$AF$6:$AF$69,MATCH($V42,Picks_W6!$AH$6:$AH$69,0)),"")=Results!$B$26)*(IFERROR(INDEX(Picks_W6!$AG$6:$AG$69,MATCH($V42,Picks_W6!$AH$6:$AH$69,0)),"")=Results!$C$26)+(IFERROR(INDEX(Picks_W7!$AF$6:$AF$69,MATCH($V42,Picks_W7!$AH$6:$AH$69,0)),"")=Results!$B$27)*(IFERROR(INDEX(Picks_W7!$AG$6:$AG$69,MATCH($V42,Picks_W7!$AH$6:$AH$69,0)),"")=Results!$C$27)+(IFERROR(INDEX(Picks_W8!$AF$6:$AF$69,MATCH($V42,Picks_W8!$AH$6:$AH$69,0)),"")=Results!$B$28)*(IFERROR(INDEX(Picks_W8!$AG$6:$AG$69,MATCH($V42,Picks_W8!$AH$6:$AH$69,0)),"")=Results!$C$28)+(IFERROR(INDEX(Picks_W9!$AF$6:$AF$69,MATCH($V42,Picks_W9!$AH$6:$AH$69,0)),"")=Results!$B$29)*(IFERROR(INDEX(Picks_W9!$AG$6:$AG$69,MATCH($V42,Picks_W9!$AH$6:$AH$69,0)),"")=Results!$C$29)+(IFERROR(INDEX(Picks_W10!$AF$6:$AF$69,MATCH($V42,Picks_W10!$AH$6:$AH$69,0)),"")=Results!$B$30)*(IFERROR(INDEX(Picks_W10!$AG$6:$AG$69,MATCH($V42,Picks_W10!$AH$6:$AH$69,0)),"")=Results!$C$30)+(IFERROR(INDEX(Picks_W11!$AF$6:$AF$69,MATCH($V42,Picks_W11!$AH$6:$AH$69,0)),"")=Results!$B$31)*(IFERROR(INDEX(Picks_W11!$AG$6:$AG$69,MATCH($V42,Picks_W11!$AH$6:$AH$69,0)),"")=Results!$C$31)+(IFERROR(INDEX(Picks_W12!$AF$6:$AF$69,MATCH($V42,Picks_W12!$AH$6:$AH$69,0)),"")=Results!$B$32)*(IFERROR(INDEX(Picks_W12!$AG$6:$AG$69,MATCH($V42,Picks_W12!$AH$6:$AH$69,0)),"")=Results!$C$32)+(IFERROR(INDEX(Picks_W13!$AF$6:$AF$69,MATCH($V42,Picks_W13!$AH$6:$AH$69,0)),"")=Results!$B$33)*(IFERROR(INDEX(Picks_W13!$AG$6:$AG$69,MATCH($V42,Picks_W13!$AH$6:$AH$69,0)),"")=Results!$C$33)</f>
        <v>0</v>
      </c>
      <c r="Q42" s="4">
        <f t="shared" si="5"/>
        <v>14</v>
      </c>
      <c r="R42" s="4">
        <f t="shared" si="6"/>
        <v>0</v>
      </c>
      <c r="S42" s="4">
        <f t="shared" si="7"/>
        <v>23.000370799999999</v>
      </c>
      <c r="T42" s="4">
        <f>IFERROR(INDEX(Picks_W1!$AV$6:$AV$69,MATCH($V42,Picks_W1!$AH$6:$AH$69,0)),0)+IFERROR(INDEX(Picks_W2!$AV$6:$AV$69,MATCH($V42,Picks_W2!$AH$6:$AH$69,0)),0)+IFERROR(INDEX(Picks_W3!$AV$6:$AV$69,MATCH($V42,Picks_W3!$AH$6:$AH$69,0)),0)+IFERROR(INDEX(Picks_W4!$AV$6:$AV$69,MATCH($V42,Picks_W4!$AH$6:$AH$69,0)),0)+IFERROR(INDEX(Picks_W5!$AV$6:$AV$69,MATCH($V42,Picks_W5!$AH$6:$AH$69,0)),0)+IFERROR(INDEX(Picks_W6!$AV$6:$AV$69,MATCH($V42,Picks_W6!$AH$6:$AH$69,0)),0)+IFERROR(INDEX(Picks_W7!$AV$6:$AV$69,MATCH($V42,Picks_W7!$AH$6:$AH$69,0)),0)+IFERROR(INDEX(Picks_W8!$AV$6:$AV$69,MATCH($V42,Picks_W8!$AH$6:$AH$69,0)),0)+IFERROR(INDEX(Picks_W9!$AV$6:$AV$69,MATCH($V42,Picks_W9!$AH$6:$AH$69,0)),0)+IFERROR(INDEX(Picks_W10!$AV$6:$AV$69,MATCH($V42,Picks_W10!$AH$6:$AH$69,0)),0)+IFERROR(INDEX(Picks_W11!$AV$6:$AV$69,MATCH($V42,Picks_W11!$AH$6:$AH$69,0)),0)+IFERROR(INDEX(Picks_W12!$AV$6:$AV$69,MATCH($V42,Picks_W12!$AH$6:$AH$69,0)),0)+IFERROR(INDEX(Picks_W13!$AV$6:$AV$69,MATCH($V42,Picks_W13!$AH$6:$AH$69,0)),0)</f>
        <v>3</v>
      </c>
      <c r="U42" s="17">
        <f>IF(Results!$B$35=0,0,T42/Results!$B$35)</f>
        <v>0.375</v>
      </c>
      <c r="V42" s="4">
        <v>21</v>
      </c>
    </row>
    <row r="43" spans="1:22" ht="15" customHeight="1" x14ac:dyDescent="0.25">
      <c r="A43" s="4" t="str">
        <f>IFERROR(INDEX(Players!$D$6:$D$69,MATCH(V43,Players!$A$6:$A$69,0)),"")</f>
        <v>Lynn P.</v>
      </c>
      <c r="B43" s="4">
        <f>IFERROR(INDEX(Picks_W1!$AF$6:$AF$69,MATCH($V43,Picks_W1!$AH$6:$AH$69,0)),0)</f>
        <v>13</v>
      </c>
      <c r="C43" s="4">
        <f>IFERROR(INDEX(Picks_W2!$AF$6:$AF$69,MATCH($V43,Picks_W2!$AH$6:$AH$69,0)),0)</f>
        <v>7</v>
      </c>
      <c r="D43" s="4">
        <f>IFERROR(INDEX(Picks_W3!$AF$6:$AF$69,MATCH($V43,Picks_W3!$AH$6:$AH$69,0)),0)</f>
        <v>0</v>
      </c>
      <c r="E43" s="4">
        <f>IFERROR(INDEX(Picks_W4!$AF$6:$AF$69,MATCH($V43,Picks_W4!$AH$6:$AH$69,0)),0)</f>
        <v>0</v>
      </c>
      <c r="F43" s="4">
        <f>IFERROR(INDEX(Picks_W5!$AF$6:$AF$69,MATCH($V43,Picks_W5!$AH$6:$AH$69,0)),0)</f>
        <v>0</v>
      </c>
      <c r="G43" s="4">
        <f>IFERROR(INDEX(Picks_W6!$AF$6:$AF$69,MATCH($V43,Picks_W6!$AH$6:$AH$69,0)),0)</f>
        <v>0</v>
      </c>
      <c r="H43" s="4">
        <f>IFERROR(INDEX(Picks_W7!$AF$6:$AF$69,MATCH($V43,Picks_W7!$AH$6:$AH$69,0)),0)</f>
        <v>0</v>
      </c>
      <c r="I43" s="4">
        <f>IFERROR(INDEX(Picks_W8!$AF$6:$AF$69,MATCH($V43,Picks_W8!$AH$6:$AH$69,0)),0)</f>
        <v>0</v>
      </c>
      <c r="J43" s="4">
        <f>IFERROR(INDEX(Picks_W9!$AF$6:$AF$69,MATCH($V43,Picks_W9!$AH$6:$AH$69,0)),0)</f>
        <v>0</v>
      </c>
      <c r="K43" s="4">
        <f>IFERROR(INDEX(Picks_W10!$AF$6:$AF$69,MATCH($V43,Picks_W10!$AH$6:$AH$69,0)),0)</f>
        <v>0</v>
      </c>
      <c r="L43" s="4">
        <f>IFERROR(INDEX(Picks_W11!$AF$6:$AF$69,MATCH($V43,Picks_W11!$AH$6:$AH$69,0)),0)</f>
        <v>0</v>
      </c>
      <c r="M43" s="4">
        <f>IFERROR(INDEX(Picks_W12!$AF$6:$AF$69,MATCH($V43,Picks_W12!$AH$6:$AH$69,0)),0)</f>
        <v>0</v>
      </c>
      <c r="N43" s="4">
        <f>IFERROR(INDEX(Picks_W13!$AF$6:$AF$69,MATCH($V43,Picks_W13!$AH$6:$AH$69,0)),0)</f>
        <v>0</v>
      </c>
      <c r="O43" s="4">
        <f t="shared" si="4"/>
        <v>20</v>
      </c>
      <c r="P43" s="4">
        <f>(IFERROR(INDEX(Picks_W1!$AF$6:$AF$69,MATCH($V43,Picks_W1!$AH$6:$AH$69,0)),"")=Results!$B$21)*(IFERROR(INDEX(Picks_W1!$AG$6:$AG$69,MATCH($V43,Picks_W1!$AH$6:$AH$69,0)),"")=Results!$C$21)+(IFERROR(INDEX(Picks_W2!$AF$6:$AF$69,MATCH($V43,Picks_W2!$AH$6:$AH$69,0)),"")=Results!$B$22)*(IFERROR(INDEX(Picks_W2!$AG$6:$AG$69,MATCH($V43,Picks_W2!$AH$6:$AH$69,0)),"")=Results!$C$22)+(IFERROR(INDEX(Picks_W3!$AF$6:$AF$69,MATCH($V43,Picks_W3!$AH$6:$AH$69,0)),"")=Results!$B$23)*(IFERROR(INDEX(Picks_W3!$AG$6:$AG$69,MATCH($V43,Picks_W3!$AH$6:$AH$69,0)),"")=Results!$C$23)+(IFERROR(INDEX(Picks_W4!$AF$6:$AF$69,MATCH($V43,Picks_W4!$AH$6:$AH$69,0)),"")=Results!$B$24)*(IFERROR(INDEX(Picks_W4!$AG$6:$AG$69,MATCH($V43,Picks_W4!$AH$6:$AH$69,0)),"")=Results!$C$24)+(IFERROR(INDEX(Picks_W5!$AF$6:$AF$69,MATCH($V43,Picks_W5!$AH$6:$AH$69,0)),"")=Results!$B$25)*(IFERROR(INDEX(Picks_W5!$AG$6:$AG$69,MATCH($V43,Picks_W5!$AH$6:$AH$69,0)),"")=Results!$C$25)+(IFERROR(INDEX(Picks_W6!$AF$6:$AF$69,MATCH($V43,Picks_W6!$AH$6:$AH$69,0)),"")=Results!$B$26)*(IFERROR(INDEX(Picks_W6!$AG$6:$AG$69,MATCH($V43,Picks_W6!$AH$6:$AH$69,0)),"")=Results!$C$26)+(IFERROR(INDEX(Picks_W7!$AF$6:$AF$69,MATCH($V43,Picks_W7!$AH$6:$AH$69,0)),"")=Results!$B$27)*(IFERROR(INDEX(Picks_W7!$AG$6:$AG$69,MATCH($V43,Picks_W7!$AH$6:$AH$69,0)),"")=Results!$C$27)+(IFERROR(INDEX(Picks_W8!$AF$6:$AF$69,MATCH($V43,Picks_W8!$AH$6:$AH$69,0)),"")=Results!$B$28)*(IFERROR(INDEX(Picks_W8!$AG$6:$AG$69,MATCH($V43,Picks_W8!$AH$6:$AH$69,0)),"")=Results!$C$28)+(IFERROR(INDEX(Picks_W9!$AF$6:$AF$69,MATCH($V43,Picks_W9!$AH$6:$AH$69,0)),"")=Results!$B$29)*(IFERROR(INDEX(Picks_W9!$AG$6:$AG$69,MATCH($V43,Picks_W9!$AH$6:$AH$69,0)),"")=Results!$C$29)+(IFERROR(INDEX(Picks_W10!$AF$6:$AF$69,MATCH($V43,Picks_W10!$AH$6:$AH$69,0)),"")=Results!$B$30)*(IFERROR(INDEX(Picks_W10!$AG$6:$AG$69,MATCH($V43,Picks_W10!$AH$6:$AH$69,0)),"")=Results!$C$30)+(IFERROR(INDEX(Picks_W11!$AF$6:$AF$69,MATCH($V43,Picks_W11!$AH$6:$AH$69,0)),"")=Results!$B$31)*(IFERROR(INDEX(Picks_W11!$AG$6:$AG$69,MATCH($V43,Picks_W11!$AH$6:$AH$69,0)),"")=Results!$C$31)+(IFERROR(INDEX(Picks_W12!$AF$6:$AF$69,MATCH($V43,Picks_W12!$AH$6:$AH$69,0)),"")=Results!$B$32)*(IFERROR(INDEX(Picks_W12!$AG$6:$AG$69,MATCH($V43,Picks_W12!$AH$6:$AH$69,0)),"")=Results!$C$32)+(IFERROR(INDEX(Picks_W13!$AF$6:$AF$69,MATCH($V43,Picks_W13!$AH$6:$AH$69,0)),"")=Results!$B$33)*(IFERROR(INDEX(Picks_W13!$AG$6:$AG$69,MATCH($V43,Picks_W13!$AH$6:$AH$69,0)),"")=Results!$C$33)</f>
        <v>0</v>
      </c>
      <c r="Q43" s="4">
        <f t="shared" si="5"/>
        <v>13</v>
      </c>
      <c r="R43" s="4">
        <f t="shared" si="6"/>
        <v>0</v>
      </c>
      <c r="S43" s="4">
        <f t="shared" si="7"/>
        <v>20.0001207</v>
      </c>
      <c r="T43" s="4">
        <f>IFERROR(INDEX(Picks_W1!$AV$6:$AV$69,MATCH($V43,Picks_W1!$AH$6:$AH$69,0)),0)+IFERROR(INDEX(Picks_W2!$AV$6:$AV$69,MATCH($V43,Picks_W2!$AH$6:$AH$69,0)),0)+IFERROR(INDEX(Picks_W3!$AV$6:$AV$69,MATCH($V43,Picks_W3!$AH$6:$AH$69,0)),0)+IFERROR(INDEX(Picks_W4!$AV$6:$AV$69,MATCH($V43,Picks_W4!$AH$6:$AH$69,0)),0)+IFERROR(INDEX(Picks_W5!$AV$6:$AV$69,MATCH($V43,Picks_W5!$AH$6:$AH$69,0)),0)+IFERROR(INDEX(Picks_W6!$AV$6:$AV$69,MATCH($V43,Picks_W6!$AH$6:$AH$69,0)),0)+IFERROR(INDEX(Picks_W7!$AV$6:$AV$69,MATCH($V43,Picks_W7!$AH$6:$AH$69,0)),0)+IFERROR(INDEX(Picks_W8!$AV$6:$AV$69,MATCH($V43,Picks_W8!$AH$6:$AH$69,0)),0)+IFERROR(INDEX(Picks_W9!$AV$6:$AV$69,MATCH($V43,Picks_W9!$AH$6:$AH$69,0)),0)+IFERROR(INDEX(Picks_W10!$AV$6:$AV$69,MATCH($V43,Picks_W10!$AH$6:$AH$69,0)),0)+IFERROR(INDEX(Picks_W11!$AV$6:$AV$69,MATCH($V43,Picks_W11!$AH$6:$AH$69,0)),0)+IFERROR(INDEX(Picks_W12!$AV$6:$AV$69,MATCH($V43,Picks_W12!$AH$6:$AH$69,0)),0)+IFERROR(INDEX(Picks_W13!$AV$6:$AV$69,MATCH($V43,Picks_W13!$AH$6:$AH$69,0)),0)</f>
        <v>1</v>
      </c>
      <c r="U43" s="17">
        <f>IF(Results!$B$35=0,0,T43/Results!$B$35)</f>
        <v>0.125</v>
      </c>
      <c r="V43" s="4">
        <v>22</v>
      </c>
    </row>
    <row r="44" spans="1:22" ht="15" customHeight="1" x14ac:dyDescent="0.25">
      <c r="A44" s="4" t="str">
        <f>IFERROR(INDEX(Players!$D$6:$D$69,MATCH(V44,Players!$A$6:$A$69,0)),"")</f>
        <v>Martin J.</v>
      </c>
      <c r="B44" s="4">
        <f>IFERROR(INDEX(Picks_W1!$AF$6:$AF$69,MATCH($V44,Picks_W1!$AH$6:$AH$69,0)),0)</f>
        <v>12</v>
      </c>
      <c r="C44" s="4">
        <f>IFERROR(INDEX(Picks_W2!$AF$6:$AF$69,MATCH($V44,Picks_W2!$AH$6:$AH$69,0)),0)</f>
        <v>10</v>
      </c>
      <c r="D44" s="4">
        <f>IFERROR(INDEX(Picks_W3!$AF$6:$AF$69,MATCH($V44,Picks_W3!$AH$6:$AH$69,0)),0)</f>
        <v>0</v>
      </c>
      <c r="E44" s="4">
        <f>IFERROR(INDEX(Picks_W4!$AF$6:$AF$69,MATCH($V44,Picks_W4!$AH$6:$AH$69,0)),0)</f>
        <v>0</v>
      </c>
      <c r="F44" s="4">
        <f>IFERROR(INDEX(Picks_W5!$AF$6:$AF$69,MATCH($V44,Picks_W5!$AH$6:$AH$69,0)),0)</f>
        <v>0</v>
      </c>
      <c r="G44" s="4">
        <f>IFERROR(INDEX(Picks_W6!$AF$6:$AF$69,MATCH($V44,Picks_W6!$AH$6:$AH$69,0)),0)</f>
        <v>0</v>
      </c>
      <c r="H44" s="4">
        <f>IFERROR(INDEX(Picks_W7!$AF$6:$AF$69,MATCH($V44,Picks_W7!$AH$6:$AH$69,0)),0)</f>
        <v>0</v>
      </c>
      <c r="I44" s="4">
        <f>IFERROR(INDEX(Picks_W8!$AF$6:$AF$69,MATCH($V44,Picks_W8!$AH$6:$AH$69,0)),0)</f>
        <v>0</v>
      </c>
      <c r="J44" s="4">
        <f>IFERROR(INDEX(Picks_W9!$AF$6:$AF$69,MATCH($V44,Picks_W9!$AH$6:$AH$69,0)),0)</f>
        <v>0</v>
      </c>
      <c r="K44" s="4">
        <f>IFERROR(INDEX(Picks_W10!$AF$6:$AF$69,MATCH($V44,Picks_W10!$AH$6:$AH$69,0)),0)</f>
        <v>0</v>
      </c>
      <c r="L44" s="4">
        <f>IFERROR(INDEX(Picks_W11!$AF$6:$AF$69,MATCH($V44,Picks_W11!$AH$6:$AH$69,0)),0)</f>
        <v>0</v>
      </c>
      <c r="M44" s="4">
        <f>IFERROR(INDEX(Picks_W12!$AF$6:$AF$69,MATCH($V44,Picks_W12!$AH$6:$AH$69,0)),0)</f>
        <v>0</v>
      </c>
      <c r="N44" s="4">
        <f>IFERROR(INDEX(Picks_W13!$AF$6:$AF$69,MATCH($V44,Picks_W13!$AH$6:$AH$69,0)),0)</f>
        <v>0</v>
      </c>
      <c r="O44" s="4">
        <f t="shared" si="4"/>
        <v>22</v>
      </c>
      <c r="P44" s="4">
        <f>(IFERROR(INDEX(Picks_W1!$AF$6:$AF$69,MATCH($V44,Picks_W1!$AH$6:$AH$69,0)),"")=Results!$B$21)*(IFERROR(INDEX(Picks_W1!$AG$6:$AG$69,MATCH($V44,Picks_W1!$AH$6:$AH$69,0)),"")=Results!$C$21)+(IFERROR(INDEX(Picks_W2!$AF$6:$AF$69,MATCH($V44,Picks_W2!$AH$6:$AH$69,0)),"")=Results!$B$22)*(IFERROR(INDEX(Picks_W2!$AG$6:$AG$69,MATCH($V44,Picks_W2!$AH$6:$AH$69,0)),"")=Results!$C$22)+(IFERROR(INDEX(Picks_W3!$AF$6:$AF$69,MATCH($V44,Picks_W3!$AH$6:$AH$69,0)),"")=Results!$B$23)*(IFERROR(INDEX(Picks_W3!$AG$6:$AG$69,MATCH($V44,Picks_W3!$AH$6:$AH$69,0)),"")=Results!$C$23)+(IFERROR(INDEX(Picks_W4!$AF$6:$AF$69,MATCH($V44,Picks_W4!$AH$6:$AH$69,0)),"")=Results!$B$24)*(IFERROR(INDEX(Picks_W4!$AG$6:$AG$69,MATCH($V44,Picks_W4!$AH$6:$AH$69,0)),"")=Results!$C$24)+(IFERROR(INDEX(Picks_W5!$AF$6:$AF$69,MATCH($V44,Picks_W5!$AH$6:$AH$69,0)),"")=Results!$B$25)*(IFERROR(INDEX(Picks_W5!$AG$6:$AG$69,MATCH($V44,Picks_W5!$AH$6:$AH$69,0)),"")=Results!$C$25)+(IFERROR(INDEX(Picks_W6!$AF$6:$AF$69,MATCH($V44,Picks_W6!$AH$6:$AH$69,0)),"")=Results!$B$26)*(IFERROR(INDEX(Picks_W6!$AG$6:$AG$69,MATCH($V44,Picks_W6!$AH$6:$AH$69,0)),"")=Results!$C$26)+(IFERROR(INDEX(Picks_W7!$AF$6:$AF$69,MATCH($V44,Picks_W7!$AH$6:$AH$69,0)),"")=Results!$B$27)*(IFERROR(INDEX(Picks_W7!$AG$6:$AG$69,MATCH($V44,Picks_W7!$AH$6:$AH$69,0)),"")=Results!$C$27)+(IFERROR(INDEX(Picks_W8!$AF$6:$AF$69,MATCH($V44,Picks_W8!$AH$6:$AH$69,0)),"")=Results!$B$28)*(IFERROR(INDEX(Picks_W8!$AG$6:$AG$69,MATCH($V44,Picks_W8!$AH$6:$AH$69,0)),"")=Results!$C$28)+(IFERROR(INDEX(Picks_W9!$AF$6:$AF$69,MATCH($V44,Picks_W9!$AH$6:$AH$69,0)),"")=Results!$B$29)*(IFERROR(INDEX(Picks_W9!$AG$6:$AG$69,MATCH($V44,Picks_W9!$AH$6:$AH$69,0)),"")=Results!$C$29)+(IFERROR(INDEX(Picks_W10!$AF$6:$AF$69,MATCH($V44,Picks_W10!$AH$6:$AH$69,0)),"")=Results!$B$30)*(IFERROR(INDEX(Picks_W10!$AG$6:$AG$69,MATCH($V44,Picks_W10!$AH$6:$AH$69,0)),"")=Results!$C$30)+(IFERROR(INDEX(Picks_W11!$AF$6:$AF$69,MATCH($V44,Picks_W11!$AH$6:$AH$69,0)),"")=Results!$B$31)*(IFERROR(INDEX(Picks_W11!$AG$6:$AG$69,MATCH($V44,Picks_W11!$AH$6:$AH$69,0)),"")=Results!$C$31)+(IFERROR(INDEX(Picks_W12!$AF$6:$AF$69,MATCH($V44,Picks_W12!$AH$6:$AH$69,0)),"")=Results!$B$32)*(IFERROR(INDEX(Picks_W12!$AG$6:$AG$69,MATCH($V44,Picks_W12!$AH$6:$AH$69,0)),"")=Results!$C$32)+(IFERROR(INDEX(Picks_W13!$AF$6:$AF$69,MATCH($V44,Picks_W13!$AH$6:$AH$69,0)),"")=Results!$B$33)*(IFERROR(INDEX(Picks_W13!$AG$6:$AG$69,MATCH($V44,Picks_W13!$AH$6:$AH$69,0)),"")=Results!$C$33)</f>
        <v>0</v>
      </c>
      <c r="Q44" s="4">
        <f t="shared" si="5"/>
        <v>12</v>
      </c>
      <c r="R44" s="4">
        <f t="shared" si="6"/>
        <v>0</v>
      </c>
      <c r="S44" s="4">
        <f t="shared" si="7"/>
        <v>22.000120599999999</v>
      </c>
      <c r="T44" s="4">
        <f>IFERROR(INDEX(Picks_W1!$AV$6:$AV$69,MATCH($V44,Picks_W1!$AH$6:$AH$69,0)),0)+IFERROR(INDEX(Picks_W2!$AV$6:$AV$69,MATCH($V44,Picks_W2!$AH$6:$AH$69,0)),0)+IFERROR(INDEX(Picks_W3!$AV$6:$AV$69,MATCH($V44,Picks_W3!$AH$6:$AH$69,0)),0)+IFERROR(INDEX(Picks_W4!$AV$6:$AV$69,MATCH($V44,Picks_W4!$AH$6:$AH$69,0)),0)+IFERROR(INDEX(Picks_W5!$AV$6:$AV$69,MATCH($V44,Picks_W5!$AH$6:$AH$69,0)),0)+IFERROR(INDEX(Picks_W6!$AV$6:$AV$69,MATCH($V44,Picks_W6!$AH$6:$AH$69,0)),0)+IFERROR(INDEX(Picks_W7!$AV$6:$AV$69,MATCH($V44,Picks_W7!$AH$6:$AH$69,0)),0)+IFERROR(INDEX(Picks_W8!$AV$6:$AV$69,MATCH($V44,Picks_W8!$AH$6:$AH$69,0)),0)+IFERROR(INDEX(Picks_W9!$AV$6:$AV$69,MATCH($V44,Picks_W9!$AH$6:$AH$69,0)),0)+IFERROR(INDEX(Picks_W10!$AV$6:$AV$69,MATCH($V44,Picks_W10!$AH$6:$AH$69,0)),0)+IFERROR(INDEX(Picks_W11!$AV$6:$AV$69,MATCH($V44,Picks_W11!$AH$6:$AH$69,0)),0)+IFERROR(INDEX(Picks_W12!$AV$6:$AV$69,MATCH($V44,Picks_W12!$AH$6:$AH$69,0)),0)+IFERROR(INDEX(Picks_W13!$AV$6:$AV$69,MATCH($V44,Picks_W13!$AH$6:$AH$69,0)),0)</f>
        <v>1</v>
      </c>
      <c r="U44" s="17">
        <f>IF(Results!$B$35=0,0,T44/Results!$B$35)</f>
        <v>0.125</v>
      </c>
      <c r="V44" s="4">
        <v>23</v>
      </c>
    </row>
    <row r="45" spans="1:22" ht="15" customHeight="1" x14ac:dyDescent="0.25">
      <c r="A45" s="4" t="str">
        <f>IFERROR(INDEX(Players!$D$6:$D$69,MATCH(V45,Players!$A$6:$A$69,0)),"")</f>
        <v>Matt B.</v>
      </c>
      <c r="B45" s="4">
        <f>IFERROR(INDEX(Picks_W1!$AF$6:$AF$69,MATCH($V45,Picks_W1!$AH$6:$AH$69,0)),0)</f>
        <v>13</v>
      </c>
      <c r="C45" s="4">
        <f>IFERROR(INDEX(Picks_W2!$AF$6:$AF$69,MATCH($V45,Picks_W2!$AH$6:$AH$69,0)),0)</f>
        <v>9</v>
      </c>
      <c r="D45" s="4">
        <f>IFERROR(INDEX(Picks_W3!$AF$6:$AF$69,MATCH($V45,Picks_W3!$AH$6:$AH$69,0)),0)</f>
        <v>0</v>
      </c>
      <c r="E45" s="4">
        <f>IFERROR(INDEX(Picks_W4!$AF$6:$AF$69,MATCH($V45,Picks_W4!$AH$6:$AH$69,0)),0)</f>
        <v>0</v>
      </c>
      <c r="F45" s="4">
        <f>IFERROR(INDEX(Picks_W5!$AF$6:$AF$69,MATCH($V45,Picks_W5!$AH$6:$AH$69,0)),0)</f>
        <v>0</v>
      </c>
      <c r="G45" s="4">
        <f>IFERROR(INDEX(Picks_W6!$AF$6:$AF$69,MATCH($V45,Picks_W6!$AH$6:$AH$69,0)),0)</f>
        <v>0</v>
      </c>
      <c r="H45" s="4">
        <f>IFERROR(INDEX(Picks_W7!$AF$6:$AF$69,MATCH($V45,Picks_W7!$AH$6:$AH$69,0)),0)</f>
        <v>0</v>
      </c>
      <c r="I45" s="4">
        <f>IFERROR(INDEX(Picks_W8!$AF$6:$AF$69,MATCH($V45,Picks_W8!$AH$6:$AH$69,0)),0)</f>
        <v>0</v>
      </c>
      <c r="J45" s="4">
        <f>IFERROR(INDEX(Picks_W9!$AF$6:$AF$69,MATCH($V45,Picks_W9!$AH$6:$AH$69,0)),0)</f>
        <v>0</v>
      </c>
      <c r="K45" s="4">
        <f>IFERROR(INDEX(Picks_W10!$AF$6:$AF$69,MATCH($V45,Picks_W10!$AH$6:$AH$69,0)),0)</f>
        <v>0</v>
      </c>
      <c r="L45" s="4">
        <f>IFERROR(INDEX(Picks_W11!$AF$6:$AF$69,MATCH($V45,Picks_W11!$AH$6:$AH$69,0)),0)</f>
        <v>0</v>
      </c>
      <c r="M45" s="4">
        <f>IFERROR(INDEX(Picks_W12!$AF$6:$AF$69,MATCH($V45,Picks_W12!$AH$6:$AH$69,0)),0)</f>
        <v>0</v>
      </c>
      <c r="N45" s="4">
        <f>IFERROR(INDEX(Picks_W13!$AF$6:$AF$69,MATCH($V45,Picks_W13!$AH$6:$AH$69,0)),0)</f>
        <v>0</v>
      </c>
      <c r="O45" s="4">
        <f t="shared" si="4"/>
        <v>22</v>
      </c>
      <c r="P45" s="4">
        <f>(IFERROR(INDEX(Picks_W1!$AF$6:$AF$69,MATCH($V45,Picks_W1!$AH$6:$AH$69,0)),"")=Results!$B$21)*(IFERROR(INDEX(Picks_W1!$AG$6:$AG$69,MATCH($V45,Picks_W1!$AH$6:$AH$69,0)),"")=Results!$C$21)+(IFERROR(INDEX(Picks_W2!$AF$6:$AF$69,MATCH($V45,Picks_W2!$AH$6:$AH$69,0)),"")=Results!$B$22)*(IFERROR(INDEX(Picks_W2!$AG$6:$AG$69,MATCH($V45,Picks_W2!$AH$6:$AH$69,0)),"")=Results!$C$22)+(IFERROR(INDEX(Picks_W3!$AF$6:$AF$69,MATCH($V45,Picks_W3!$AH$6:$AH$69,0)),"")=Results!$B$23)*(IFERROR(INDEX(Picks_W3!$AG$6:$AG$69,MATCH($V45,Picks_W3!$AH$6:$AH$69,0)),"")=Results!$C$23)+(IFERROR(INDEX(Picks_W4!$AF$6:$AF$69,MATCH($V45,Picks_W4!$AH$6:$AH$69,0)),"")=Results!$B$24)*(IFERROR(INDEX(Picks_W4!$AG$6:$AG$69,MATCH($V45,Picks_W4!$AH$6:$AH$69,0)),"")=Results!$C$24)+(IFERROR(INDEX(Picks_W5!$AF$6:$AF$69,MATCH($V45,Picks_W5!$AH$6:$AH$69,0)),"")=Results!$B$25)*(IFERROR(INDEX(Picks_W5!$AG$6:$AG$69,MATCH($V45,Picks_W5!$AH$6:$AH$69,0)),"")=Results!$C$25)+(IFERROR(INDEX(Picks_W6!$AF$6:$AF$69,MATCH($V45,Picks_W6!$AH$6:$AH$69,0)),"")=Results!$B$26)*(IFERROR(INDEX(Picks_W6!$AG$6:$AG$69,MATCH($V45,Picks_W6!$AH$6:$AH$69,0)),"")=Results!$C$26)+(IFERROR(INDEX(Picks_W7!$AF$6:$AF$69,MATCH($V45,Picks_W7!$AH$6:$AH$69,0)),"")=Results!$B$27)*(IFERROR(INDEX(Picks_W7!$AG$6:$AG$69,MATCH($V45,Picks_W7!$AH$6:$AH$69,0)),"")=Results!$C$27)+(IFERROR(INDEX(Picks_W8!$AF$6:$AF$69,MATCH($V45,Picks_W8!$AH$6:$AH$69,0)),"")=Results!$B$28)*(IFERROR(INDEX(Picks_W8!$AG$6:$AG$69,MATCH($V45,Picks_W8!$AH$6:$AH$69,0)),"")=Results!$C$28)+(IFERROR(INDEX(Picks_W9!$AF$6:$AF$69,MATCH($V45,Picks_W9!$AH$6:$AH$69,0)),"")=Results!$B$29)*(IFERROR(INDEX(Picks_W9!$AG$6:$AG$69,MATCH($V45,Picks_W9!$AH$6:$AH$69,0)),"")=Results!$C$29)+(IFERROR(INDEX(Picks_W10!$AF$6:$AF$69,MATCH($V45,Picks_W10!$AH$6:$AH$69,0)),"")=Results!$B$30)*(IFERROR(INDEX(Picks_W10!$AG$6:$AG$69,MATCH($V45,Picks_W10!$AH$6:$AH$69,0)),"")=Results!$C$30)+(IFERROR(INDEX(Picks_W11!$AF$6:$AF$69,MATCH($V45,Picks_W11!$AH$6:$AH$69,0)),"")=Results!$B$31)*(IFERROR(INDEX(Picks_W11!$AG$6:$AG$69,MATCH($V45,Picks_W11!$AH$6:$AH$69,0)),"")=Results!$C$31)+(IFERROR(INDEX(Picks_W12!$AF$6:$AF$69,MATCH($V45,Picks_W12!$AH$6:$AH$69,0)),"")=Results!$B$32)*(IFERROR(INDEX(Picks_W12!$AG$6:$AG$69,MATCH($V45,Picks_W12!$AH$6:$AH$69,0)),"")=Results!$C$32)+(IFERROR(INDEX(Picks_W13!$AF$6:$AF$69,MATCH($V45,Picks_W13!$AH$6:$AH$69,0)),"")=Results!$B$33)*(IFERROR(INDEX(Picks_W13!$AG$6:$AG$69,MATCH($V45,Picks_W13!$AH$6:$AH$69,0)),"")=Results!$C$33)</f>
        <v>0</v>
      </c>
      <c r="Q45" s="4">
        <f t="shared" si="5"/>
        <v>13</v>
      </c>
      <c r="R45" s="4">
        <f t="shared" si="6"/>
        <v>0</v>
      </c>
      <c r="S45" s="4">
        <f t="shared" si="7"/>
        <v>22.000120500000001</v>
      </c>
      <c r="T45" s="4">
        <f>IFERROR(INDEX(Picks_W1!$AV$6:$AV$69,MATCH($V45,Picks_W1!$AH$6:$AH$69,0)),0)+IFERROR(INDEX(Picks_W2!$AV$6:$AV$69,MATCH($V45,Picks_W2!$AH$6:$AH$69,0)),0)+IFERROR(INDEX(Picks_W3!$AV$6:$AV$69,MATCH($V45,Picks_W3!$AH$6:$AH$69,0)),0)+IFERROR(INDEX(Picks_W4!$AV$6:$AV$69,MATCH($V45,Picks_W4!$AH$6:$AH$69,0)),0)+IFERROR(INDEX(Picks_W5!$AV$6:$AV$69,MATCH($V45,Picks_W5!$AH$6:$AH$69,0)),0)+IFERROR(INDEX(Picks_W6!$AV$6:$AV$69,MATCH($V45,Picks_W6!$AH$6:$AH$69,0)),0)+IFERROR(INDEX(Picks_W7!$AV$6:$AV$69,MATCH($V45,Picks_W7!$AH$6:$AH$69,0)),0)+IFERROR(INDEX(Picks_W8!$AV$6:$AV$69,MATCH($V45,Picks_W8!$AH$6:$AH$69,0)),0)+IFERROR(INDEX(Picks_W9!$AV$6:$AV$69,MATCH($V45,Picks_W9!$AH$6:$AH$69,0)),0)+IFERROR(INDEX(Picks_W10!$AV$6:$AV$69,MATCH($V45,Picks_W10!$AH$6:$AH$69,0)),0)+IFERROR(INDEX(Picks_W11!$AV$6:$AV$69,MATCH($V45,Picks_W11!$AH$6:$AH$69,0)),0)+IFERROR(INDEX(Picks_W12!$AV$6:$AV$69,MATCH($V45,Picks_W12!$AH$6:$AH$69,0)),0)+IFERROR(INDEX(Picks_W13!$AV$6:$AV$69,MATCH($V45,Picks_W13!$AH$6:$AH$69,0)),0)</f>
        <v>1</v>
      </c>
      <c r="U45" s="17">
        <f>IF(Results!$B$35=0,0,T45/Results!$B$35)</f>
        <v>0.125</v>
      </c>
      <c r="V45" s="4">
        <v>24</v>
      </c>
    </row>
    <row r="46" spans="1:22" ht="15" customHeight="1" x14ac:dyDescent="0.25">
      <c r="A46" s="4" t="str">
        <f>IFERROR(INDEX(Players!$D$6:$D$69,MATCH(V46,Players!$A$6:$A$69,0)),"")</f>
        <v>Matt C.</v>
      </c>
      <c r="B46" s="4">
        <f>IFERROR(INDEX(Picks_W1!$AF$6:$AF$69,MATCH($V46,Picks_W1!$AH$6:$AH$69,0)),0)</f>
        <v>11</v>
      </c>
      <c r="C46" s="4">
        <f>IFERROR(INDEX(Picks_W2!$AF$6:$AF$69,MATCH($V46,Picks_W2!$AH$6:$AH$69,0)),0)</f>
        <v>8</v>
      </c>
      <c r="D46" s="4">
        <f>IFERROR(INDEX(Picks_W3!$AF$6:$AF$69,MATCH($V46,Picks_W3!$AH$6:$AH$69,0)),0)</f>
        <v>0</v>
      </c>
      <c r="E46" s="4">
        <f>IFERROR(INDEX(Picks_W4!$AF$6:$AF$69,MATCH($V46,Picks_W4!$AH$6:$AH$69,0)),0)</f>
        <v>0</v>
      </c>
      <c r="F46" s="4">
        <f>IFERROR(INDEX(Picks_W5!$AF$6:$AF$69,MATCH($V46,Picks_W5!$AH$6:$AH$69,0)),0)</f>
        <v>0</v>
      </c>
      <c r="G46" s="4">
        <f>IFERROR(INDEX(Picks_W6!$AF$6:$AF$69,MATCH($V46,Picks_W6!$AH$6:$AH$69,0)),0)</f>
        <v>0</v>
      </c>
      <c r="H46" s="4">
        <f>IFERROR(INDEX(Picks_W7!$AF$6:$AF$69,MATCH($V46,Picks_W7!$AH$6:$AH$69,0)),0)</f>
        <v>0</v>
      </c>
      <c r="I46" s="4">
        <f>IFERROR(INDEX(Picks_W8!$AF$6:$AF$69,MATCH($V46,Picks_W8!$AH$6:$AH$69,0)),0)</f>
        <v>0</v>
      </c>
      <c r="J46" s="4">
        <f>IFERROR(INDEX(Picks_W9!$AF$6:$AF$69,MATCH($V46,Picks_W9!$AH$6:$AH$69,0)),0)</f>
        <v>0</v>
      </c>
      <c r="K46" s="4">
        <f>IFERROR(INDEX(Picks_W10!$AF$6:$AF$69,MATCH($V46,Picks_W10!$AH$6:$AH$69,0)),0)</f>
        <v>0</v>
      </c>
      <c r="L46" s="4">
        <f>IFERROR(INDEX(Picks_W11!$AF$6:$AF$69,MATCH($V46,Picks_W11!$AH$6:$AH$69,0)),0)</f>
        <v>0</v>
      </c>
      <c r="M46" s="4">
        <f>IFERROR(INDEX(Picks_W12!$AF$6:$AF$69,MATCH($V46,Picks_W12!$AH$6:$AH$69,0)),0)</f>
        <v>0</v>
      </c>
      <c r="N46" s="4">
        <f>IFERROR(INDEX(Picks_W13!$AF$6:$AF$69,MATCH($V46,Picks_W13!$AH$6:$AH$69,0)),0)</f>
        <v>0</v>
      </c>
      <c r="O46" s="4">
        <f t="shared" si="4"/>
        <v>19</v>
      </c>
      <c r="P46" s="4">
        <f>(IFERROR(INDEX(Picks_W1!$AF$6:$AF$69,MATCH($V46,Picks_W1!$AH$6:$AH$69,0)),"")=Results!$B$21)*(IFERROR(INDEX(Picks_W1!$AG$6:$AG$69,MATCH($V46,Picks_W1!$AH$6:$AH$69,0)),"")=Results!$C$21)+(IFERROR(INDEX(Picks_W2!$AF$6:$AF$69,MATCH($V46,Picks_W2!$AH$6:$AH$69,0)),"")=Results!$B$22)*(IFERROR(INDEX(Picks_W2!$AG$6:$AG$69,MATCH($V46,Picks_W2!$AH$6:$AH$69,0)),"")=Results!$C$22)+(IFERROR(INDEX(Picks_W3!$AF$6:$AF$69,MATCH($V46,Picks_W3!$AH$6:$AH$69,0)),"")=Results!$B$23)*(IFERROR(INDEX(Picks_W3!$AG$6:$AG$69,MATCH($V46,Picks_W3!$AH$6:$AH$69,0)),"")=Results!$C$23)+(IFERROR(INDEX(Picks_W4!$AF$6:$AF$69,MATCH($V46,Picks_W4!$AH$6:$AH$69,0)),"")=Results!$B$24)*(IFERROR(INDEX(Picks_W4!$AG$6:$AG$69,MATCH($V46,Picks_W4!$AH$6:$AH$69,0)),"")=Results!$C$24)+(IFERROR(INDEX(Picks_W5!$AF$6:$AF$69,MATCH($V46,Picks_W5!$AH$6:$AH$69,0)),"")=Results!$B$25)*(IFERROR(INDEX(Picks_W5!$AG$6:$AG$69,MATCH($V46,Picks_W5!$AH$6:$AH$69,0)),"")=Results!$C$25)+(IFERROR(INDEX(Picks_W6!$AF$6:$AF$69,MATCH($V46,Picks_W6!$AH$6:$AH$69,0)),"")=Results!$B$26)*(IFERROR(INDEX(Picks_W6!$AG$6:$AG$69,MATCH($V46,Picks_W6!$AH$6:$AH$69,0)),"")=Results!$C$26)+(IFERROR(INDEX(Picks_W7!$AF$6:$AF$69,MATCH($V46,Picks_W7!$AH$6:$AH$69,0)),"")=Results!$B$27)*(IFERROR(INDEX(Picks_W7!$AG$6:$AG$69,MATCH($V46,Picks_W7!$AH$6:$AH$69,0)),"")=Results!$C$27)+(IFERROR(INDEX(Picks_W8!$AF$6:$AF$69,MATCH($V46,Picks_W8!$AH$6:$AH$69,0)),"")=Results!$B$28)*(IFERROR(INDEX(Picks_W8!$AG$6:$AG$69,MATCH($V46,Picks_W8!$AH$6:$AH$69,0)),"")=Results!$C$28)+(IFERROR(INDEX(Picks_W9!$AF$6:$AF$69,MATCH($V46,Picks_W9!$AH$6:$AH$69,0)),"")=Results!$B$29)*(IFERROR(INDEX(Picks_W9!$AG$6:$AG$69,MATCH($V46,Picks_W9!$AH$6:$AH$69,0)),"")=Results!$C$29)+(IFERROR(INDEX(Picks_W10!$AF$6:$AF$69,MATCH($V46,Picks_W10!$AH$6:$AH$69,0)),"")=Results!$B$30)*(IFERROR(INDEX(Picks_W10!$AG$6:$AG$69,MATCH($V46,Picks_W10!$AH$6:$AH$69,0)),"")=Results!$C$30)+(IFERROR(INDEX(Picks_W11!$AF$6:$AF$69,MATCH($V46,Picks_W11!$AH$6:$AH$69,0)),"")=Results!$B$31)*(IFERROR(INDEX(Picks_W11!$AG$6:$AG$69,MATCH($V46,Picks_W11!$AH$6:$AH$69,0)),"")=Results!$C$31)+(IFERROR(INDEX(Picks_W12!$AF$6:$AF$69,MATCH($V46,Picks_W12!$AH$6:$AH$69,0)),"")=Results!$B$32)*(IFERROR(INDEX(Picks_W12!$AG$6:$AG$69,MATCH($V46,Picks_W12!$AH$6:$AH$69,0)),"")=Results!$C$32)+(IFERROR(INDEX(Picks_W13!$AF$6:$AF$69,MATCH($V46,Picks_W13!$AH$6:$AH$69,0)),"")=Results!$B$33)*(IFERROR(INDEX(Picks_W13!$AG$6:$AG$69,MATCH($V46,Picks_W13!$AH$6:$AH$69,0)),"")=Results!$C$33)</f>
        <v>0</v>
      </c>
      <c r="Q46" s="4">
        <f t="shared" si="5"/>
        <v>11</v>
      </c>
      <c r="R46" s="4">
        <f t="shared" si="6"/>
        <v>0</v>
      </c>
      <c r="S46" s="4">
        <f t="shared" si="7"/>
        <v>19.000245400000001</v>
      </c>
      <c r="T46" s="4">
        <f>IFERROR(INDEX(Picks_W1!$AV$6:$AV$69,MATCH($V46,Picks_W1!$AH$6:$AH$69,0)),0)+IFERROR(INDEX(Picks_W2!$AV$6:$AV$69,MATCH($V46,Picks_W2!$AH$6:$AH$69,0)),0)+IFERROR(INDEX(Picks_W3!$AV$6:$AV$69,MATCH($V46,Picks_W3!$AH$6:$AH$69,0)),0)+IFERROR(INDEX(Picks_W4!$AV$6:$AV$69,MATCH($V46,Picks_W4!$AH$6:$AH$69,0)),0)+IFERROR(INDEX(Picks_W5!$AV$6:$AV$69,MATCH($V46,Picks_W5!$AH$6:$AH$69,0)),0)+IFERROR(INDEX(Picks_W6!$AV$6:$AV$69,MATCH($V46,Picks_W6!$AH$6:$AH$69,0)),0)+IFERROR(INDEX(Picks_W7!$AV$6:$AV$69,MATCH($V46,Picks_W7!$AH$6:$AH$69,0)),0)+IFERROR(INDEX(Picks_W8!$AV$6:$AV$69,MATCH($V46,Picks_W8!$AH$6:$AH$69,0)),0)+IFERROR(INDEX(Picks_W9!$AV$6:$AV$69,MATCH($V46,Picks_W9!$AH$6:$AH$69,0)),0)+IFERROR(INDEX(Picks_W10!$AV$6:$AV$69,MATCH($V46,Picks_W10!$AH$6:$AH$69,0)),0)+IFERROR(INDEX(Picks_W11!$AV$6:$AV$69,MATCH($V46,Picks_W11!$AH$6:$AH$69,0)),0)+IFERROR(INDEX(Picks_W12!$AV$6:$AV$69,MATCH($V46,Picks_W12!$AH$6:$AH$69,0)),0)+IFERROR(INDEX(Picks_W13!$AV$6:$AV$69,MATCH($V46,Picks_W13!$AH$6:$AH$69,0)),0)</f>
        <v>2</v>
      </c>
      <c r="U46" s="17">
        <f>IF(Results!$B$35=0,0,T46/Results!$B$35)</f>
        <v>0.25</v>
      </c>
      <c r="V46" s="4">
        <v>36</v>
      </c>
    </row>
    <row r="47" spans="1:22" ht="15" customHeight="1" x14ac:dyDescent="0.25">
      <c r="A47" s="4" t="str">
        <f>IFERROR(INDEX(Players!$D$6:$D$69,MATCH(V47,Players!$A$6:$A$69,0)),"")</f>
        <v>Max R.</v>
      </c>
      <c r="B47" s="4">
        <f>IFERROR(INDEX(Picks_W1!$AF$6:$AF$69,MATCH($V47,Picks_W1!$AH$6:$AH$69,0)),0)</f>
        <v>12</v>
      </c>
      <c r="C47" s="4">
        <f>IFERROR(INDEX(Picks_W2!$AF$6:$AF$69,MATCH($V47,Picks_W2!$AH$6:$AH$69,0)),0)</f>
        <v>9</v>
      </c>
      <c r="D47" s="4">
        <f>IFERROR(INDEX(Picks_W3!$AF$6:$AF$69,MATCH($V47,Picks_W3!$AH$6:$AH$69,0)),0)</f>
        <v>0</v>
      </c>
      <c r="E47" s="4">
        <f>IFERROR(INDEX(Picks_W4!$AF$6:$AF$69,MATCH($V47,Picks_W4!$AH$6:$AH$69,0)),0)</f>
        <v>0</v>
      </c>
      <c r="F47" s="4">
        <f>IFERROR(INDEX(Picks_W5!$AF$6:$AF$69,MATCH($V47,Picks_W5!$AH$6:$AH$69,0)),0)</f>
        <v>0</v>
      </c>
      <c r="G47" s="4">
        <f>IFERROR(INDEX(Picks_W6!$AF$6:$AF$69,MATCH($V47,Picks_W6!$AH$6:$AH$69,0)),0)</f>
        <v>0</v>
      </c>
      <c r="H47" s="4">
        <f>IFERROR(INDEX(Picks_W7!$AF$6:$AF$69,MATCH($V47,Picks_W7!$AH$6:$AH$69,0)),0)</f>
        <v>0</v>
      </c>
      <c r="I47" s="4">
        <f>IFERROR(INDEX(Picks_W8!$AF$6:$AF$69,MATCH($V47,Picks_W8!$AH$6:$AH$69,0)),0)</f>
        <v>0</v>
      </c>
      <c r="J47" s="4">
        <f>IFERROR(INDEX(Picks_W9!$AF$6:$AF$69,MATCH($V47,Picks_W9!$AH$6:$AH$69,0)),0)</f>
        <v>0</v>
      </c>
      <c r="K47" s="4">
        <f>IFERROR(INDEX(Picks_W10!$AF$6:$AF$69,MATCH($V47,Picks_W10!$AH$6:$AH$69,0)),0)</f>
        <v>0</v>
      </c>
      <c r="L47" s="4">
        <f>IFERROR(INDEX(Picks_W11!$AF$6:$AF$69,MATCH($V47,Picks_W11!$AH$6:$AH$69,0)),0)</f>
        <v>0</v>
      </c>
      <c r="M47" s="4">
        <f>IFERROR(INDEX(Picks_W12!$AF$6:$AF$69,MATCH($V47,Picks_W12!$AH$6:$AH$69,0)),0)</f>
        <v>0</v>
      </c>
      <c r="N47" s="4">
        <f>IFERROR(INDEX(Picks_W13!$AF$6:$AF$69,MATCH($V47,Picks_W13!$AH$6:$AH$69,0)),0)</f>
        <v>0</v>
      </c>
      <c r="O47" s="4">
        <f t="shared" si="4"/>
        <v>21</v>
      </c>
      <c r="P47" s="4">
        <f>(IFERROR(INDEX(Picks_W1!$AF$6:$AF$69,MATCH($V47,Picks_W1!$AH$6:$AH$69,0)),"")=Results!$B$21)*(IFERROR(INDEX(Picks_W1!$AG$6:$AG$69,MATCH($V47,Picks_W1!$AH$6:$AH$69,0)),"")=Results!$C$21)+(IFERROR(INDEX(Picks_W2!$AF$6:$AF$69,MATCH($V47,Picks_W2!$AH$6:$AH$69,0)),"")=Results!$B$22)*(IFERROR(INDEX(Picks_W2!$AG$6:$AG$69,MATCH($V47,Picks_W2!$AH$6:$AH$69,0)),"")=Results!$C$22)+(IFERROR(INDEX(Picks_W3!$AF$6:$AF$69,MATCH($V47,Picks_W3!$AH$6:$AH$69,0)),"")=Results!$B$23)*(IFERROR(INDEX(Picks_W3!$AG$6:$AG$69,MATCH($V47,Picks_W3!$AH$6:$AH$69,0)),"")=Results!$C$23)+(IFERROR(INDEX(Picks_W4!$AF$6:$AF$69,MATCH($V47,Picks_W4!$AH$6:$AH$69,0)),"")=Results!$B$24)*(IFERROR(INDEX(Picks_W4!$AG$6:$AG$69,MATCH($V47,Picks_W4!$AH$6:$AH$69,0)),"")=Results!$C$24)+(IFERROR(INDEX(Picks_W5!$AF$6:$AF$69,MATCH($V47,Picks_W5!$AH$6:$AH$69,0)),"")=Results!$B$25)*(IFERROR(INDEX(Picks_W5!$AG$6:$AG$69,MATCH($V47,Picks_W5!$AH$6:$AH$69,0)),"")=Results!$C$25)+(IFERROR(INDEX(Picks_W6!$AF$6:$AF$69,MATCH($V47,Picks_W6!$AH$6:$AH$69,0)),"")=Results!$B$26)*(IFERROR(INDEX(Picks_W6!$AG$6:$AG$69,MATCH($V47,Picks_W6!$AH$6:$AH$69,0)),"")=Results!$C$26)+(IFERROR(INDEX(Picks_W7!$AF$6:$AF$69,MATCH($V47,Picks_W7!$AH$6:$AH$69,0)),"")=Results!$B$27)*(IFERROR(INDEX(Picks_W7!$AG$6:$AG$69,MATCH($V47,Picks_W7!$AH$6:$AH$69,0)),"")=Results!$C$27)+(IFERROR(INDEX(Picks_W8!$AF$6:$AF$69,MATCH($V47,Picks_W8!$AH$6:$AH$69,0)),"")=Results!$B$28)*(IFERROR(INDEX(Picks_W8!$AG$6:$AG$69,MATCH($V47,Picks_W8!$AH$6:$AH$69,0)),"")=Results!$C$28)+(IFERROR(INDEX(Picks_W9!$AF$6:$AF$69,MATCH($V47,Picks_W9!$AH$6:$AH$69,0)),"")=Results!$B$29)*(IFERROR(INDEX(Picks_W9!$AG$6:$AG$69,MATCH($V47,Picks_W9!$AH$6:$AH$69,0)),"")=Results!$C$29)+(IFERROR(INDEX(Picks_W10!$AF$6:$AF$69,MATCH($V47,Picks_W10!$AH$6:$AH$69,0)),"")=Results!$B$30)*(IFERROR(INDEX(Picks_W10!$AG$6:$AG$69,MATCH($V47,Picks_W10!$AH$6:$AH$69,0)),"")=Results!$C$30)+(IFERROR(INDEX(Picks_W11!$AF$6:$AF$69,MATCH($V47,Picks_W11!$AH$6:$AH$69,0)),"")=Results!$B$31)*(IFERROR(INDEX(Picks_W11!$AG$6:$AG$69,MATCH($V47,Picks_W11!$AH$6:$AH$69,0)),"")=Results!$C$31)+(IFERROR(INDEX(Picks_W12!$AF$6:$AF$69,MATCH($V47,Picks_W12!$AH$6:$AH$69,0)),"")=Results!$B$32)*(IFERROR(INDEX(Picks_W12!$AG$6:$AG$69,MATCH($V47,Picks_W12!$AH$6:$AH$69,0)),"")=Results!$C$32)+(IFERROR(INDEX(Picks_W13!$AF$6:$AF$69,MATCH($V47,Picks_W13!$AH$6:$AH$69,0)),"")=Results!$B$33)*(IFERROR(INDEX(Picks_W13!$AG$6:$AG$69,MATCH($V47,Picks_W13!$AH$6:$AH$69,0)),"")=Results!$C$33)</f>
        <v>0</v>
      </c>
      <c r="Q47" s="4">
        <f t="shared" si="5"/>
        <v>12</v>
      </c>
      <c r="R47" s="4">
        <f t="shared" si="6"/>
        <v>0</v>
      </c>
      <c r="S47" s="4">
        <f t="shared" si="7"/>
        <v>21.000495299999997</v>
      </c>
      <c r="T47" s="4">
        <f>IFERROR(INDEX(Picks_W1!$AV$6:$AV$69,MATCH($V47,Picks_W1!$AH$6:$AH$69,0)),0)+IFERROR(INDEX(Picks_W2!$AV$6:$AV$69,MATCH($V47,Picks_W2!$AH$6:$AH$69,0)),0)+IFERROR(INDEX(Picks_W3!$AV$6:$AV$69,MATCH($V47,Picks_W3!$AH$6:$AH$69,0)),0)+IFERROR(INDEX(Picks_W4!$AV$6:$AV$69,MATCH($V47,Picks_W4!$AH$6:$AH$69,0)),0)+IFERROR(INDEX(Picks_W5!$AV$6:$AV$69,MATCH($V47,Picks_W5!$AH$6:$AH$69,0)),0)+IFERROR(INDEX(Picks_W6!$AV$6:$AV$69,MATCH($V47,Picks_W6!$AH$6:$AH$69,0)),0)+IFERROR(INDEX(Picks_W7!$AV$6:$AV$69,MATCH($V47,Picks_W7!$AH$6:$AH$69,0)),0)+IFERROR(INDEX(Picks_W8!$AV$6:$AV$69,MATCH($V47,Picks_W8!$AH$6:$AH$69,0)),0)+IFERROR(INDEX(Picks_W9!$AV$6:$AV$69,MATCH($V47,Picks_W9!$AH$6:$AH$69,0)),0)+IFERROR(INDEX(Picks_W10!$AV$6:$AV$69,MATCH($V47,Picks_W10!$AH$6:$AH$69,0)),0)+IFERROR(INDEX(Picks_W11!$AV$6:$AV$69,MATCH($V47,Picks_W11!$AH$6:$AH$69,0)),0)+IFERROR(INDEX(Picks_W12!$AV$6:$AV$69,MATCH($V47,Picks_W12!$AH$6:$AH$69,0)),0)+IFERROR(INDEX(Picks_W13!$AV$6:$AV$69,MATCH($V47,Picks_W13!$AH$6:$AH$69,0)),0)</f>
        <v>4</v>
      </c>
      <c r="U47" s="17">
        <f>IF(Results!$B$35=0,0,T47/Results!$B$35)</f>
        <v>0.5</v>
      </c>
      <c r="V47" s="4">
        <v>25</v>
      </c>
    </row>
    <row r="48" spans="1:22" ht="15" customHeight="1" x14ac:dyDescent="0.25">
      <c r="A48" s="4" t="str">
        <f>IFERROR(INDEX(Players!$D$6:$D$69,MATCH(V48,Players!$A$6:$A$69,0)),"")</f>
        <v>Merritt E.</v>
      </c>
      <c r="B48" s="4">
        <f>IFERROR(INDEX(Picks_W1!$AF$6:$AF$69,MATCH($V48,Picks_W1!$AH$6:$AH$69,0)),0)</f>
        <v>10</v>
      </c>
      <c r="C48" s="4">
        <f>IFERROR(INDEX(Picks_W2!$AF$6:$AF$69,MATCH($V48,Picks_W2!$AH$6:$AH$69,0)),0)</f>
        <v>11</v>
      </c>
      <c r="D48" s="4">
        <f>IFERROR(INDEX(Picks_W3!$AF$6:$AF$69,MATCH($V48,Picks_W3!$AH$6:$AH$69,0)),0)</f>
        <v>0</v>
      </c>
      <c r="E48" s="4">
        <f>IFERROR(INDEX(Picks_W4!$AF$6:$AF$69,MATCH($V48,Picks_W4!$AH$6:$AH$69,0)),0)</f>
        <v>0</v>
      </c>
      <c r="F48" s="4">
        <f>IFERROR(INDEX(Picks_W5!$AF$6:$AF$69,MATCH($V48,Picks_W5!$AH$6:$AH$69,0)),0)</f>
        <v>0</v>
      </c>
      <c r="G48" s="4">
        <f>IFERROR(INDEX(Picks_W6!$AF$6:$AF$69,MATCH($V48,Picks_W6!$AH$6:$AH$69,0)),0)</f>
        <v>0</v>
      </c>
      <c r="H48" s="4">
        <f>IFERROR(INDEX(Picks_W7!$AF$6:$AF$69,MATCH($V48,Picks_W7!$AH$6:$AH$69,0)),0)</f>
        <v>0</v>
      </c>
      <c r="I48" s="4">
        <f>IFERROR(INDEX(Picks_W8!$AF$6:$AF$69,MATCH($V48,Picks_W8!$AH$6:$AH$69,0)),0)</f>
        <v>0</v>
      </c>
      <c r="J48" s="4">
        <f>IFERROR(INDEX(Picks_W9!$AF$6:$AF$69,MATCH($V48,Picks_W9!$AH$6:$AH$69,0)),0)</f>
        <v>0</v>
      </c>
      <c r="K48" s="4">
        <f>IFERROR(INDEX(Picks_W10!$AF$6:$AF$69,MATCH($V48,Picks_W10!$AH$6:$AH$69,0)),0)</f>
        <v>0</v>
      </c>
      <c r="L48" s="4">
        <f>IFERROR(INDEX(Picks_W11!$AF$6:$AF$69,MATCH($V48,Picks_W11!$AH$6:$AH$69,0)),0)</f>
        <v>0</v>
      </c>
      <c r="M48" s="4">
        <f>IFERROR(INDEX(Picks_W12!$AF$6:$AF$69,MATCH($V48,Picks_W12!$AH$6:$AH$69,0)),0)</f>
        <v>0</v>
      </c>
      <c r="N48" s="4">
        <f>IFERROR(INDEX(Picks_W13!$AF$6:$AF$69,MATCH($V48,Picks_W13!$AH$6:$AH$69,0)),0)</f>
        <v>0</v>
      </c>
      <c r="O48" s="4">
        <f t="shared" si="4"/>
        <v>21</v>
      </c>
      <c r="P48" s="4">
        <f>(IFERROR(INDEX(Picks_W1!$AF$6:$AF$69,MATCH($V48,Picks_W1!$AH$6:$AH$69,0)),"")=Results!$B$21)*(IFERROR(INDEX(Picks_W1!$AG$6:$AG$69,MATCH($V48,Picks_W1!$AH$6:$AH$69,0)),"")=Results!$C$21)+(IFERROR(INDEX(Picks_W2!$AF$6:$AF$69,MATCH($V48,Picks_W2!$AH$6:$AH$69,0)),"")=Results!$B$22)*(IFERROR(INDEX(Picks_W2!$AG$6:$AG$69,MATCH($V48,Picks_W2!$AH$6:$AH$69,0)),"")=Results!$C$22)+(IFERROR(INDEX(Picks_W3!$AF$6:$AF$69,MATCH($V48,Picks_W3!$AH$6:$AH$69,0)),"")=Results!$B$23)*(IFERROR(INDEX(Picks_W3!$AG$6:$AG$69,MATCH($V48,Picks_W3!$AH$6:$AH$69,0)),"")=Results!$C$23)+(IFERROR(INDEX(Picks_W4!$AF$6:$AF$69,MATCH($V48,Picks_W4!$AH$6:$AH$69,0)),"")=Results!$B$24)*(IFERROR(INDEX(Picks_W4!$AG$6:$AG$69,MATCH($V48,Picks_W4!$AH$6:$AH$69,0)),"")=Results!$C$24)+(IFERROR(INDEX(Picks_W5!$AF$6:$AF$69,MATCH($V48,Picks_W5!$AH$6:$AH$69,0)),"")=Results!$B$25)*(IFERROR(INDEX(Picks_W5!$AG$6:$AG$69,MATCH($V48,Picks_W5!$AH$6:$AH$69,0)),"")=Results!$C$25)+(IFERROR(INDEX(Picks_W6!$AF$6:$AF$69,MATCH($V48,Picks_W6!$AH$6:$AH$69,0)),"")=Results!$B$26)*(IFERROR(INDEX(Picks_W6!$AG$6:$AG$69,MATCH($V48,Picks_W6!$AH$6:$AH$69,0)),"")=Results!$C$26)+(IFERROR(INDEX(Picks_W7!$AF$6:$AF$69,MATCH($V48,Picks_W7!$AH$6:$AH$69,0)),"")=Results!$B$27)*(IFERROR(INDEX(Picks_W7!$AG$6:$AG$69,MATCH($V48,Picks_W7!$AH$6:$AH$69,0)),"")=Results!$C$27)+(IFERROR(INDEX(Picks_W8!$AF$6:$AF$69,MATCH($V48,Picks_W8!$AH$6:$AH$69,0)),"")=Results!$B$28)*(IFERROR(INDEX(Picks_W8!$AG$6:$AG$69,MATCH($V48,Picks_W8!$AH$6:$AH$69,0)),"")=Results!$C$28)+(IFERROR(INDEX(Picks_W9!$AF$6:$AF$69,MATCH($V48,Picks_W9!$AH$6:$AH$69,0)),"")=Results!$B$29)*(IFERROR(INDEX(Picks_W9!$AG$6:$AG$69,MATCH($V48,Picks_W9!$AH$6:$AH$69,0)),"")=Results!$C$29)+(IFERROR(INDEX(Picks_W10!$AF$6:$AF$69,MATCH($V48,Picks_W10!$AH$6:$AH$69,0)),"")=Results!$B$30)*(IFERROR(INDEX(Picks_W10!$AG$6:$AG$69,MATCH($V48,Picks_W10!$AH$6:$AH$69,0)),"")=Results!$C$30)+(IFERROR(INDEX(Picks_W11!$AF$6:$AF$69,MATCH($V48,Picks_W11!$AH$6:$AH$69,0)),"")=Results!$B$31)*(IFERROR(INDEX(Picks_W11!$AG$6:$AG$69,MATCH($V48,Picks_W11!$AH$6:$AH$69,0)),"")=Results!$C$31)+(IFERROR(INDEX(Picks_W12!$AF$6:$AF$69,MATCH($V48,Picks_W12!$AH$6:$AH$69,0)),"")=Results!$B$32)*(IFERROR(INDEX(Picks_W12!$AG$6:$AG$69,MATCH($V48,Picks_W12!$AH$6:$AH$69,0)),"")=Results!$C$32)+(IFERROR(INDEX(Picks_W13!$AF$6:$AF$69,MATCH($V48,Picks_W13!$AH$6:$AH$69,0)),"")=Results!$B$33)*(IFERROR(INDEX(Picks_W13!$AG$6:$AG$69,MATCH($V48,Picks_W13!$AH$6:$AH$69,0)),"")=Results!$C$33)</f>
        <v>0</v>
      </c>
      <c r="Q48" s="4">
        <f t="shared" si="5"/>
        <v>11</v>
      </c>
      <c r="R48" s="4">
        <f t="shared" si="6"/>
        <v>0</v>
      </c>
      <c r="S48" s="4">
        <f t="shared" si="7"/>
        <v>21.000370199999999</v>
      </c>
      <c r="T48" s="4">
        <f>IFERROR(INDEX(Picks_W1!$AV$6:$AV$69,MATCH($V48,Picks_W1!$AH$6:$AH$69,0)),0)+IFERROR(INDEX(Picks_W2!$AV$6:$AV$69,MATCH($V48,Picks_W2!$AH$6:$AH$69,0)),0)+IFERROR(INDEX(Picks_W3!$AV$6:$AV$69,MATCH($V48,Picks_W3!$AH$6:$AH$69,0)),0)+IFERROR(INDEX(Picks_W4!$AV$6:$AV$69,MATCH($V48,Picks_W4!$AH$6:$AH$69,0)),0)+IFERROR(INDEX(Picks_W5!$AV$6:$AV$69,MATCH($V48,Picks_W5!$AH$6:$AH$69,0)),0)+IFERROR(INDEX(Picks_W6!$AV$6:$AV$69,MATCH($V48,Picks_W6!$AH$6:$AH$69,0)),0)+IFERROR(INDEX(Picks_W7!$AV$6:$AV$69,MATCH($V48,Picks_W7!$AH$6:$AH$69,0)),0)+IFERROR(INDEX(Picks_W8!$AV$6:$AV$69,MATCH($V48,Picks_W8!$AH$6:$AH$69,0)),0)+IFERROR(INDEX(Picks_W9!$AV$6:$AV$69,MATCH($V48,Picks_W9!$AH$6:$AH$69,0)),0)+IFERROR(INDEX(Picks_W10!$AV$6:$AV$69,MATCH($V48,Picks_W10!$AH$6:$AH$69,0)),0)+IFERROR(INDEX(Picks_W11!$AV$6:$AV$69,MATCH($V48,Picks_W11!$AH$6:$AH$69,0)),0)+IFERROR(INDEX(Picks_W12!$AV$6:$AV$69,MATCH($V48,Picks_W12!$AH$6:$AH$69,0)),0)+IFERROR(INDEX(Picks_W13!$AV$6:$AV$69,MATCH($V48,Picks_W13!$AH$6:$AH$69,0)),0)</f>
        <v>3</v>
      </c>
      <c r="U48" s="17">
        <f>IF(Results!$B$35=0,0,T48/Results!$B$35)</f>
        <v>0.375</v>
      </c>
      <c r="V48" s="4">
        <v>56</v>
      </c>
    </row>
    <row r="49" spans="1:22" ht="15" customHeight="1" x14ac:dyDescent="0.25">
      <c r="A49" s="4" t="str">
        <f>IFERROR(INDEX(Players!$D$6:$D$69,MATCH(V49,Players!$A$6:$A$69,0)),"")</f>
        <v>Mike B.</v>
      </c>
      <c r="B49" s="4">
        <f>IFERROR(INDEX(Picks_W1!$AF$6:$AF$69,MATCH($V49,Picks_W1!$AH$6:$AH$69,0)),0)</f>
        <v>12</v>
      </c>
      <c r="C49" s="4">
        <f>IFERROR(INDEX(Picks_W2!$AF$6:$AF$69,MATCH($V49,Picks_W2!$AH$6:$AH$69,0)),0)</f>
        <v>9</v>
      </c>
      <c r="D49" s="4">
        <f>IFERROR(INDEX(Picks_W3!$AF$6:$AF$69,MATCH($V49,Picks_W3!$AH$6:$AH$69,0)),0)</f>
        <v>0</v>
      </c>
      <c r="E49" s="4">
        <f>IFERROR(INDEX(Picks_W4!$AF$6:$AF$69,MATCH($V49,Picks_W4!$AH$6:$AH$69,0)),0)</f>
        <v>0</v>
      </c>
      <c r="F49" s="4">
        <f>IFERROR(INDEX(Picks_W5!$AF$6:$AF$69,MATCH($V49,Picks_W5!$AH$6:$AH$69,0)),0)</f>
        <v>0</v>
      </c>
      <c r="G49" s="4">
        <f>IFERROR(INDEX(Picks_W6!$AF$6:$AF$69,MATCH($V49,Picks_W6!$AH$6:$AH$69,0)),0)</f>
        <v>0</v>
      </c>
      <c r="H49" s="4">
        <f>IFERROR(INDEX(Picks_W7!$AF$6:$AF$69,MATCH($V49,Picks_W7!$AH$6:$AH$69,0)),0)</f>
        <v>0</v>
      </c>
      <c r="I49" s="4">
        <f>IFERROR(INDEX(Picks_W8!$AF$6:$AF$69,MATCH($V49,Picks_W8!$AH$6:$AH$69,0)),0)</f>
        <v>0</v>
      </c>
      <c r="J49" s="4">
        <f>IFERROR(INDEX(Picks_W9!$AF$6:$AF$69,MATCH($V49,Picks_W9!$AH$6:$AH$69,0)),0)</f>
        <v>0</v>
      </c>
      <c r="K49" s="4">
        <f>IFERROR(INDEX(Picks_W10!$AF$6:$AF$69,MATCH($V49,Picks_W10!$AH$6:$AH$69,0)),0)</f>
        <v>0</v>
      </c>
      <c r="L49" s="4">
        <f>IFERROR(INDEX(Picks_W11!$AF$6:$AF$69,MATCH($V49,Picks_W11!$AH$6:$AH$69,0)),0)</f>
        <v>0</v>
      </c>
      <c r="M49" s="4">
        <f>IFERROR(INDEX(Picks_W12!$AF$6:$AF$69,MATCH($V49,Picks_W12!$AH$6:$AH$69,0)),0)</f>
        <v>0</v>
      </c>
      <c r="N49" s="4">
        <f>IFERROR(INDEX(Picks_W13!$AF$6:$AF$69,MATCH($V49,Picks_W13!$AH$6:$AH$69,0)),0)</f>
        <v>0</v>
      </c>
      <c r="O49" s="4">
        <f t="shared" si="4"/>
        <v>21</v>
      </c>
      <c r="P49" s="4">
        <f>(IFERROR(INDEX(Picks_W1!$AF$6:$AF$69,MATCH($V49,Picks_W1!$AH$6:$AH$69,0)),"")=Results!$B$21)*(IFERROR(INDEX(Picks_W1!$AG$6:$AG$69,MATCH($V49,Picks_W1!$AH$6:$AH$69,0)),"")=Results!$C$21)+(IFERROR(INDEX(Picks_W2!$AF$6:$AF$69,MATCH($V49,Picks_W2!$AH$6:$AH$69,0)),"")=Results!$B$22)*(IFERROR(INDEX(Picks_W2!$AG$6:$AG$69,MATCH($V49,Picks_W2!$AH$6:$AH$69,0)),"")=Results!$C$22)+(IFERROR(INDEX(Picks_W3!$AF$6:$AF$69,MATCH($V49,Picks_W3!$AH$6:$AH$69,0)),"")=Results!$B$23)*(IFERROR(INDEX(Picks_W3!$AG$6:$AG$69,MATCH($V49,Picks_W3!$AH$6:$AH$69,0)),"")=Results!$C$23)+(IFERROR(INDEX(Picks_W4!$AF$6:$AF$69,MATCH($V49,Picks_W4!$AH$6:$AH$69,0)),"")=Results!$B$24)*(IFERROR(INDEX(Picks_W4!$AG$6:$AG$69,MATCH($V49,Picks_W4!$AH$6:$AH$69,0)),"")=Results!$C$24)+(IFERROR(INDEX(Picks_W5!$AF$6:$AF$69,MATCH($V49,Picks_W5!$AH$6:$AH$69,0)),"")=Results!$B$25)*(IFERROR(INDEX(Picks_W5!$AG$6:$AG$69,MATCH($V49,Picks_W5!$AH$6:$AH$69,0)),"")=Results!$C$25)+(IFERROR(INDEX(Picks_W6!$AF$6:$AF$69,MATCH($V49,Picks_W6!$AH$6:$AH$69,0)),"")=Results!$B$26)*(IFERROR(INDEX(Picks_W6!$AG$6:$AG$69,MATCH($V49,Picks_W6!$AH$6:$AH$69,0)),"")=Results!$C$26)+(IFERROR(INDEX(Picks_W7!$AF$6:$AF$69,MATCH($V49,Picks_W7!$AH$6:$AH$69,0)),"")=Results!$B$27)*(IFERROR(INDEX(Picks_W7!$AG$6:$AG$69,MATCH($V49,Picks_W7!$AH$6:$AH$69,0)),"")=Results!$C$27)+(IFERROR(INDEX(Picks_W8!$AF$6:$AF$69,MATCH($V49,Picks_W8!$AH$6:$AH$69,0)),"")=Results!$B$28)*(IFERROR(INDEX(Picks_W8!$AG$6:$AG$69,MATCH($V49,Picks_W8!$AH$6:$AH$69,0)),"")=Results!$C$28)+(IFERROR(INDEX(Picks_W9!$AF$6:$AF$69,MATCH($V49,Picks_W9!$AH$6:$AH$69,0)),"")=Results!$B$29)*(IFERROR(INDEX(Picks_W9!$AG$6:$AG$69,MATCH($V49,Picks_W9!$AH$6:$AH$69,0)),"")=Results!$C$29)+(IFERROR(INDEX(Picks_W10!$AF$6:$AF$69,MATCH($V49,Picks_W10!$AH$6:$AH$69,0)),"")=Results!$B$30)*(IFERROR(INDEX(Picks_W10!$AG$6:$AG$69,MATCH($V49,Picks_W10!$AH$6:$AH$69,0)),"")=Results!$C$30)+(IFERROR(INDEX(Picks_W11!$AF$6:$AF$69,MATCH($V49,Picks_W11!$AH$6:$AH$69,0)),"")=Results!$B$31)*(IFERROR(INDEX(Picks_W11!$AG$6:$AG$69,MATCH($V49,Picks_W11!$AH$6:$AH$69,0)),"")=Results!$C$31)+(IFERROR(INDEX(Picks_W12!$AF$6:$AF$69,MATCH($V49,Picks_W12!$AH$6:$AH$69,0)),"")=Results!$B$32)*(IFERROR(INDEX(Picks_W12!$AG$6:$AG$69,MATCH($V49,Picks_W12!$AH$6:$AH$69,0)),"")=Results!$C$32)+(IFERROR(INDEX(Picks_W13!$AF$6:$AF$69,MATCH($V49,Picks_W13!$AH$6:$AH$69,0)),"")=Results!$B$33)*(IFERROR(INDEX(Picks_W13!$AG$6:$AG$69,MATCH($V49,Picks_W13!$AH$6:$AH$69,0)),"")=Results!$C$33)</f>
        <v>0</v>
      </c>
      <c r="Q49" s="4">
        <f t="shared" si="5"/>
        <v>12</v>
      </c>
      <c r="R49" s="4">
        <f t="shared" si="6"/>
        <v>0</v>
      </c>
      <c r="S49" s="4">
        <f t="shared" si="7"/>
        <v>21.0001201</v>
      </c>
      <c r="T49" s="4">
        <f>IFERROR(INDEX(Picks_W1!$AV$6:$AV$69,MATCH($V49,Picks_W1!$AH$6:$AH$69,0)),0)+IFERROR(INDEX(Picks_W2!$AV$6:$AV$69,MATCH($V49,Picks_W2!$AH$6:$AH$69,0)),0)+IFERROR(INDEX(Picks_W3!$AV$6:$AV$69,MATCH($V49,Picks_W3!$AH$6:$AH$69,0)),0)+IFERROR(INDEX(Picks_W4!$AV$6:$AV$69,MATCH($V49,Picks_W4!$AH$6:$AH$69,0)),0)+IFERROR(INDEX(Picks_W5!$AV$6:$AV$69,MATCH($V49,Picks_W5!$AH$6:$AH$69,0)),0)+IFERROR(INDEX(Picks_W6!$AV$6:$AV$69,MATCH($V49,Picks_W6!$AH$6:$AH$69,0)),0)+IFERROR(INDEX(Picks_W7!$AV$6:$AV$69,MATCH($V49,Picks_W7!$AH$6:$AH$69,0)),0)+IFERROR(INDEX(Picks_W8!$AV$6:$AV$69,MATCH($V49,Picks_W8!$AH$6:$AH$69,0)),0)+IFERROR(INDEX(Picks_W9!$AV$6:$AV$69,MATCH($V49,Picks_W9!$AH$6:$AH$69,0)),0)+IFERROR(INDEX(Picks_W10!$AV$6:$AV$69,MATCH($V49,Picks_W10!$AH$6:$AH$69,0)),0)+IFERROR(INDEX(Picks_W11!$AV$6:$AV$69,MATCH($V49,Picks_W11!$AH$6:$AH$69,0)),0)+IFERROR(INDEX(Picks_W12!$AV$6:$AV$69,MATCH($V49,Picks_W12!$AH$6:$AH$69,0)),0)+IFERROR(INDEX(Picks_W13!$AV$6:$AV$69,MATCH($V49,Picks_W13!$AH$6:$AH$69,0)),0)</f>
        <v>1</v>
      </c>
      <c r="U49" s="17">
        <f>IF(Results!$B$35=0,0,T49/Results!$B$35)</f>
        <v>0.125</v>
      </c>
      <c r="V49" s="4">
        <v>34</v>
      </c>
    </row>
    <row r="50" spans="1:22" ht="15" customHeight="1" x14ac:dyDescent="0.25">
      <c r="A50" s="4" t="str">
        <f>IFERROR(INDEX(Players!$D$6:$D$69,MATCH(V50,Players!$A$6:$A$69,0)),"")</f>
        <v>Mike C.</v>
      </c>
      <c r="B50" s="4">
        <f>IFERROR(INDEX(Picks_W1!$AF$6:$AF$69,MATCH($V50,Picks_W1!$AH$6:$AH$69,0)),0)</f>
        <v>13</v>
      </c>
      <c r="C50" s="4">
        <f>IFERROR(INDEX(Picks_W2!$AF$6:$AF$69,MATCH($V50,Picks_W2!$AH$6:$AH$69,0)),0)</f>
        <v>9</v>
      </c>
      <c r="D50" s="4">
        <f>IFERROR(INDEX(Picks_W3!$AF$6:$AF$69,MATCH($V50,Picks_W3!$AH$6:$AH$69,0)),0)</f>
        <v>0</v>
      </c>
      <c r="E50" s="4">
        <f>IFERROR(INDEX(Picks_W4!$AF$6:$AF$69,MATCH($V50,Picks_W4!$AH$6:$AH$69,0)),0)</f>
        <v>0</v>
      </c>
      <c r="F50" s="4">
        <f>IFERROR(INDEX(Picks_W5!$AF$6:$AF$69,MATCH($V50,Picks_W5!$AH$6:$AH$69,0)),0)</f>
        <v>0</v>
      </c>
      <c r="G50" s="4">
        <f>IFERROR(INDEX(Picks_W6!$AF$6:$AF$69,MATCH($V50,Picks_W6!$AH$6:$AH$69,0)),0)</f>
        <v>0</v>
      </c>
      <c r="H50" s="4">
        <f>IFERROR(INDEX(Picks_W7!$AF$6:$AF$69,MATCH($V50,Picks_W7!$AH$6:$AH$69,0)),0)</f>
        <v>0</v>
      </c>
      <c r="I50" s="4">
        <f>IFERROR(INDEX(Picks_W8!$AF$6:$AF$69,MATCH($V50,Picks_W8!$AH$6:$AH$69,0)),0)</f>
        <v>0</v>
      </c>
      <c r="J50" s="4">
        <f>IFERROR(INDEX(Picks_W9!$AF$6:$AF$69,MATCH($V50,Picks_W9!$AH$6:$AH$69,0)),0)</f>
        <v>0</v>
      </c>
      <c r="K50" s="4">
        <f>IFERROR(INDEX(Picks_W10!$AF$6:$AF$69,MATCH($V50,Picks_W10!$AH$6:$AH$69,0)),0)</f>
        <v>0</v>
      </c>
      <c r="L50" s="4">
        <f>IFERROR(INDEX(Picks_W11!$AF$6:$AF$69,MATCH($V50,Picks_W11!$AH$6:$AH$69,0)),0)</f>
        <v>0</v>
      </c>
      <c r="M50" s="4">
        <f>IFERROR(INDEX(Picks_W12!$AF$6:$AF$69,MATCH($V50,Picks_W12!$AH$6:$AH$69,0)),0)</f>
        <v>0</v>
      </c>
      <c r="N50" s="4">
        <f>IFERROR(INDEX(Picks_W13!$AF$6:$AF$69,MATCH($V50,Picks_W13!$AH$6:$AH$69,0)),0)</f>
        <v>0</v>
      </c>
      <c r="O50" s="4">
        <f t="shared" si="4"/>
        <v>22</v>
      </c>
      <c r="P50" s="4">
        <f>(IFERROR(INDEX(Picks_W1!$AF$6:$AF$69,MATCH($V50,Picks_W1!$AH$6:$AH$69,0)),"")=Results!$B$21)*(IFERROR(INDEX(Picks_W1!$AG$6:$AG$69,MATCH($V50,Picks_W1!$AH$6:$AH$69,0)),"")=Results!$C$21)+(IFERROR(INDEX(Picks_W2!$AF$6:$AF$69,MATCH($V50,Picks_W2!$AH$6:$AH$69,0)),"")=Results!$B$22)*(IFERROR(INDEX(Picks_W2!$AG$6:$AG$69,MATCH($V50,Picks_W2!$AH$6:$AH$69,0)),"")=Results!$C$22)+(IFERROR(INDEX(Picks_W3!$AF$6:$AF$69,MATCH($V50,Picks_W3!$AH$6:$AH$69,0)),"")=Results!$B$23)*(IFERROR(INDEX(Picks_W3!$AG$6:$AG$69,MATCH($V50,Picks_W3!$AH$6:$AH$69,0)),"")=Results!$C$23)+(IFERROR(INDEX(Picks_W4!$AF$6:$AF$69,MATCH($V50,Picks_W4!$AH$6:$AH$69,0)),"")=Results!$B$24)*(IFERROR(INDEX(Picks_W4!$AG$6:$AG$69,MATCH($V50,Picks_W4!$AH$6:$AH$69,0)),"")=Results!$C$24)+(IFERROR(INDEX(Picks_W5!$AF$6:$AF$69,MATCH($V50,Picks_W5!$AH$6:$AH$69,0)),"")=Results!$B$25)*(IFERROR(INDEX(Picks_W5!$AG$6:$AG$69,MATCH($V50,Picks_W5!$AH$6:$AH$69,0)),"")=Results!$C$25)+(IFERROR(INDEX(Picks_W6!$AF$6:$AF$69,MATCH($V50,Picks_W6!$AH$6:$AH$69,0)),"")=Results!$B$26)*(IFERROR(INDEX(Picks_W6!$AG$6:$AG$69,MATCH($V50,Picks_W6!$AH$6:$AH$69,0)),"")=Results!$C$26)+(IFERROR(INDEX(Picks_W7!$AF$6:$AF$69,MATCH($V50,Picks_W7!$AH$6:$AH$69,0)),"")=Results!$B$27)*(IFERROR(INDEX(Picks_W7!$AG$6:$AG$69,MATCH($V50,Picks_W7!$AH$6:$AH$69,0)),"")=Results!$C$27)+(IFERROR(INDEX(Picks_W8!$AF$6:$AF$69,MATCH($V50,Picks_W8!$AH$6:$AH$69,0)),"")=Results!$B$28)*(IFERROR(INDEX(Picks_W8!$AG$6:$AG$69,MATCH($V50,Picks_W8!$AH$6:$AH$69,0)),"")=Results!$C$28)+(IFERROR(INDEX(Picks_W9!$AF$6:$AF$69,MATCH($V50,Picks_W9!$AH$6:$AH$69,0)),"")=Results!$B$29)*(IFERROR(INDEX(Picks_W9!$AG$6:$AG$69,MATCH($V50,Picks_W9!$AH$6:$AH$69,0)),"")=Results!$C$29)+(IFERROR(INDEX(Picks_W10!$AF$6:$AF$69,MATCH($V50,Picks_W10!$AH$6:$AH$69,0)),"")=Results!$B$30)*(IFERROR(INDEX(Picks_W10!$AG$6:$AG$69,MATCH($V50,Picks_W10!$AH$6:$AH$69,0)),"")=Results!$C$30)+(IFERROR(INDEX(Picks_W11!$AF$6:$AF$69,MATCH($V50,Picks_W11!$AH$6:$AH$69,0)),"")=Results!$B$31)*(IFERROR(INDEX(Picks_W11!$AG$6:$AG$69,MATCH($V50,Picks_W11!$AH$6:$AH$69,0)),"")=Results!$C$31)+(IFERROR(INDEX(Picks_W12!$AF$6:$AF$69,MATCH($V50,Picks_W12!$AH$6:$AH$69,0)),"")=Results!$B$32)*(IFERROR(INDEX(Picks_W12!$AG$6:$AG$69,MATCH($V50,Picks_W12!$AH$6:$AH$69,0)),"")=Results!$C$32)+(IFERROR(INDEX(Picks_W13!$AF$6:$AF$69,MATCH($V50,Picks_W13!$AH$6:$AH$69,0)),"")=Results!$B$33)*(IFERROR(INDEX(Picks_W13!$AG$6:$AG$69,MATCH($V50,Picks_W13!$AH$6:$AH$69,0)),"")=Results!$C$33)</f>
        <v>0</v>
      </c>
      <c r="Q50" s="4">
        <f t="shared" si="5"/>
        <v>13</v>
      </c>
      <c r="R50" s="4">
        <f t="shared" si="6"/>
        <v>0</v>
      </c>
      <c r="S50" s="4">
        <f t="shared" si="7"/>
        <v>22.000245</v>
      </c>
      <c r="T50" s="4">
        <f>IFERROR(INDEX(Picks_W1!$AV$6:$AV$69,MATCH($V50,Picks_W1!$AH$6:$AH$69,0)),0)+IFERROR(INDEX(Picks_W2!$AV$6:$AV$69,MATCH($V50,Picks_W2!$AH$6:$AH$69,0)),0)+IFERROR(INDEX(Picks_W3!$AV$6:$AV$69,MATCH($V50,Picks_W3!$AH$6:$AH$69,0)),0)+IFERROR(INDEX(Picks_W4!$AV$6:$AV$69,MATCH($V50,Picks_W4!$AH$6:$AH$69,0)),0)+IFERROR(INDEX(Picks_W5!$AV$6:$AV$69,MATCH($V50,Picks_W5!$AH$6:$AH$69,0)),0)+IFERROR(INDEX(Picks_W6!$AV$6:$AV$69,MATCH($V50,Picks_W6!$AH$6:$AH$69,0)),0)+IFERROR(INDEX(Picks_W7!$AV$6:$AV$69,MATCH($V50,Picks_W7!$AH$6:$AH$69,0)),0)+IFERROR(INDEX(Picks_W8!$AV$6:$AV$69,MATCH($V50,Picks_W8!$AH$6:$AH$69,0)),0)+IFERROR(INDEX(Picks_W9!$AV$6:$AV$69,MATCH($V50,Picks_W9!$AH$6:$AH$69,0)),0)+IFERROR(INDEX(Picks_W10!$AV$6:$AV$69,MATCH($V50,Picks_W10!$AH$6:$AH$69,0)),0)+IFERROR(INDEX(Picks_W11!$AV$6:$AV$69,MATCH($V50,Picks_W11!$AH$6:$AH$69,0)),0)+IFERROR(INDEX(Picks_W12!$AV$6:$AV$69,MATCH($V50,Picks_W12!$AH$6:$AH$69,0)),0)+IFERROR(INDEX(Picks_W13!$AV$6:$AV$69,MATCH($V50,Picks_W13!$AH$6:$AH$69,0)),0)</f>
        <v>2</v>
      </c>
      <c r="U50" s="17">
        <f>IF(Results!$B$35=0,0,T50/Results!$B$35)</f>
        <v>0.25</v>
      </c>
      <c r="V50" s="4">
        <v>40</v>
      </c>
    </row>
    <row r="51" spans="1:22" ht="15" customHeight="1" x14ac:dyDescent="0.25">
      <c r="A51" s="4" t="str">
        <f>IFERROR(INDEX(Players!$D$6:$D$69,MATCH(V51,Players!$A$6:$A$69,0)),"")</f>
        <v>Nathan P.</v>
      </c>
      <c r="B51" s="4">
        <f>IFERROR(INDEX(Picks_W1!$AF$6:$AF$69,MATCH($V51,Picks_W1!$AH$6:$AH$69,0)),0)</f>
        <v>12</v>
      </c>
      <c r="C51" s="4">
        <f>IFERROR(INDEX(Picks_W2!$AF$6:$AF$69,MATCH($V51,Picks_W2!$AH$6:$AH$69,0)),0)</f>
        <v>9</v>
      </c>
      <c r="D51" s="4">
        <f>IFERROR(INDEX(Picks_W3!$AF$6:$AF$69,MATCH($V51,Picks_W3!$AH$6:$AH$69,0)),0)</f>
        <v>0</v>
      </c>
      <c r="E51" s="4">
        <f>IFERROR(INDEX(Picks_W4!$AF$6:$AF$69,MATCH($V51,Picks_W4!$AH$6:$AH$69,0)),0)</f>
        <v>0</v>
      </c>
      <c r="F51" s="4">
        <f>IFERROR(INDEX(Picks_W5!$AF$6:$AF$69,MATCH($V51,Picks_W5!$AH$6:$AH$69,0)),0)</f>
        <v>0</v>
      </c>
      <c r="G51" s="4">
        <f>IFERROR(INDEX(Picks_W6!$AF$6:$AF$69,MATCH($V51,Picks_W6!$AH$6:$AH$69,0)),0)</f>
        <v>0</v>
      </c>
      <c r="H51" s="4">
        <f>IFERROR(INDEX(Picks_W7!$AF$6:$AF$69,MATCH($V51,Picks_W7!$AH$6:$AH$69,0)),0)</f>
        <v>0</v>
      </c>
      <c r="I51" s="4">
        <f>IFERROR(INDEX(Picks_W8!$AF$6:$AF$69,MATCH($V51,Picks_W8!$AH$6:$AH$69,0)),0)</f>
        <v>0</v>
      </c>
      <c r="J51" s="4">
        <f>IFERROR(INDEX(Picks_W9!$AF$6:$AF$69,MATCH($V51,Picks_W9!$AH$6:$AH$69,0)),0)</f>
        <v>0</v>
      </c>
      <c r="K51" s="4">
        <f>IFERROR(INDEX(Picks_W10!$AF$6:$AF$69,MATCH($V51,Picks_W10!$AH$6:$AH$69,0)),0)</f>
        <v>0</v>
      </c>
      <c r="L51" s="4">
        <f>IFERROR(INDEX(Picks_W11!$AF$6:$AF$69,MATCH($V51,Picks_W11!$AH$6:$AH$69,0)),0)</f>
        <v>0</v>
      </c>
      <c r="M51" s="4">
        <f>IFERROR(INDEX(Picks_W12!$AF$6:$AF$69,MATCH($V51,Picks_W12!$AH$6:$AH$69,0)),0)</f>
        <v>0</v>
      </c>
      <c r="N51" s="4">
        <f>IFERROR(INDEX(Picks_W13!$AF$6:$AF$69,MATCH($V51,Picks_W13!$AH$6:$AH$69,0)),0)</f>
        <v>0</v>
      </c>
      <c r="O51" s="4">
        <f t="shared" si="4"/>
        <v>21</v>
      </c>
      <c r="P51" s="4">
        <f>(IFERROR(INDEX(Picks_W1!$AF$6:$AF$69,MATCH($V51,Picks_W1!$AH$6:$AH$69,0)),"")=Results!$B$21)*(IFERROR(INDEX(Picks_W1!$AG$6:$AG$69,MATCH($V51,Picks_W1!$AH$6:$AH$69,0)),"")=Results!$C$21)+(IFERROR(INDEX(Picks_W2!$AF$6:$AF$69,MATCH($V51,Picks_W2!$AH$6:$AH$69,0)),"")=Results!$B$22)*(IFERROR(INDEX(Picks_W2!$AG$6:$AG$69,MATCH($V51,Picks_W2!$AH$6:$AH$69,0)),"")=Results!$C$22)+(IFERROR(INDEX(Picks_W3!$AF$6:$AF$69,MATCH($V51,Picks_W3!$AH$6:$AH$69,0)),"")=Results!$B$23)*(IFERROR(INDEX(Picks_W3!$AG$6:$AG$69,MATCH($V51,Picks_W3!$AH$6:$AH$69,0)),"")=Results!$C$23)+(IFERROR(INDEX(Picks_W4!$AF$6:$AF$69,MATCH($V51,Picks_W4!$AH$6:$AH$69,0)),"")=Results!$B$24)*(IFERROR(INDEX(Picks_W4!$AG$6:$AG$69,MATCH($V51,Picks_W4!$AH$6:$AH$69,0)),"")=Results!$C$24)+(IFERROR(INDEX(Picks_W5!$AF$6:$AF$69,MATCH($V51,Picks_W5!$AH$6:$AH$69,0)),"")=Results!$B$25)*(IFERROR(INDEX(Picks_W5!$AG$6:$AG$69,MATCH($V51,Picks_W5!$AH$6:$AH$69,0)),"")=Results!$C$25)+(IFERROR(INDEX(Picks_W6!$AF$6:$AF$69,MATCH($V51,Picks_W6!$AH$6:$AH$69,0)),"")=Results!$B$26)*(IFERROR(INDEX(Picks_W6!$AG$6:$AG$69,MATCH($V51,Picks_W6!$AH$6:$AH$69,0)),"")=Results!$C$26)+(IFERROR(INDEX(Picks_W7!$AF$6:$AF$69,MATCH($V51,Picks_W7!$AH$6:$AH$69,0)),"")=Results!$B$27)*(IFERROR(INDEX(Picks_W7!$AG$6:$AG$69,MATCH($V51,Picks_W7!$AH$6:$AH$69,0)),"")=Results!$C$27)+(IFERROR(INDEX(Picks_W8!$AF$6:$AF$69,MATCH($V51,Picks_W8!$AH$6:$AH$69,0)),"")=Results!$B$28)*(IFERROR(INDEX(Picks_W8!$AG$6:$AG$69,MATCH($V51,Picks_W8!$AH$6:$AH$69,0)),"")=Results!$C$28)+(IFERROR(INDEX(Picks_W9!$AF$6:$AF$69,MATCH($V51,Picks_W9!$AH$6:$AH$69,0)),"")=Results!$B$29)*(IFERROR(INDEX(Picks_W9!$AG$6:$AG$69,MATCH($V51,Picks_W9!$AH$6:$AH$69,0)),"")=Results!$C$29)+(IFERROR(INDEX(Picks_W10!$AF$6:$AF$69,MATCH($V51,Picks_W10!$AH$6:$AH$69,0)),"")=Results!$B$30)*(IFERROR(INDEX(Picks_W10!$AG$6:$AG$69,MATCH($V51,Picks_W10!$AH$6:$AH$69,0)),"")=Results!$C$30)+(IFERROR(INDEX(Picks_W11!$AF$6:$AF$69,MATCH($V51,Picks_W11!$AH$6:$AH$69,0)),"")=Results!$B$31)*(IFERROR(INDEX(Picks_W11!$AG$6:$AG$69,MATCH($V51,Picks_W11!$AH$6:$AH$69,0)),"")=Results!$C$31)+(IFERROR(INDEX(Picks_W12!$AF$6:$AF$69,MATCH($V51,Picks_W12!$AH$6:$AH$69,0)),"")=Results!$B$32)*(IFERROR(INDEX(Picks_W12!$AG$6:$AG$69,MATCH($V51,Picks_W12!$AH$6:$AH$69,0)),"")=Results!$C$32)+(IFERROR(INDEX(Picks_W13!$AF$6:$AF$69,MATCH($V51,Picks_W13!$AH$6:$AH$69,0)),"")=Results!$B$33)*(IFERROR(INDEX(Picks_W13!$AG$6:$AG$69,MATCH($V51,Picks_W13!$AH$6:$AH$69,0)),"")=Results!$C$33)</f>
        <v>0</v>
      </c>
      <c r="Q51" s="4">
        <f t="shared" si="5"/>
        <v>12</v>
      </c>
      <c r="R51" s="4">
        <f t="shared" si="6"/>
        <v>0</v>
      </c>
      <c r="S51" s="4">
        <f t="shared" si="7"/>
        <v>21.000119900000001</v>
      </c>
      <c r="T51" s="4">
        <f>IFERROR(INDEX(Picks_W1!$AV$6:$AV$69,MATCH($V51,Picks_W1!$AH$6:$AH$69,0)),0)+IFERROR(INDEX(Picks_W2!$AV$6:$AV$69,MATCH($V51,Picks_W2!$AH$6:$AH$69,0)),0)+IFERROR(INDEX(Picks_W3!$AV$6:$AV$69,MATCH($V51,Picks_W3!$AH$6:$AH$69,0)),0)+IFERROR(INDEX(Picks_W4!$AV$6:$AV$69,MATCH($V51,Picks_W4!$AH$6:$AH$69,0)),0)+IFERROR(INDEX(Picks_W5!$AV$6:$AV$69,MATCH($V51,Picks_W5!$AH$6:$AH$69,0)),0)+IFERROR(INDEX(Picks_W6!$AV$6:$AV$69,MATCH($V51,Picks_W6!$AH$6:$AH$69,0)),0)+IFERROR(INDEX(Picks_W7!$AV$6:$AV$69,MATCH($V51,Picks_W7!$AH$6:$AH$69,0)),0)+IFERROR(INDEX(Picks_W8!$AV$6:$AV$69,MATCH($V51,Picks_W8!$AH$6:$AH$69,0)),0)+IFERROR(INDEX(Picks_W9!$AV$6:$AV$69,MATCH($V51,Picks_W9!$AH$6:$AH$69,0)),0)+IFERROR(INDEX(Picks_W10!$AV$6:$AV$69,MATCH($V51,Picks_W10!$AH$6:$AH$69,0)),0)+IFERROR(INDEX(Picks_W11!$AV$6:$AV$69,MATCH($V51,Picks_W11!$AH$6:$AH$69,0)),0)+IFERROR(INDEX(Picks_W12!$AV$6:$AV$69,MATCH($V51,Picks_W12!$AH$6:$AH$69,0)),0)+IFERROR(INDEX(Picks_W13!$AV$6:$AV$69,MATCH($V51,Picks_W13!$AH$6:$AH$69,0)),0)</f>
        <v>1</v>
      </c>
      <c r="U51" s="17">
        <f>IF(Results!$B$35=0,0,T51/Results!$B$35)</f>
        <v>0.125</v>
      </c>
      <c r="V51" s="4">
        <v>42</v>
      </c>
    </row>
    <row r="52" spans="1:22" ht="15" customHeight="1" x14ac:dyDescent="0.25">
      <c r="A52" s="4" t="str">
        <f>IFERROR(INDEX(Players!$D$6:$D$69,MATCH(V52,Players!$A$6:$A$69,0)),"")</f>
        <v>Nick P.</v>
      </c>
      <c r="B52" s="4">
        <f>IFERROR(INDEX(Picks_W1!$AF$6:$AF$69,MATCH($V52,Picks_W1!$AH$6:$AH$69,0)),0)</f>
        <v>11</v>
      </c>
      <c r="C52" s="4">
        <f>IFERROR(INDEX(Picks_W2!$AF$6:$AF$69,MATCH($V52,Picks_W2!$AH$6:$AH$69,0)),0)</f>
        <v>9</v>
      </c>
      <c r="D52" s="4">
        <f>IFERROR(INDEX(Picks_W3!$AF$6:$AF$69,MATCH($V52,Picks_W3!$AH$6:$AH$69,0)),0)</f>
        <v>0</v>
      </c>
      <c r="E52" s="4">
        <f>IFERROR(INDEX(Picks_W4!$AF$6:$AF$69,MATCH($V52,Picks_W4!$AH$6:$AH$69,0)),0)</f>
        <v>0</v>
      </c>
      <c r="F52" s="4">
        <f>IFERROR(INDEX(Picks_W5!$AF$6:$AF$69,MATCH($V52,Picks_W5!$AH$6:$AH$69,0)),0)</f>
        <v>0</v>
      </c>
      <c r="G52" s="4">
        <f>IFERROR(INDEX(Picks_W6!$AF$6:$AF$69,MATCH($V52,Picks_W6!$AH$6:$AH$69,0)),0)</f>
        <v>0</v>
      </c>
      <c r="H52" s="4">
        <f>IFERROR(INDEX(Picks_W7!$AF$6:$AF$69,MATCH($V52,Picks_W7!$AH$6:$AH$69,0)),0)</f>
        <v>0</v>
      </c>
      <c r="I52" s="4">
        <f>IFERROR(INDEX(Picks_W8!$AF$6:$AF$69,MATCH($V52,Picks_W8!$AH$6:$AH$69,0)),0)</f>
        <v>0</v>
      </c>
      <c r="J52" s="4">
        <f>IFERROR(INDEX(Picks_W9!$AF$6:$AF$69,MATCH($V52,Picks_W9!$AH$6:$AH$69,0)),0)</f>
        <v>0</v>
      </c>
      <c r="K52" s="4">
        <f>IFERROR(INDEX(Picks_W10!$AF$6:$AF$69,MATCH($V52,Picks_W10!$AH$6:$AH$69,0)),0)</f>
        <v>0</v>
      </c>
      <c r="L52" s="4">
        <f>IFERROR(INDEX(Picks_W11!$AF$6:$AF$69,MATCH($V52,Picks_W11!$AH$6:$AH$69,0)),0)</f>
        <v>0</v>
      </c>
      <c r="M52" s="4">
        <f>IFERROR(INDEX(Picks_W12!$AF$6:$AF$69,MATCH($V52,Picks_W12!$AH$6:$AH$69,0)),0)</f>
        <v>0</v>
      </c>
      <c r="N52" s="4">
        <f>IFERROR(INDEX(Picks_W13!$AF$6:$AF$69,MATCH($V52,Picks_W13!$AH$6:$AH$69,0)),0)</f>
        <v>0</v>
      </c>
      <c r="O52" s="4">
        <f t="shared" si="4"/>
        <v>20</v>
      </c>
      <c r="P52" s="4">
        <f>(IFERROR(INDEX(Picks_W1!$AF$6:$AF$69,MATCH($V52,Picks_W1!$AH$6:$AH$69,0)),"")=Results!$B$21)*(IFERROR(INDEX(Picks_W1!$AG$6:$AG$69,MATCH($V52,Picks_W1!$AH$6:$AH$69,0)),"")=Results!$C$21)+(IFERROR(INDEX(Picks_W2!$AF$6:$AF$69,MATCH($V52,Picks_W2!$AH$6:$AH$69,0)),"")=Results!$B$22)*(IFERROR(INDEX(Picks_W2!$AG$6:$AG$69,MATCH($V52,Picks_W2!$AH$6:$AH$69,0)),"")=Results!$C$22)+(IFERROR(INDEX(Picks_W3!$AF$6:$AF$69,MATCH($V52,Picks_W3!$AH$6:$AH$69,0)),"")=Results!$B$23)*(IFERROR(INDEX(Picks_W3!$AG$6:$AG$69,MATCH($V52,Picks_W3!$AH$6:$AH$69,0)),"")=Results!$C$23)+(IFERROR(INDEX(Picks_W4!$AF$6:$AF$69,MATCH($V52,Picks_W4!$AH$6:$AH$69,0)),"")=Results!$B$24)*(IFERROR(INDEX(Picks_W4!$AG$6:$AG$69,MATCH($V52,Picks_W4!$AH$6:$AH$69,0)),"")=Results!$C$24)+(IFERROR(INDEX(Picks_W5!$AF$6:$AF$69,MATCH($V52,Picks_W5!$AH$6:$AH$69,0)),"")=Results!$B$25)*(IFERROR(INDEX(Picks_W5!$AG$6:$AG$69,MATCH($V52,Picks_W5!$AH$6:$AH$69,0)),"")=Results!$C$25)+(IFERROR(INDEX(Picks_W6!$AF$6:$AF$69,MATCH($V52,Picks_W6!$AH$6:$AH$69,0)),"")=Results!$B$26)*(IFERROR(INDEX(Picks_W6!$AG$6:$AG$69,MATCH($V52,Picks_W6!$AH$6:$AH$69,0)),"")=Results!$C$26)+(IFERROR(INDEX(Picks_W7!$AF$6:$AF$69,MATCH($V52,Picks_W7!$AH$6:$AH$69,0)),"")=Results!$B$27)*(IFERROR(INDEX(Picks_W7!$AG$6:$AG$69,MATCH($V52,Picks_W7!$AH$6:$AH$69,0)),"")=Results!$C$27)+(IFERROR(INDEX(Picks_W8!$AF$6:$AF$69,MATCH($V52,Picks_W8!$AH$6:$AH$69,0)),"")=Results!$B$28)*(IFERROR(INDEX(Picks_W8!$AG$6:$AG$69,MATCH($V52,Picks_W8!$AH$6:$AH$69,0)),"")=Results!$C$28)+(IFERROR(INDEX(Picks_W9!$AF$6:$AF$69,MATCH($V52,Picks_W9!$AH$6:$AH$69,0)),"")=Results!$B$29)*(IFERROR(INDEX(Picks_W9!$AG$6:$AG$69,MATCH($V52,Picks_W9!$AH$6:$AH$69,0)),"")=Results!$C$29)+(IFERROR(INDEX(Picks_W10!$AF$6:$AF$69,MATCH($V52,Picks_W10!$AH$6:$AH$69,0)),"")=Results!$B$30)*(IFERROR(INDEX(Picks_W10!$AG$6:$AG$69,MATCH($V52,Picks_W10!$AH$6:$AH$69,0)),"")=Results!$C$30)+(IFERROR(INDEX(Picks_W11!$AF$6:$AF$69,MATCH($V52,Picks_W11!$AH$6:$AH$69,0)),"")=Results!$B$31)*(IFERROR(INDEX(Picks_W11!$AG$6:$AG$69,MATCH($V52,Picks_W11!$AH$6:$AH$69,0)),"")=Results!$C$31)+(IFERROR(INDEX(Picks_W12!$AF$6:$AF$69,MATCH($V52,Picks_W12!$AH$6:$AH$69,0)),"")=Results!$B$32)*(IFERROR(INDEX(Picks_W12!$AG$6:$AG$69,MATCH($V52,Picks_W12!$AH$6:$AH$69,0)),"")=Results!$C$32)+(IFERROR(INDEX(Picks_W13!$AF$6:$AF$69,MATCH($V52,Picks_W13!$AH$6:$AH$69,0)),"")=Results!$B$33)*(IFERROR(INDEX(Picks_W13!$AG$6:$AG$69,MATCH($V52,Picks_W13!$AH$6:$AH$69,0)),"")=Results!$C$33)</f>
        <v>0</v>
      </c>
      <c r="Q52" s="4">
        <f t="shared" si="5"/>
        <v>11</v>
      </c>
      <c r="R52" s="4">
        <f t="shared" si="6"/>
        <v>0</v>
      </c>
      <c r="S52" s="4">
        <f t="shared" si="7"/>
        <v>20.000369799999998</v>
      </c>
      <c r="T52" s="4">
        <f>IFERROR(INDEX(Picks_W1!$AV$6:$AV$69,MATCH($V52,Picks_W1!$AH$6:$AH$69,0)),0)+IFERROR(INDEX(Picks_W2!$AV$6:$AV$69,MATCH($V52,Picks_W2!$AH$6:$AH$69,0)),0)+IFERROR(INDEX(Picks_W3!$AV$6:$AV$69,MATCH($V52,Picks_W3!$AH$6:$AH$69,0)),0)+IFERROR(INDEX(Picks_W4!$AV$6:$AV$69,MATCH($V52,Picks_W4!$AH$6:$AH$69,0)),0)+IFERROR(INDEX(Picks_W5!$AV$6:$AV$69,MATCH($V52,Picks_W5!$AH$6:$AH$69,0)),0)+IFERROR(INDEX(Picks_W6!$AV$6:$AV$69,MATCH($V52,Picks_W6!$AH$6:$AH$69,0)),0)+IFERROR(INDEX(Picks_W7!$AV$6:$AV$69,MATCH($V52,Picks_W7!$AH$6:$AH$69,0)),0)+IFERROR(INDEX(Picks_W8!$AV$6:$AV$69,MATCH($V52,Picks_W8!$AH$6:$AH$69,0)),0)+IFERROR(INDEX(Picks_W9!$AV$6:$AV$69,MATCH($V52,Picks_W9!$AH$6:$AH$69,0)),0)+IFERROR(INDEX(Picks_W10!$AV$6:$AV$69,MATCH($V52,Picks_W10!$AH$6:$AH$69,0)),0)+IFERROR(INDEX(Picks_W11!$AV$6:$AV$69,MATCH($V52,Picks_W11!$AH$6:$AH$69,0)),0)+IFERROR(INDEX(Picks_W12!$AV$6:$AV$69,MATCH($V52,Picks_W12!$AH$6:$AH$69,0)),0)+IFERROR(INDEX(Picks_W13!$AV$6:$AV$69,MATCH($V52,Picks_W13!$AH$6:$AH$69,0)),0)</f>
        <v>3</v>
      </c>
      <c r="U52" s="17">
        <f>IF(Results!$B$35=0,0,T52/Results!$B$35)</f>
        <v>0.375</v>
      </c>
      <c r="V52" s="4">
        <v>27</v>
      </c>
    </row>
    <row r="53" spans="1:22" ht="15" customHeight="1" x14ac:dyDescent="0.25">
      <c r="A53" s="4" t="str">
        <f>IFERROR(INDEX(Players!$D$6:$D$69,MATCH(V53,Players!$A$6:$A$69,0)),"")</f>
        <v>Oliver W.</v>
      </c>
      <c r="B53" s="4">
        <f>IFERROR(INDEX(Picks_W1!$AF$6:$AF$69,MATCH($V53,Picks_W1!$AH$6:$AH$69,0)),0)</f>
        <v>9</v>
      </c>
      <c r="C53" s="4">
        <f>IFERROR(INDEX(Picks_W2!$AF$6:$AF$69,MATCH($V53,Picks_W2!$AH$6:$AH$69,0)),0)</f>
        <v>7</v>
      </c>
      <c r="D53" s="4">
        <f>IFERROR(INDEX(Picks_W3!$AF$6:$AF$69,MATCH($V53,Picks_W3!$AH$6:$AH$69,0)),0)</f>
        <v>0</v>
      </c>
      <c r="E53" s="4">
        <f>IFERROR(INDEX(Picks_W4!$AF$6:$AF$69,MATCH($V53,Picks_W4!$AH$6:$AH$69,0)),0)</f>
        <v>0</v>
      </c>
      <c r="F53" s="4">
        <f>IFERROR(INDEX(Picks_W5!$AF$6:$AF$69,MATCH($V53,Picks_W5!$AH$6:$AH$69,0)),0)</f>
        <v>0</v>
      </c>
      <c r="G53" s="4">
        <f>IFERROR(INDEX(Picks_W6!$AF$6:$AF$69,MATCH($V53,Picks_W6!$AH$6:$AH$69,0)),0)</f>
        <v>0</v>
      </c>
      <c r="H53" s="4">
        <f>IFERROR(INDEX(Picks_W7!$AF$6:$AF$69,MATCH($V53,Picks_W7!$AH$6:$AH$69,0)),0)</f>
        <v>0</v>
      </c>
      <c r="I53" s="4">
        <f>IFERROR(INDEX(Picks_W8!$AF$6:$AF$69,MATCH($V53,Picks_W8!$AH$6:$AH$69,0)),0)</f>
        <v>0</v>
      </c>
      <c r="J53" s="4">
        <f>IFERROR(INDEX(Picks_W9!$AF$6:$AF$69,MATCH($V53,Picks_W9!$AH$6:$AH$69,0)),0)</f>
        <v>0</v>
      </c>
      <c r="K53" s="4">
        <f>IFERROR(INDEX(Picks_W10!$AF$6:$AF$69,MATCH($V53,Picks_W10!$AH$6:$AH$69,0)),0)</f>
        <v>0</v>
      </c>
      <c r="L53" s="4">
        <f>IFERROR(INDEX(Picks_W11!$AF$6:$AF$69,MATCH($V53,Picks_W11!$AH$6:$AH$69,0)),0)</f>
        <v>0</v>
      </c>
      <c r="M53" s="4">
        <f>IFERROR(INDEX(Picks_W12!$AF$6:$AF$69,MATCH($V53,Picks_W12!$AH$6:$AH$69,0)),0)</f>
        <v>0</v>
      </c>
      <c r="N53" s="4">
        <f>IFERROR(INDEX(Picks_W13!$AF$6:$AF$69,MATCH($V53,Picks_W13!$AH$6:$AH$69,0)),0)</f>
        <v>0</v>
      </c>
      <c r="O53" s="4">
        <f t="shared" si="4"/>
        <v>16</v>
      </c>
      <c r="P53" s="4">
        <f>(IFERROR(INDEX(Picks_W1!$AF$6:$AF$69,MATCH($V53,Picks_W1!$AH$6:$AH$69,0)),"")=Results!$B$21)*(IFERROR(INDEX(Picks_W1!$AG$6:$AG$69,MATCH($V53,Picks_W1!$AH$6:$AH$69,0)),"")=Results!$C$21)+(IFERROR(INDEX(Picks_W2!$AF$6:$AF$69,MATCH($V53,Picks_W2!$AH$6:$AH$69,0)),"")=Results!$B$22)*(IFERROR(INDEX(Picks_W2!$AG$6:$AG$69,MATCH($V53,Picks_W2!$AH$6:$AH$69,0)),"")=Results!$C$22)+(IFERROR(INDEX(Picks_W3!$AF$6:$AF$69,MATCH($V53,Picks_W3!$AH$6:$AH$69,0)),"")=Results!$B$23)*(IFERROR(INDEX(Picks_W3!$AG$6:$AG$69,MATCH($V53,Picks_W3!$AH$6:$AH$69,0)),"")=Results!$C$23)+(IFERROR(INDEX(Picks_W4!$AF$6:$AF$69,MATCH($V53,Picks_W4!$AH$6:$AH$69,0)),"")=Results!$B$24)*(IFERROR(INDEX(Picks_W4!$AG$6:$AG$69,MATCH($V53,Picks_W4!$AH$6:$AH$69,0)),"")=Results!$C$24)+(IFERROR(INDEX(Picks_W5!$AF$6:$AF$69,MATCH($V53,Picks_W5!$AH$6:$AH$69,0)),"")=Results!$B$25)*(IFERROR(INDEX(Picks_W5!$AG$6:$AG$69,MATCH($V53,Picks_W5!$AH$6:$AH$69,0)),"")=Results!$C$25)+(IFERROR(INDEX(Picks_W6!$AF$6:$AF$69,MATCH($V53,Picks_W6!$AH$6:$AH$69,0)),"")=Results!$B$26)*(IFERROR(INDEX(Picks_W6!$AG$6:$AG$69,MATCH($V53,Picks_W6!$AH$6:$AH$69,0)),"")=Results!$C$26)+(IFERROR(INDEX(Picks_W7!$AF$6:$AF$69,MATCH($V53,Picks_W7!$AH$6:$AH$69,0)),"")=Results!$B$27)*(IFERROR(INDEX(Picks_W7!$AG$6:$AG$69,MATCH($V53,Picks_W7!$AH$6:$AH$69,0)),"")=Results!$C$27)+(IFERROR(INDEX(Picks_W8!$AF$6:$AF$69,MATCH($V53,Picks_W8!$AH$6:$AH$69,0)),"")=Results!$B$28)*(IFERROR(INDEX(Picks_W8!$AG$6:$AG$69,MATCH($V53,Picks_W8!$AH$6:$AH$69,0)),"")=Results!$C$28)+(IFERROR(INDEX(Picks_W9!$AF$6:$AF$69,MATCH($V53,Picks_W9!$AH$6:$AH$69,0)),"")=Results!$B$29)*(IFERROR(INDEX(Picks_W9!$AG$6:$AG$69,MATCH($V53,Picks_W9!$AH$6:$AH$69,0)),"")=Results!$C$29)+(IFERROR(INDEX(Picks_W10!$AF$6:$AF$69,MATCH($V53,Picks_W10!$AH$6:$AH$69,0)),"")=Results!$B$30)*(IFERROR(INDEX(Picks_W10!$AG$6:$AG$69,MATCH($V53,Picks_W10!$AH$6:$AH$69,0)),"")=Results!$C$30)+(IFERROR(INDEX(Picks_W11!$AF$6:$AF$69,MATCH($V53,Picks_W11!$AH$6:$AH$69,0)),"")=Results!$B$31)*(IFERROR(INDEX(Picks_W11!$AG$6:$AG$69,MATCH($V53,Picks_W11!$AH$6:$AH$69,0)),"")=Results!$C$31)+(IFERROR(INDEX(Picks_W12!$AF$6:$AF$69,MATCH($V53,Picks_W12!$AH$6:$AH$69,0)),"")=Results!$B$32)*(IFERROR(INDEX(Picks_W12!$AG$6:$AG$69,MATCH($V53,Picks_W12!$AH$6:$AH$69,0)),"")=Results!$C$32)+(IFERROR(INDEX(Picks_W13!$AF$6:$AF$69,MATCH($V53,Picks_W13!$AH$6:$AH$69,0)),"")=Results!$B$33)*(IFERROR(INDEX(Picks_W13!$AG$6:$AG$69,MATCH($V53,Picks_W13!$AH$6:$AH$69,0)),"")=Results!$C$33)</f>
        <v>0</v>
      </c>
      <c r="Q53" s="4">
        <f t="shared" si="5"/>
        <v>9</v>
      </c>
      <c r="R53" s="4">
        <f t="shared" si="6"/>
        <v>0</v>
      </c>
      <c r="S53" s="4">
        <f t="shared" si="7"/>
        <v>15.9999947</v>
      </c>
      <c r="T53" s="4">
        <f>IFERROR(INDEX(Picks_W1!$AV$6:$AV$69,MATCH($V53,Picks_W1!$AH$6:$AH$69,0)),0)+IFERROR(INDEX(Picks_W2!$AV$6:$AV$69,MATCH($V53,Picks_W2!$AH$6:$AH$69,0)),0)+IFERROR(INDEX(Picks_W3!$AV$6:$AV$69,MATCH($V53,Picks_W3!$AH$6:$AH$69,0)),0)+IFERROR(INDEX(Picks_W4!$AV$6:$AV$69,MATCH($V53,Picks_W4!$AH$6:$AH$69,0)),0)+IFERROR(INDEX(Picks_W5!$AV$6:$AV$69,MATCH($V53,Picks_W5!$AH$6:$AH$69,0)),0)+IFERROR(INDEX(Picks_W6!$AV$6:$AV$69,MATCH($V53,Picks_W6!$AH$6:$AH$69,0)),0)+IFERROR(INDEX(Picks_W7!$AV$6:$AV$69,MATCH($V53,Picks_W7!$AH$6:$AH$69,0)),0)+IFERROR(INDEX(Picks_W8!$AV$6:$AV$69,MATCH($V53,Picks_W8!$AH$6:$AH$69,0)),0)+IFERROR(INDEX(Picks_W9!$AV$6:$AV$69,MATCH($V53,Picks_W9!$AH$6:$AH$69,0)),0)+IFERROR(INDEX(Picks_W10!$AV$6:$AV$69,MATCH($V53,Picks_W10!$AH$6:$AH$69,0)),0)+IFERROR(INDEX(Picks_W11!$AV$6:$AV$69,MATCH($V53,Picks_W11!$AH$6:$AH$69,0)),0)+IFERROR(INDEX(Picks_W12!$AV$6:$AV$69,MATCH($V53,Picks_W12!$AH$6:$AH$69,0)),0)+IFERROR(INDEX(Picks_W13!$AV$6:$AV$69,MATCH($V53,Picks_W13!$AH$6:$AH$69,0)),0)</f>
        <v>0</v>
      </c>
      <c r="U53" s="17">
        <f>IF(Results!$B$35=0,0,T53/Results!$B$35)</f>
        <v>0</v>
      </c>
      <c r="V53" s="4">
        <v>35</v>
      </c>
    </row>
    <row r="54" spans="1:22" ht="15" customHeight="1" x14ac:dyDescent="0.25">
      <c r="A54" s="4" t="str">
        <f>IFERROR(INDEX(Players!$D$6:$D$69,MATCH(V54,Players!$A$6:$A$69,0)),"")</f>
        <v>Pete S.</v>
      </c>
      <c r="B54" s="4">
        <f>IFERROR(INDEX(Picks_W1!$AF$6:$AF$69,MATCH($V54,Picks_W1!$AH$6:$AH$69,0)),0)</f>
        <v>11</v>
      </c>
      <c r="C54" s="4">
        <f>IFERROR(INDEX(Picks_W2!$AF$6:$AF$69,MATCH($V54,Picks_W2!$AH$6:$AH$69,0)),0)</f>
        <v>7</v>
      </c>
      <c r="D54" s="4">
        <f>IFERROR(INDEX(Picks_W3!$AF$6:$AF$69,MATCH($V54,Picks_W3!$AH$6:$AH$69,0)),0)</f>
        <v>0</v>
      </c>
      <c r="E54" s="4">
        <f>IFERROR(INDEX(Picks_W4!$AF$6:$AF$69,MATCH($V54,Picks_W4!$AH$6:$AH$69,0)),0)</f>
        <v>0</v>
      </c>
      <c r="F54" s="4">
        <f>IFERROR(INDEX(Picks_W5!$AF$6:$AF$69,MATCH($V54,Picks_W5!$AH$6:$AH$69,0)),0)</f>
        <v>0</v>
      </c>
      <c r="G54" s="4">
        <f>IFERROR(INDEX(Picks_W6!$AF$6:$AF$69,MATCH($V54,Picks_W6!$AH$6:$AH$69,0)),0)</f>
        <v>0</v>
      </c>
      <c r="H54" s="4">
        <f>IFERROR(INDEX(Picks_W7!$AF$6:$AF$69,MATCH($V54,Picks_W7!$AH$6:$AH$69,0)),0)</f>
        <v>0</v>
      </c>
      <c r="I54" s="4">
        <f>IFERROR(INDEX(Picks_W8!$AF$6:$AF$69,MATCH($V54,Picks_W8!$AH$6:$AH$69,0)),0)</f>
        <v>0</v>
      </c>
      <c r="J54" s="4">
        <f>IFERROR(INDEX(Picks_W9!$AF$6:$AF$69,MATCH($V54,Picks_W9!$AH$6:$AH$69,0)),0)</f>
        <v>0</v>
      </c>
      <c r="K54" s="4">
        <f>IFERROR(INDEX(Picks_W10!$AF$6:$AF$69,MATCH($V54,Picks_W10!$AH$6:$AH$69,0)),0)</f>
        <v>0</v>
      </c>
      <c r="L54" s="4">
        <f>IFERROR(INDEX(Picks_W11!$AF$6:$AF$69,MATCH($V54,Picks_W11!$AH$6:$AH$69,0)),0)</f>
        <v>0</v>
      </c>
      <c r="M54" s="4">
        <f>IFERROR(INDEX(Picks_W12!$AF$6:$AF$69,MATCH($V54,Picks_W12!$AH$6:$AH$69,0)),0)</f>
        <v>0</v>
      </c>
      <c r="N54" s="4">
        <f>IFERROR(INDEX(Picks_W13!$AF$6:$AF$69,MATCH($V54,Picks_W13!$AH$6:$AH$69,0)),0)</f>
        <v>0</v>
      </c>
      <c r="O54" s="4">
        <f t="shared" si="4"/>
        <v>18</v>
      </c>
      <c r="P54" s="4">
        <f>(IFERROR(INDEX(Picks_W1!$AF$6:$AF$69,MATCH($V54,Picks_W1!$AH$6:$AH$69,0)),"")=Results!$B$21)*(IFERROR(INDEX(Picks_W1!$AG$6:$AG$69,MATCH($V54,Picks_W1!$AH$6:$AH$69,0)),"")=Results!$C$21)+(IFERROR(INDEX(Picks_W2!$AF$6:$AF$69,MATCH($V54,Picks_W2!$AH$6:$AH$69,0)),"")=Results!$B$22)*(IFERROR(INDEX(Picks_W2!$AG$6:$AG$69,MATCH($V54,Picks_W2!$AH$6:$AH$69,0)),"")=Results!$C$22)+(IFERROR(INDEX(Picks_W3!$AF$6:$AF$69,MATCH($V54,Picks_W3!$AH$6:$AH$69,0)),"")=Results!$B$23)*(IFERROR(INDEX(Picks_W3!$AG$6:$AG$69,MATCH($V54,Picks_W3!$AH$6:$AH$69,0)),"")=Results!$C$23)+(IFERROR(INDEX(Picks_W4!$AF$6:$AF$69,MATCH($V54,Picks_W4!$AH$6:$AH$69,0)),"")=Results!$B$24)*(IFERROR(INDEX(Picks_W4!$AG$6:$AG$69,MATCH($V54,Picks_W4!$AH$6:$AH$69,0)),"")=Results!$C$24)+(IFERROR(INDEX(Picks_W5!$AF$6:$AF$69,MATCH($V54,Picks_W5!$AH$6:$AH$69,0)),"")=Results!$B$25)*(IFERROR(INDEX(Picks_W5!$AG$6:$AG$69,MATCH($V54,Picks_W5!$AH$6:$AH$69,0)),"")=Results!$C$25)+(IFERROR(INDEX(Picks_W6!$AF$6:$AF$69,MATCH($V54,Picks_W6!$AH$6:$AH$69,0)),"")=Results!$B$26)*(IFERROR(INDEX(Picks_W6!$AG$6:$AG$69,MATCH($V54,Picks_W6!$AH$6:$AH$69,0)),"")=Results!$C$26)+(IFERROR(INDEX(Picks_W7!$AF$6:$AF$69,MATCH($V54,Picks_W7!$AH$6:$AH$69,0)),"")=Results!$B$27)*(IFERROR(INDEX(Picks_W7!$AG$6:$AG$69,MATCH($V54,Picks_W7!$AH$6:$AH$69,0)),"")=Results!$C$27)+(IFERROR(INDEX(Picks_W8!$AF$6:$AF$69,MATCH($V54,Picks_W8!$AH$6:$AH$69,0)),"")=Results!$B$28)*(IFERROR(INDEX(Picks_W8!$AG$6:$AG$69,MATCH($V54,Picks_W8!$AH$6:$AH$69,0)),"")=Results!$C$28)+(IFERROR(INDEX(Picks_W9!$AF$6:$AF$69,MATCH($V54,Picks_W9!$AH$6:$AH$69,0)),"")=Results!$B$29)*(IFERROR(INDEX(Picks_W9!$AG$6:$AG$69,MATCH($V54,Picks_W9!$AH$6:$AH$69,0)),"")=Results!$C$29)+(IFERROR(INDEX(Picks_W10!$AF$6:$AF$69,MATCH($V54,Picks_W10!$AH$6:$AH$69,0)),"")=Results!$B$30)*(IFERROR(INDEX(Picks_W10!$AG$6:$AG$69,MATCH($V54,Picks_W10!$AH$6:$AH$69,0)),"")=Results!$C$30)+(IFERROR(INDEX(Picks_W11!$AF$6:$AF$69,MATCH($V54,Picks_W11!$AH$6:$AH$69,0)),"")=Results!$B$31)*(IFERROR(INDEX(Picks_W11!$AG$6:$AG$69,MATCH($V54,Picks_W11!$AH$6:$AH$69,0)),"")=Results!$C$31)+(IFERROR(INDEX(Picks_W12!$AF$6:$AF$69,MATCH($V54,Picks_W12!$AH$6:$AH$69,0)),"")=Results!$B$32)*(IFERROR(INDEX(Picks_W12!$AG$6:$AG$69,MATCH($V54,Picks_W12!$AH$6:$AH$69,0)),"")=Results!$C$32)+(IFERROR(INDEX(Picks_W13!$AF$6:$AF$69,MATCH($V54,Picks_W13!$AH$6:$AH$69,0)),"")=Results!$B$33)*(IFERROR(INDEX(Picks_W13!$AG$6:$AG$69,MATCH($V54,Picks_W13!$AH$6:$AH$69,0)),"")=Results!$C$33)</f>
        <v>0</v>
      </c>
      <c r="Q54" s="4">
        <f t="shared" si="5"/>
        <v>11</v>
      </c>
      <c r="R54" s="4">
        <f t="shared" si="6"/>
        <v>0</v>
      </c>
      <c r="S54" s="4">
        <f t="shared" si="7"/>
        <v>18.000369599999999</v>
      </c>
      <c r="T54" s="4">
        <f>IFERROR(INDEX(Picks_W1!$AV$6:$AV$69,MATCH($V54,Picks_W1!$AH$6:$AH$69,0)),0)+IFERROR(INDEX(Picks_W2!$AV$6:$AV$69,MATCH($V54,Picks_W2!$AH$6:$AH$69,0)),0)+IFERROR(INDEX(Picks_W3!$AV$6:$AV$69,MATCH($V54,Picks_W3!$AH$6:$AH$69,0)),0)+IFERROR(INDEX(Picks_W4!$AV$6:$AV$69,MATCH($V54,Picks_W4!$AH$6:$AH$69,0)),0)+IFERROR(INDEX(Picks_W5!$AV$6:$AV$69,MATCH($V54,Picks_W5!$AH$6:$AH$69,0)),0)+IFERROR(INDEX(Picks_W6!$AV$6:$AV$69,MATCH($V54,Picks_W6!$AH$6:$AH$69,0)),0)+IFERROR(INDEX(Picks_W7!$AV$6:$AV$69,MATCH($V54,Picks_W7!$AH$6:$AH$69,0)),0)+IFERROR(INDEX(Picks_W8!$AV$6:$AV$69,MATCH($V54,Picks_W8!$AH$6:$AH$69,0)),0)+IFERROR(INDEX(Picks_W9!$AV$6:$AV$69,MATCH($V54,Picks_W9!$AH$6:$AH$69,0)),0)+IFERROR(INDEX(Picks_W10!$AV$6:$AV$69,MATCH($V54,Picks_W10!$AH$6:$AH$69,0)),0)+IFERROR(INDEX(Picks_W11!$AV$6:$AV$69,MATCH($V54,Picks_W11!$AH$6:$AH$69,0)),0)+IFERROR(INDEX(Picks_W12!$AV$6:$AV$69,MATCH($V54,Picks_W12!$AH$6:$AH$69,0)),0)+IFERROR(INDEX(Picks_W13!$AV$6:$AV$69,MATCH($V54,Picks_W13!$AH$6:$AH$69,0)),0)</f>
        <v>3</v>
      </c>
      <c r="U54" s="17">
        <f>IF(Results!$B$35=0,0,T54/Results!$B$35)</f>
        <v>0.375</v>
      </c>
      <c r="V54" s="4">
        <v>43</v>
      </c>
    </row>
    <row r="55" spans="1:22" ht="15" customHeight="1" x14ac:dyDescent="0.25">
      <c r="A55" s="4" t="str">
        <f>IFERROR(INDEX(Players!$D$6:$D$69,MATCH(V55,Players!$A$6:$A$69,0)),"")</f>
        <v>Richie C.</v>
      </c>
      <c r="B55" s="4">
        <f>IFERROR(INDEX(Picks_W1!$AF$6:$AF$69,MATCH($V55,Picks_W1!$AH$6:$AH$69,0)),0)</f>
        <v>8</v>
      </c>
      <c r="C55" s="4">
        <f>IFERROR(INDEX(Picks_W2!$AF$6:$AF$69,MATCH($V55,Picks_W2!$AH$6:$AH$69,0)),0)</f>
        <v>5</v>
      </c>
      <c r="D55" s="4">
        <f>IFERROR(INDEX(Picks_W3!$AF$6:$AF$69,MATCH($V55,Picks_W3!$AH$6:$AH$69,0)),0)</f>
        <v>0</v>
      </c>
      <c r="E55" s="4">
        <f>IFERROR(INDEX(Picks_W4!$AF$6:$AF$69,MATCH($V55,Picks_W4!$AH$6:$AH$69,0)),0)</f>
        <v>0</v>
      </c>
      <c r="F55" s="4">
        <f>IFERROR(INDEX(Picks_W5!$AF$6:$AF$69,MATCH($V55,Picks_W5!$AH$6:$AH$69,0)),0)</f>
        <v>0</v>
      </c>
      <c r="G55" s="4">
        <f>IFERROR(INDEX(Picks_W6!$AF$6:$AF$69,MATCH($V55,Picks_W6!$AH$6:$AH$69,0)),0)</f>
        <v>0</v>
      </c>
      <c r="H55" s="4">
        <f>IFERROR(INDEX(Picks_W7!$AF$6:$AF$69,MATCH($V55,Picks_W7!$AH$6:$AH$69,0)),0)</f>
        <v>0</v>
      </c>
      <c r="I55" s="4">
        <f>IFERROR(INDEX(Picks_W8!$AF$6:$AF$69,MATCH($V55,Picks_W8!$AH$6:$AH$69,0)),0)</f>
        <v>0</v>
      </c>
      <c r="J55" s="4">
        <f>IFERROR(INDEX(Picks_W9!$AF$6:$AF$69,MATCH($V55,Picks_W9!$AH$6:$AH$69,0)),0)</f>
        <v>0</v>
      </c>
      <c r="K55" s="4">
        <f>IFERROR(INDEX(Picks_W10!$AF$6:$AF$69,MATCH($V55,Picks_W10!$AH$6:$AH$69,0)),0)</f>
        <v>0</v>
      </c>
      <c r="L55" s="4">
        <f>IFERROR(INDEX(Picks_W11!$AF$6:$AF$69,MATCH($V55,Picks_W11!$AH$6:$AH$69,0)),0)</f>
        <v>0</v>
      </c>
      <c r="M55" s="4">
        <f>IFERROR(INDEX(Picks_W12!$AF$6:$AF$69,MATCH($V55,Picks_W12!$AH$6:$AH$69,0)),0)</f>
        <v>0</v>
      </c>
      <c r="N55" s="4">
        <f>IFERROR(INDEX(Picks_W13!$AF$6:$AF$69,MATCH($V55,Picks_W13!$AH$6:$AH$69,0)),0)</f>
        <v>0</v>
      </c>
      <c r="O55" s="4">
        <f t="shared" si="4"/>
        <v>13</v>
      </c>
      <c r="P55" s="4">
        <f>(IFERROR(INDEX(Picks_W1!$AF$6:$AF$69,MATCH($V55,Picks_W1!$AH$6:$AH$69,0)),"")=Results!$B$21)*(IFERROR(INDEX(Picks_W1!$AG$6:$AG$69,MATCH($V55,Picks_W1!$AH$6:$AH$69,0)),"")=Results!$C$21)+(IFERROR(INDEX(Picks_W2!$AF$6:$AF$69,MATCH($V55,Picks_W2!$AH$6:$AH$69,0)),"")=Results!$B$22)*(IFERROR(INDEX(Picks_W2!$AG$6:$AG$69,MATCH($V55,Picks_W2!$AH$6:$AH$69,0)),"")=Results!$C$22)+(IFERROR(INDEX(Picks_W3!$AF$6:$AF$69,MATCH($V55,Picks_W3!$AH$6:$AH$69,0)),"")=Results!$B$23)*(IFERROR(INDEX(Picks_W3!$AG$6:$AG$69,MATCH($V55,Picks_W3!$AH$6:$AH$69,0)),"")=Results!$C$23)+(IFERROR(INDEX(Picks_W4!$AF$6:$AF$69,MATCH($V55,Picks_W4!$AH$6:$AH$69,0)),"")=Results!$B$24)*(IFERROR(INDEX(Picks_W4!$AG$6:$AG$69,MATCH($V55,Picks_W4!$AH$6:$AH$69,0)),"")=Results!$C$24)+(IFERROR(INDEX(Picks_W5!$AF$6:$AF$69,MATCH($V55,Picks_W5!$AH$6:$AH$69,0)),"")=Results!$B$25)*(IFERROR(INDEX(Picks_W5!$AG$6:$AG$69,MATCH($V55,Picks_W5!$AH$6:$AH$69,0)),"")=Results!$C$25)+(IFERROR(INDEX(Picks_W6!$AF$6:$AF$69,MATCH($V55,Picks_W6!$AH$6:$AH$69,0)),"")=Results!$B$26)*(IFERROR(INDEX(Picks_W6!$AG$6:$AG$69,MATCH($V55,Picks_W6!$AH$6:$AH$69,0)),"")=Results!$C$26)+(IFERROR(INDEX(Picks_W7!$AF$6:$AF$69,MATCH($V55,Picks_W7!$AH$6:$AH$69,0)),"")=Results!$B$27)*(IFERROR(INDEX(Picks_W7!$AG$6:$AG$69,MATCH($V55,Picks_W7!$AH$6:$AH$69,0)),"")=Results!$C$27)+(IFERROR(INDEX(Picks_W8!$AF$6:$AF$69,MATCH($V55,Picks_W8!$AH$6:$AH$69,0)),"")=Results!$B$28)*(IFERROR(INDEX(Picks_W8!$AG$6:$AG$69,MATCH($V55,Picks_W8!$AH$6:$AH$69,0)),"")=Results!$C$28)+(IFERROR(INDEX(Picks_W9!$AF$6:$AF$69,MATCH($V55,Picks_W9!$AH$6:$AH$69,0)),"")=Results!$B$29)*(IFERROR(INDEX(Picks_W9!$AG$6:$AG$69,MATCH($V55,Picks_W9!$AH$6:$AH$69,0)),"")=Results!$C$29)+(IFERROR(INDEX(Picks_W10!$AF$6:$AF$69,MATCH($V55,Picks_W10!$AH$6:$AH$69,0)),"")=Results!$B$30)*(IFERROR(INDEX(Picks_W10!$AG$6:$AG$69,MATCH($V55,Picks_W10!$AH$6:$AH$69,0)),"")=Results!$C$30)+(IFERROR(INDEX(Picks_W11!$AF$6:$AF$69,MATCH($V55,Picks_W11!$AH$6:$AH$69,0)),"")=Results!$B$31)*(IFERROR(INDEX(Picks_W11!$AG$6:$AG$69,MATCH($V55,Picks_W11!$AH$6:$AH$69,0)),"")=Results!$C$31)+(IFERROR(INDEX(Picks_W12!$AF$6:$AF$69,MATCH($V55,Picks_W12!$AH$6:$AH$69,0)),"")=Results!$B$32)*(IFERROR(INDEX(Picks_W12!$AG$6:$AG$69,MATCH($V55,Picks_W12!$AH$6:$AH$69,0)),"")=Results!$C$32)+(IFERROR(INDEX(Picks_W13!$AF$6:$AF$69,MATCH($V55,Picks_W13!$AH$6:$AH$69,0)),"")=Results!$B$33)*(IFERROR(INDEX(Picks_W13!$AG$6:$AG$69,MATCH($V55,Picks_W13!$AH$6:$AH$69,0)),"")=Results!$C$33)</f>
        <v>0</v>
      </c>
      <c r="Q55" s="4">
        <f t="shared" si="5"/>
        <v>8</v>
      </c>
      <c r="R55" s="4">
        <f t="shared" si="6"/>
        <v>0</v>
      </c>
      <c r="S55" s="4">
        <f t="shared" si="7"/>
        <v>13.000244499999999</v>
      </c>
      <c r="T55" s="4">
        <f>IFERROR(INDEX(Picks_W1!$AV$6:$AV$69,MATCH($V55,Picks_W1!$AH$6:$AH$69,0)),0)+IFERROR(INDEX(Picks_W2!$AV$6:$AV$69,MATCH($V55,Picks_W2!$AH$6:$AH$69,0)),0)+IFERROR(INDEX(Picks_W3!$AV$6:$AV$69,MATCH($V55,Picks_W3!$AH$6:$AH$69,0)),0)+IFERROR(INDEX(Picks_W4!$AV$6:$AV$69,MATCH($V55,Picks_W4!$AH$6:$AH$69,0)),0)+IFERROR(INDEX(Picks_W5!$AV$6:$AV$69,MATCH($V55,Picks_W5!$AH$6:$AH$69,0)),0)+IFERROR(INDEX(Picks_W6!$AV$6:$AV$69,MATCH($V55,Picks_W6!$AH$6:$AH$69,0)),0)+IFERROR(INDEX(Picks_W7!$AV$6:$AV$69,MATCH($V55,Picks_W7!$AH$6:$AH$69,0)),0)+IFERROR(INDEX(Picks_W8!$AV$6:$AV$69,MATCH($V55,Picks_W8!$AH$6:$AH$69,0)),0)+IFERROR(INDEX(Picks_W9!$AV$6:$AV$69,MATCH($V55,Picks_W9!$AH$6:$AH$69,0)),0)+IFERROR(INDEX(Picks_W10!$AV$6:$AV$69,MATCH($V55,Picks_W10!$AH$6:$AH$69,0)),0)+IFERROR(INDEX(Picks_W11!$AV$6:$AV$69,MATCH($V55,Picks_W11!$AH$6:$AH$69,0)),0)+IFERROR(INDEX(Picks_W12!$AV$6:$AV$69,MATCH($V55,Picks_W12!$AH$6:$AH$69,0)),0)+IFERROR(INDEX(Picks_W13!$AV$6:$AV$69,MATCH($V55,Picks_W13!$AH$6:$AH$69,0)),0)</f>
        <v>2</v>
      </c>
      <c r="U55" s="17">
        <f>IF(Results!$B$35=0,0,T55/Results!$B$35)</f>
        <v>0.25</v>
      </c>
      <c r="V55" s="4">
        <v>44</v>
      </c>
    </row>
    <row r="56" spans="1:22" ht="15" customHeight="1" x14ac:dyDescent="0.25">
      <c r="A56" s="4" t="str">
        <f>IFERROR(INDEX(Players!$D$6:$D$69,MATCH(V56,Players!$A$6:$A$69,0)),"")</f>
        <v>Roger L.</v>
      </c>
      <c r="B56" s="4">
        <f>IFERROR(INDEX(Picks_W1!$AF$6:$AF$69,MATCH($V56,Picks_W1!$AH$6:$AH$69,0)),0)</f>
        <v>10</v>
      </c>
      <c r="C56" s="4">
        <f>IFERROR(INDEX(Picks_W2!$AF$6:$AF$69,MATCH($V56,Picks_W2!$AH$6:$AH$69,0)),0)</f>
        <v>9</v>
      </c>
      <c r="D56" s="4">
        <f>IFERROR(INDEX(Picks_W3!$AF$6:$AF$69,MATCH($V56,Picks_W3!$AH$6:$AH$69,0)),0)</f>
        <v>0</v>
      </c>
      <c r="E56" s="4">
        <f>IFERROR(INDEX(Picks_W4!$AF$6:$AF$69,MATCH($V56,Picks_W4!$AH$6:$AH$69,0)),0)</f>
        <v>0</v>
      </c>
      <c r="F56" s="4">
        <f>IFERROR(INDEX(Picks_W5!$AF$6:$AF$69,MATCH($V56,Picks_W5!$AH$6:$AH$69,0)),0)</f>
        <v>0</v>
      </c>
      <c r="G56" s="4">
        <f>IFERROR(INDEX(Picks_W6!$AF$6:$AF$69,MATCH($V56,Picks_W6!$AH$6:$AH$69,0)),0)</f>
        <v>0</v>
      </c>
      <c r="H56" s="4">
        <f>IFERROR(INDEX(Picks_W7!$AF$6:$AF$69,MATCH($V56,Picks_W7!$AH$6:$AH$69,0)),0)</f>
        <v>0</v>
      </c>
      <c r="I56" s="4">
        <f>IFERROR(INDEX(Picks_W8!$AF$6:$AF$69,MATCH($V56,Picks_W8!$AH$6:$AH$69,0)),0)</f>
        <v>0</v>
      </c>
      <c r="J56" s="4">
        <f>IFERROR(INDEX(Picks_W9!$AF$6:$AF$69,MATCH($V56,Picks_W9!$AH$6:$AH$69,0)),0)</f>
        <v>0</v>
      </c>
      <c r="K56" s="4">
        <f>IFERROR(INDEX(Picks_W10!$AF$6:$AF$69,MATCH($V56,Picks_W10!$AH$6:$AH$69,0)),0)</f>
        <v>0</v>
      </c>
      <c r="L56" s="4">
        <f>IFERROR(INDEX(Picks_W11!$AF$6:$AF$69,MATCH($V56,Picks_W11!$AH$6:$AH$69,0)),0)</f>
        <v>0</v>
      </c>
      <c r="M56" s="4">
        <f>IFERROR(INDEX(Picks_W12!$AF$6:$AF$69,MATCH($V56,Picks_W12!$AH$6:$AH$69,0)),0)</f>
        <v>0</v>
      </c>
      <c r="N56" s="4">
        <f>IFERROR(INDEX(Picks_W13!$AF$6:$AF$69,MATCH($V56,Picks_W13!$AH$6:$AH$69,0)),0)</f>
        <v>0</v>
      </c>
      <c r="O56" s="4">
        <f t="shared" si="4"/>
        <v>19</v>
      </c>
      <c r="P56" s="4">
        <f>(IFERROR(INDEX(Picks_W1!$AF$6:$AF$69,MATCH($V56,Picks_W1!$AH$6:$AH$69,0)),"")=Results!$B$21)*(IFERROR(INDEX(Picks_W1!$AG$6:$AG$69,MATCH($V56,Picks_W1!$AH$6:$AH$69,0)),"")=Results!$C$21)+(IFERROR(INDEX(Picks_W2!$AF$6:$AF$69,MATCH($V56,Picks_W2!$AH$6:$AH$69,0)),"")=Results!$B$22)*(IFERROR(INDEX(Picks_W2!$AG$6:$AG$69,MATCH($V56,Picks_W2!$AH$6:$AH$69,0)),"")=Results!$C$22)+(IFERROR(INDEX(Picks_W3!$AF$6:$AF$69,MATCH($V56,Picks_W3!$AH$6:$AH$69,0)),"")=Results!$B$23)*(IFERROR(INDEX(Picks_W3!$AG$6:$AG$69,MATCH($V56,Picks_W3!$AH$6:$AH$69,0)),"")=Results!$C$23)+(IFERROR(INDEX(Picks_W4!$AF$6:$AF$69,MATCH($V56,Picks_W4!$AH$6:$AH$69,0)),"")=Results!$B$24)*(IFERROR(INDEX(Picks_W4!$AG$6:$AG$69,MATCH($V56,Picks_W4!$AH$6:$AH$69,0)),"")=Results!$C$24)+(IFERROR(INDEX(Picks_W5!$AF$6:$AF$69,MATCH($V56,Picks_W5!$AH$6:$AH$69,0)),"")=Results!$B$25)*(IFERROR(INDEX(Picks_W5!$AG$6:$AG$69,MATCH($V56,Picks_W5!$AH$6:$AH$69,0)),"")=Results!$C$25)+(IFERROR(INDEX(Picks_W6!$AF$6:$AF$69,MATCH($V56,Picks_W6!$AH$6:$AH$69,0)),"")=Results!$B$26)*(IFERROR(INDEX(Picks_W6!$AG$6:$AG$69,MATCH($V56,Picks_W6!$AH$6:$AH$69,0)),"")=Results!$C$26)+(IFERROR(INDEX(Picks_W7!$AF$6:$AF$69,MATCH($V56,Picks_W7!$AH$6:$AH$69,0)),"")=Results!$B$27)*(IFERROR(INDEX(Picks_W7!$AG$6:$AG$69,MATCH($V56,Picks_W7!$AH$6:$AH$69,0)),"")=Results!$C$27)+(IFERROR(INDEX(Picks_W8!$AF$6:$AF$69,MATCH($V56,Picks_W8!$AH$6:$AH$69,0)),"")=Results!$B$28)*(IFERROR(INDEX(Picks_W8!$AG$6:$AG$69,MATCH($V56,Picks_W8!$AH$6:$AH$69,0)),"")=Results!$C$28)+(IFERROR(INDEX(Picks_W9!$AF$6:$AF$69,MATCH($V56,Picks_W9!$AH$6:$AH$69,0)),"")=Results!$B$29)*(IFERROR(INDEX(Picks_W9!$AG$6:$AG$69,MATCH($V56,Picks_W9!$AH$6:$AH$69,0)),"")=Results!$C$29)+(IFERROR(INDEX(Picks_W10!$AF$6:$AF$69,MATCH($V56,Picks_W10!$AH$6:$AH$69,0)),"")=Results!$B$30)*(IFERROR(INDEX(Picks_W10!$AG$6:$AG$69,MATCH($V56,Picks_W10!$AH$6:$AH$69,0)),"")=Results!$C$30)+(IFERROR(INDEX(Picks_W11!$AF$6:$AF$69,MATCH($V56,Picks_W11!$AH$6:$AH$69,0)),"")=Results!$B$31)*(IFERROR(INDEX(Picks_W11!$AG$6:$AG$69,MATCH($V56,Picks_W11!$AH$6:$AH$69,0)),"")=Results!$C$31)+(IFERROR(INDEX(Picks_W12!$AF$6:$AF$69,MATCH($V56,Picks_W12!$AH$6:$AH$69,0)),"")=Results!$B$32)*(IFERROR(INDEX(Picks_W12!$AG$6:$AG$69,MATCH($V56,Picks_W12!$AH$6:$AH$69,0)),"")=Results!$C$32)+(IFERROR(INDEX(Picks_W13!$AF$6:$AF$69,MATCH($V56,Picks_W13!$AH$6:$AH$69,0)),"")=Results!$B$33)*(IFERROR(INDEX(Picks_W13!$AG$6:$AG$69,MATCH($V56,Picks_W13!$AH$6:$AH$69,0)),"")=Results!$C$33)</f>
        <v>0</v>
      </c>
      <c r="Q56" s="4">
        <f t="shared" si="5"/>
        <v>10</v>
      </c>
      <c r="R56" s="4">
        <f t="shared" si="6"/>
        <v>0</v>
      </c>
      <c r="S56" s="4">
        <f t="shared" si="7"/>
        <v>19.000494399999997</v>
      </c>
      <c r="T56" s="4">
        <f>IFERROR(INDEX(Picks_W1!$AV$6:$AV$69,MATCH($V56,Picks_W1!$AH$6:$AH$69,0)),0)+IFERROR(INDEX(Picks_W2!$AV$6:$AV$69,MATCH($V56,Picks_W2!$AH$6:$AH$69,0)),0)+IFERROR(INDEX(Picks_W3!$AV$6:$AV$69,MATCH($V56,Picks_W3!$AH$6:$AH$69,0)),0)+IFERROR(INDEX(Picks_W4!$AV$6:$AV$69,MATCH($V56,Picks_W4!$AH$6:$AH$69,0)),0)+IFERROR(INDEX(Picks_W5!$AV$6:$AV$69,MATCH($V56,Picks_W5!$AH$6:$AH$69,0)),0)+IFERROR(INDEX(Picks_W6!$AV$6:$AV$69,MATCH($V56,Picks_W6!$AH$6:$AH$69,0)),0)+IFERROR(INDEX(Picks_W7!$AV$6:$AV$69,MATCH($V56,Picks_W7!$AH$6:$AH$69,0)),0)+IFERROR(INDEX(Picks_W8!$AV$6:$AV$69,MATCH($V56,Picks_W8!$AH$6:$AH$69,0)),0)+IFERROR(INDEX(Picks_W9!$AV$6:$AV$69,MATCH($V56,Picks_W9!$AH$6:$AH$69,0)),0)+IFERROR(INDEX(Picks_W10!$AV$6:$AV$69,MATCH($V56,Picks_W10!$AH$6:$AH$69,0)),0)+IFERROR(INDEX(Picks_W11!$AV$6:$AV$69,MATCH($V56,Picks_W11!$AH$6:$AH$69,0)),0)+IFERROR(INDEX(Picks_W12!$AV$6:$AV$69,MATCH($V56,Picks_W12!$AH$6:$AH$69,0)),0)+IFERROR(INDEX(Picks_W13!$AV$6:$AV$69,MATCH($V56,Picks_W13!$AH$6:$AH$69,0)),0)</f>
        <v>4</v>
      </c>
      <c r="U56" s="17">
        <f>IF(Results!$B$35=0,0,T56/Results!$B$35)</f>
        <v>0.5</v>
      </c>
      <c r="V56" s="4">
        <v>59</v>
      </c>
    </row>
    <row r="57" spans="1:22" ht="15" customHeight="1" x14ac:dyDescent="0.25">
      <c r="A57" s="4" t="str">
        <f>IFERROR(INDEX(Players!$D$6:$D$69,MATCH(V57,Players!$A$6:$A$69,0)),"")</f>
        <v>Ryan C.</v>
      </c>
      <c r="B57" s="4">
        <f>IFERROR(INDEX(Picks_W1!$AF$6:$AF$69,MATCH($V57,Picks_W1!$AH$6:$AH$69,0)),0)</f>
        <v>13</v>
      </c>
      <c r="C57" s="4">
        <f>IFERROR(INDEX(Picks_W2!$AF$6:$AF$69,MATCH($V57,Picks_W2!$AH$6:$AH$69,0)),0)</f>
        <v>9</v>
      </c>
      <c r="D57" s="4">
        <f>IFERROR(INDEX(Picks_W3!$AF$6:$AF$69,MATCH($V57,Picks_W3!$AH$6:$AH$69,0)),0)</f>
        <v>0</v>
      </c>
      <c r="E57" s="4">
        <f>IFERROR(INDEX(Picks_W4!$AF$6:$AF$69,MATCH($V57,Picks_W4!$AH$6:$AH$69,0)),0)</f>
        <v>0</v>
      </c>
      <c r="F57" s="4">
        <f>IFERROR(INDEX(Picks_W5!$AF$6:$AF$69,MATCH($V57,Picks_W5!$AH$6:$AH$69,0)),0)</f>
        <v>0</v>
      </c>
      <c r="G57" s="4">
        <f>IFERROR(INDEX(Picks_W6!$AF$6:$AF$69,MATCH($V57,Picks_W6!$AH$6:$AH$69,0)),0)</f>
        <v>0</v>
      </c>
      <c r="H57" s="4">
        <f>IFERROR(INDEX(Picks_W7!$AF$6:$AF$69,MATCH($V57,Picks_W7!$AH$6:$AH$69,0)),0)</f>
        <v>0</v>
      </c>
      <c r="I57" s="4">
        <f>IFERROR(INDEX(Picks_W8!$AF$6:$AF$69,MATCH($V57,Picks_W8!$AH$6:$AH$69,0)),0)</f>
        <v>0</v>
      </c>
      <c r="J57" s="4">
        <f>IFERROR(INDEX(Picks_W9!$AF$6:$AF$69,MATCH($V57,Picks_W9!$AH$6:$AH$69,0)),0)</f>
        <v>0</v>
      </c>
      <c r="K57" s="4">
        <f>IFERROR(INDEX(Picks_W10!$AF$6:$AF$69,MATCH($V57,Picks_W10!$AH$6:$AH$69,0)),0)</f>
        <v>0</v>
      </c>
      <c r="L57" s="4">
        <f>IFERROR(INDEX(Picks_W11!$AF$6:$AF$69,MATCH($V57,Picks_W11!$AH$6:$AH$69,0)),0)</f>
        <v>0</v>
      </c>
      <c r="M57" s="4">
        <f>IFERROR(INDEX(Picks_W12!$AF$6:$AF$69,MATCH($V57,Picks_W12!$AH$6:$AH$69,0)),0)</f>
        <v>0</v>
      </c>
      <c r="N57" s="4">
        <f>IFERROR(INDEX(Picks_W13!$AF$6:$AF$69,MATCH($V57,Picks_W13!$AH$6:$AH$69,0)),0)</f>
        <v>0</v>
      </c>
      <c r="O57" s="4">
        <f t="shared" si="4"/>
        <v>22</v>
      </c>
      <c r="P57" s="4">
        <f>(IFERROR(INDEX(Picks_W1!$AF$6:$AF$69,MATCH($V57,Picks_W1!$AH$6:$AH$69,0)),"")=Results!$B$21)*(IFERROR(INDEX(Picks_W1!$AG$6:$AG$69,MATCH($V57,Picks_W1!$AH$6:$AH$69,0)),"")=Results!$C$21)+(IFERROR(INDEX(Picks_W2!$AF$6:$AF$69,MATCH($V57,Picks_W2!$AH$6:$AH$69,0)),"")=Results!$B$22)*(IFERROR(INDEX(Picks_W2!$AG$6:$AG$69,MATCH($V57,Picks_W2!$AH$6:$AH$69,0)),"")=Results!$C$22)+(IFERROR(INDEX(Picks_W3!$AF$6:$AF$69,MATCH($V57,Picks_W3!$AH$6:$AH$69,0)),"")=Results!$B$23)*(IFERROR(INDEX(Picks_W3!$AG$6:$AG$69,MATCH($V57,Picks_W3!$AH$6:$AH$69,0)),"")=Results!$C$23)+(IFERROR(INDEX(Picks_W4!$AF$6:$AF$69,MATCH($V57,Picks_W4!$AH$6:$AH$69,0)),"")=Results!$B$24)*(IFERROR(INDEX(Picks_W4!$AG$6:$AG$69,MATCH($V57,Picks_W4!$AH$6:$AH$69,0)),"")=Results!$C$24)+(IFERROR(INDEX(Picks_W5!$AF$6:$AF$69,MATCH($V57,Picks_W5!$AH$6:$AH$69,0)),"")=Results!$B$25)*(IFERROR(INDEX(Picks_W5!$AG$6:$AG$69,MATCH($V57,Picks_W5!$AH$6:$AH$69,0)),"")=Results!$C$25)+(IFERROR(INDEX(Picks_W6!$AF$6:$AF$69,MATCH($V57,Picks_W6!$AH$6:$AH$69,0)),"")=Results!$B$26)*(IFERROR(INDEX(Picks_W6!$AG$6:$AG$69,MATCH($V57,Picks_W6!$AH$6:$AH$69,0)),"")=Results!$C$26)+(IFERROR(INDEX(Picks_W7!$AF$6:$AF$69,MATCH($V57,Picks_W7!$AH$6:$AH$69,0)),"")=Results!$B$27)*(IFERROR(INDEX(Picks_W7!$AG$6:$AG$69,MATCH($V57,Picks_W7!$AH$6:$AH$69,0)),"")=Results!$C$27)+(IFERROR(INDEX(Picks_W8!$AF$6:$AF$69,MATCH($V57,Picks_W8!$AH$6:$AH$69,0)),"")=Results!$B$28)*(IFERROR(INDEX(Picks_W8!$AG$6:$AG$69,MATCH($V57,Picks_W8!$AH$6:$AH$69,0)),"")=Results!$C$28)+(IFERROR(INDEX(Picks_W9!$AF$6:$AF$69,MATCH($V57,Picks_W9!$AH$6:$AH$69,0)),"")=Results!$B$29)*(IFERROR(INDEX(Picks_W9!$AG$6:$AG$69,MATCH($V57,Picks_W9!$AH$6:$AH$69,0)),"")=Results!$C$29)+(IFERROR(INDEX(Picks_W10!$AF$6:$AF$69,MATCH($V57,Picks_W10!$AH$6:$AH$69,0)),"")=Results!$B$30)*(IFERROR(INDEX(Picks_W10!$AG$6:$AG$69,MATCH($V57,Picks_W10!$AH$6:$AH$69,0)),"")=Results!$C$30)+(IFERROR(INDEX(Picks_W11!$AF$6:$AF$69,MATCH($V57,Picks_W11!$AH$6:$AH$69,0)),"")=Results!$B$31)*(IFERROR(INDEX(Picks_W11!$AG$6:$AG$69,MATCH($V57,Picks_W11!$AH$6:$AH$69,0)),"")=Results!$C$31)+(IFERROR(INDEX(Picks_W12!$AF$6:$AF$69,MATCH($V57,Picks_W12!$AH$6:$AH$69,0)),"")=Results!$B$32)*(IFERROR(INDEX(Picks_W12!$AG$6:$AG$69,MATCH($V57,Picks_W12!$AH$6:$AH$69,0)),"")=Results!$C$32)+(IFERROR(INDEX(Picks_W13!$AF$6:$AF$69,MATCH($V57,Picks_W13!$AH$6:$AH$69,0)),"")=Results!$B$33)*(IFERROR(INDEX(Picks_W13!$AG$6:$AG$69,MATCH($V57,Picks_W13!$AH$6:$AH$69,0)),"")=Results!$C$33)</f>
        <v>0</v>
      </c>
      <c r="Q57" s="4">
        <f t="shared" si="5"/>
        <v>13</v>
      </c>
      <c r="R57" s="4">
        <f t="shared" si="6"/>
        <v>0</v>
      </c>
      <c r="S57" s="4">
        <f t="shared" si="7"/>
        <v>22.000119300000001</v>
      </c>
      <c r="T57" s="4">
        <f>IFERROR(INDEX(Picks_W1!$AV$6:$AV$69,MATCH($V57,Picks_W1!$AH$6:$AH$69,0)),0)+IFERROR(INDEX(Picks_W2!$AV$6:$AV$69,MATCH($V57,Picks_W2!$AH$6:$AH$69,0)),0)+IFERROR(INDEX(Picks_W3!$AV$6:$AV$69,MATCH($V57,Picks_W3!$AH$6:$AH$69,0)),0)+IFERROR(INDEX(Picks_W4!$AV$6:$AV$69,MATCH($V57,Picks_W4!$AH$6:$AH$69,0)),0)+IFERROR(INDEX(Picks_W5!$AV$6:$AV$69,MATCH($V57,Picks_W5!$AH$6:$AH$69,0)),0)+IFERROR(INDEX(Picks_W6!$AV$6:$AV$69,MATCH($V57,Picks_W6!$AH$6:$AH$69,0)),0)+IFERROR(INDEX(Picks_W7!$AV$6:$AV$69,MATCH($V57,Picks_W7!$AH$6:$AH$69,0)),0)+IFERROR(INDEX(Picks_W8!$AV$6:$AV$69,MATCH($V57,Picks_W8!$AH$6:$AH$69,0)),0)+IFERROR(INDEX(Picks_W9!$AV$6:$AV$69,MATCH($V57,Picks_W9!$AH$6:$AH$69,0)),0)+IFERROR(INDEX(Picks_W10!$AV$6:$AV$69,MATCH($V57,Picks_W10!$AH$6:$AH$69,0)),0)+IFERROR(INDEX(Picks_W11!$AV$6:$AV$69,MATCH($V57,Picks_W11!$AH$6:$AH$69,0)),0)+IFERROR(INDEX(Picks_W12!$AV$6:$AV$69,MATCH($V57,Picks_W12!$AH$6:$AH$69,0)),0)+IFERROR(INDEX(Picks_W13!$AV$6:$AV$69,MATCH($V57,Picks_W13!$AH$6:$AH$69,0)),0)</f>
        <v>1</v>
      </c>
      <c r="U57" s="17">
        <f>IF(Results!$B$35=0,0,T57/Results!$B$35)</f>
        <v>0.125</v>
      </c>
      <c r="V57" s="4">
        <v>28</v>
      </c>
    </row>
    <row r="58" spans="1:22" ht="15" customHeight="1" x14ac:dyDescent="0.25">
      <c r="A58" s="4" t="str">
        <f>IFERROR(INDEX(Players!$D$6:$D$69,MATCH(V58,Players!$A$6:$A$69,0)),"")</f>
        <v>Ryan T.</v>
      </c>
      <c r="B58" s="4">
        <f>IFERROR(INDEX(Picks_W1!$AF$6:$AF$69,MATCH($V58,Picks_W1!$AH$6:$AH$69,0)),0)</f>
        <v>8</v>
      </c>
      <c r="C58" s="4">
        <f>IFERROR(INDEX(Picks_W2!$AF$6:$AF$69,MATCH($V58,Picks_W2!$AH$6:$AH$69,0)),0)</f>
        <v>9</v>
      </c>
      <c r="D58" s="4">
        <f>IFERROR(INDEX(Picks_W3!$AF$6:$AF$69,MATCH($V58,Picks_W3!$AH$6:$AH$69,0)),0)</f>
        <v>0</v>
      </c>
      <c r="E58" s="4">
        <f>IFERROR(INDEX(Picks_W4!$AF$6:$AF$69,MATCH($V58,Picks_W4!$AH$6:$AH$69,0)),0)</f>
        <v>0</v>
      </c>
      <c r="F58" s="4">
        <f>IFERROR(INDEX(Picks_W5!$AF$6:$AF$69,MATCH($V58,Picks_W5!$AH$6:$AH$69,0)),0)</f>
        <v>0</v>
      </c>
      <c r="G58" s="4">
        <f>IFERROR(INDEX(Picks_W6!$AF$6:$AF$69,MATCH($V58,Picks_W6!$AH$6:$AH$69,0)),0)</f>
        <v>0</v>
      </c>
      <c r="H58" s="4">
        <f>IFERROR(INDEX(Picks_W7!$AF$6:$AF$69,MATCH($V58,Picks_W7!$AH$6:$AH$69,0)),0)</f>
        <v>0</v>
      </c>
      <c r="I58" s="4">
        <f>IFERROR(INDEX(Picks_W8!$AF$6:$AF$69,MATCH($V58,Picks_W8!$AH$6:$AH$69,0)),0)</f>
        <v>0</v>
      </c>
      <c r="J58" s="4">
        <f>IFERROR(INDEX(Picks_W9!$AF$6:$AF$69,MATCH($V58,Picks_W9!$AH$6:$AH$69,0)),0)</f>
        <v>0</v>
      </c>
      <c r="K58" s="4">
        <f>IFERROR(INDEX(Picks_W10!$AF$6:$AF$69,MATCH($V58,Picks_W10!$AH$6:$AH$69,0)),0)</f>
        <v>0</v>
      </c>
      <c r="L58" s="4">
        <f>IFERROR(INDEX(Picks_W11!$AF$6:$AF$69,MATCH($V58,Picks_W11!$AH$6:$AH$69,0)),0)</f>
        <v>0</v>
      </c>
      <c r="M58" s="4">
        <f>IFERROR(INDEX(Picks_W12!$AF$6:$AF$69,MATCH($V58,Picks_W12!$AH$6:$AH$69,0)),0)</f>
        <v>0</v>
      </c>
      <c r="N58" s="4">
        <f>IFERROR(INDEX(Picks_W13!$AF$6:$AF$69,MATCH($V58,Picks_W13!$AH$6:$AH$69,0)),0)</f>
        <v>0</v>
      </c>
      <c r="O58" s="4">
        <f t="shared" si="4"/>
        <v>17</v>
      </c>
      <c r="P58" s="4">
        <f>(IFERROR(INDEX(Picks_W1!$AF$6:$AF$69,MATCH($V58,Picks_W1!$AH$6:$AH$69,0)),"")=Results!$B$21)*(IFERROR(INDEX(Picks_W1!$AG$6:$AG$69,MATCH($V58,Picks_W1!$AH$6:$AH$69,0)),"")=Results!$C$21)+(IFERROR(INDEX(Picks_W2!$AF$6:$AF$69,MATCH($V58,Picks_W2!$AH$6:$AH$69,0)),"")=Results!$B$22)*(IFERROR(INDEX(Picks_W2!$AG$6:$AG$69,MATCH($V58,Picks_W2!$AH$6:$AH$69,0)),"")=Results!$C$22)+(IFERROR(INDEX(Picks_W3!$AF$6:$AF$69,MATCH($V58,Picks_W3!$AH$6:$AH$69,0)),"")=Results!$B$23)*(IFERROR(INDEX(Picks_W3!$AG$6:$AG$69,MATCH($V58,Picks_W3!$AH$6:$AH$69,0)),"")=Results!$C$23)+(IFERROR(INDEX(Picks_W4!$AF$6:$AF$69,MATCH($V58,Picks_W4!$AH$6:$AH$69,0)),"")=Results!$B$24)*(IFERROR(INDEX(Picks_W4!$AG$6:$AG$69,MATCH($V58,Picks_W4!$AH$6:$AH$69,0)),"")=Results!$C$24)+(IFERROR(INDEX(Picks_W5!$AF$6:$AF$69,MATCH($V58,Picks_W5!$AH$6:$AH$69,0)),"")=Results!$B$25)*(IFERROR(INDEX(Picks_W5!$AG$6:$AG$69,MATCH($V58,Picks_W5!$AH$6:$AH$69,0)),"")=Results!$C$25)+(IFERROR(INDEX(Picks_W6!$AF$6:$AF$69,MATCH($V58,Picks_W6!$AH$6:$AH$69,0)),"")=Results!$B$26)*(IFERROR(INDEX(Picks_W6!$AG$6:$AG$69,MATCH($V58,Picks_W6!$AH$6:$AH$69,0)),"")=Results!$C$26)+(IFERROR(INDEX(Picks_W7!$AF$6:$AF$69,MATCH($V58,Picks_W7!$AH$6:$AH$69,0)),"")=Results!$B$27)*(IFERROR(INDEX(Picks_W7!$AG$6:$AG$69,MATCH($V58,Picks_W7!$AH$6:$AH$69,0)),"")=Results!$C$27)+(IFERROR(INDEX(Picks_W8!$AF$6:$AF$69,MATCH($V58,Picks_W8!$AH$6:$AH$69,0)),"")=Results!$B$28)*(IFERROR(INDEX(Picks_W8!$AG$6:$AG$69,MATCH($V58,Picks_W8!$AH$6:$AH$69,0)),"")=Results!$C$28)+(IFERROR(INDEX(Picks_W9!$AF$6:$AF$69,MATCH($V58,Picks_W9!$AH$6:$AH$69,0)),"")=Results!$B$29)*(IFERROR(INDEX(Picks_W9!$AG$6:$AG$69,MATCH($V58,Picks_W9!$AH$6:$AH$69,0)),"")=Results!$C$29)+(IFERROR(INDEX(Picks_W10!$AF$6:$AF$69,MATCH($V58,Picks_W10!$AH$6:$AH$69,0)),"")=Results!$B$30)*(IFERROR(INDEX(Picks_W10!$AG$6:$AG$69,MATCH($V58,Picks_W10!$AH$6:$AH$69,0)),"")=Results!$C$30)+(IFERROR(INDEX(Picks_W11!$AF$6:$AF$69,MATCH($V58,Picks_W11!$AH$6:$AH$69,0)),"")=Results!$B$31)*(IFERROR(INDEX(Picks_W11!$AG$6:$AG$69,MATCH($V58,Picks_W11!$AH$6:$AH$69,0)),"")=Results!$C$31)+(IFERROR(INDEX(Picks_W12!$AF$6:$AF$69,MATCH($V58,Picks_W12!$AH$6:$AH$69,0)),"")=Results!$B$32)*(IFERROR(INDEX(Picks_W12!$AG$6:$AG$69,MATCH($V58,Picks_W12!$AH$6:$AH$69,0)),"")=Results!$C$32)+(IFERROR(INDEX(Picks_W13!$AF$6:$AF$69,MATCH($V58,Picks_W13!$AH$6:$AH$69,0)),"")=Results!$B$33)*(IFERROR(INDEX(Picks_W13!$AG$6:$AG$69,MATCH($V58,Picks_W13!$AH$6:$AH$69,0)),"")=Results!$C$33)</f>
        <v>0</v>
      </c>
      <c r="Q58" s="4">
        <f t="shared" si="5"/>
        <v>9</v>
      </c>
      <c r="R58" s="4">
        <f t="shared" si="6"/>
        <v>0</v>
      </c>
      <c r="S58" s="4">
        <f t="shared" si="7"/>
        <v>17.0001192</v>
      </c>
      <c r="T58" s="4">
        <f>IFERROR(INDEX(Picks_W1!$AV$6:$AV$69,MATCH($V58,Picks_W1!$AH$6:$AH$69,0)),0)+IFERROR(INDEX(Picks_W2!$AV$6:$AV$69,MATCH($V58,Picks_W2!$AH$6:$AH$69,0)),0)+IFERROR(INDEX(Picks_W3!$AV$6:$AV$69,MATCH($V58,Picks_W3!$AH$6:$AH$69,0)),0)+IFERROR(INDEX(Picks_W4!$AV$6:$AV$69,MATCH($V58,Picks_W4!$AH$6:$AH$69,0)),0)+IFERROR(INDEX(Picks_W5!$AV$6:$AV$69,MATCH($V58,Picks_W5!$AH$6:$AH$69,0)),0)+IFERROR(INDEX(Picks_W6!$AV$6:$AV$69,MATCH($V58,Picks_W6!$AH$6:$AH$69,0)),0)+IFERROR(INDEX(Picks_W7!$AV$6:$AV$69,MATCH($V58,Picks_W7!$AH$6:$AH$69,0)),0)+IFERROR(INDEX(Picks_W8!$AV$6:$AV$69,MATCH($V58,Picks_W8!$AH$6:$AH$69,0)),0)+IFERROR(INDEX(Picks_W9!$AV$6:$AV$69,MATCH($V58,Picks_W9!$AH$6:$AH$69,0)),0)+IFERROR(INDEX(Picks_W10!$AV$6:$AV$69,MATCH($V58,Picks_W10!$AH$6:$AH$69,0)),0)+IFERROR(INDEX(Picks_W11!$AV$6:$AV$69,MATCH($V58,Picks_W11!$AH$6:$AH$69,0)),0)+IFERROR(INDEX(Picks_W12!$AV$6:$AV$69,MATCH($V58,Picks_W12!$AH$6:$AH$69,0)),0)+IFERROR(INDEX(Picks_W13!$AV$6:$AV$69,MATCH($V58,Picks_W13!$AH$6:$AH$69,0)),0)</f>
        <v>1</v>
      </c>
      <c r="U58" s="17">
        <f>IF(Results!$B$35=0,0,T58/Results!$B$35)</f>
        <v>0.125</v>
      </c>
      <c r="V58" s="4">
        <v>29</v>
      </c>
    </row>
    <row r="59" spans="1:22" ht="15" customHeight="1" x14ac:dyDescent="0.25">
      <c r="A59" s="4" t="str">
        <f>IFERROR(INDEX(Players!$D$6:$D$69,MATCH(V59,Players!$A$6:$A$69,0)),"")</f>
        <v>Stephanie C.</v>
      </c>
      <c r="B59" s="4">
        <f>IFERROR(INDEX(Picks_W1!$AF$6:$AF$69,MATCH($V59,Picks_W1!$AH$6:$AH$69,0)),0)</f>
        <v>10</v>
      </c>
      <c r="C59" s="4">
        <f>IFERROR(INDEX(Picks_W2!$AF$6:$AF$69,MATCH($V59,Picks_W2!$AH$6:$AH$69,0)),0)</f>
        <v>13</v>
      </c>
      <c r="D59" s="4">
        <f>IFERROR(INDEX(Picks_W3!$AF$6:$AF$69,MATCH($V59,Picks_W3!$AH$6:$AH$69,0)),0)</f>
        <v>0</v>
      </c>
      <c r="E59" s="4">
        <f>IFERROR(INDEX(Picks_W4!$AF$6:$AF$69,MATCH($V59,Picks_W4!$AH$6:$AH$69,0)),0)</f>
        <v>0</v>
      </c>
      <c r="F59" s="4">
        <f>IFERROR(INDEX(Picks_W5!$AF$6:$AF$69,MATCH($V59,Picks_W5!$AH$6:$AH$69,0)),0)</f>
        <v>0</v>
      </c>
      <c r="G59" s="4">
        <f>IFERROR(INDEX(Picks_W6!$AF$6:$AF$69,MATCH($V59,Picks_W6!$AH$6:$AH$69,0)),0)</f>
        <v>0</v>
      </c>
      <c r="H59" s="4">
        <f>IFERROR(INDEX(Picks_W7!$AF$6:$AF$69,MATCH($V59,Picks_W7!$AH$6:$AH$69,0)),0)</f>
        <v>0</v>
      </c>
      <c r="I59" s="4">
        <f>IFERROR(INDEX(Picks_W8!$AF$6:$AF$69,MATCH($V59,Picks_W8!$AH$6:$AH$69,0)),0)</f>
        <v>0</v>
      </c>
      <c r="J59" s="4">
        <f>IFERROR(INDEX(Picks_W9!$AF$6:$AF$69,MATCH($V59,Picks_W9!$AH$6:$AH$69,0)),0)</f>
        <v>0</v>
      </c>
      <c r="K59" s="4">
        <f>IFERROR(INDEX(Picks_W10!$AF$6:$AF$69,MATCH($V59,Picks_W10!$AH$6:$AH$69,0)),0)</f>
        <v>0</v>
      </c>
      <c r="L59" s="4">
        <f>IFERROR(INDEX(Picks_W11!$AF$6:$AF$69,MATCH($V59,Picks_W11!$AH$6:$AH$69,0)),0)</f>
        <v>0</v>
      </c>
      <c r="M59" s="4">
        <f>IFERROR(INDEX(Picks_W12!$AF$6:$AF$69,MATCH($V59,Picks_W12!$AH$6:$AH$69,0)),0)</f>
        <v>0</v>
      </c>
      <c r="N59" s="4">
        <f>IFERROR(INDEX(Picks_W13!$AF$6:$AF$69,MATCH($V59,Picks_W13!$AH$6:$AH$69,0)),0)</f>
        <v>0</v>
      </c>
      <c r="O59" s="4">
        <f t="shared" si="4"/>
        <v>23</v>
      </c>
      <c r="P59" s="4">
        <f>(IFERROR(INDEX(Picks_W1!$AF$6:$AF$69,MATCH($V59,Picks_W1!$AH$6:$AH$69,0)),"")=Results!$B$21)*(IFERROR(INDEX(Picks_W1!$AG$6:$AG$69,MATCH($V59,Picks_W1!$AH$6:$AH$69,0)),"")=Results!$C$21)+(IFERROR(INDEX(Picks_W2!$AF$6:$AF$69,MATCH($V59,Picks_W2!$AH$6:$AH$69,0)),"")=Results!$B$22)*(IFERROR(INDEX(Picks_W2!$AG$6:$AG$69,MATCH($V59,Picks_W2!$AH$6:$AH$69,0)),"")=Results!$C$22)+(IFERROR(INDEX(Picks_W3!$AF$6:$AF$69,MATCH($V59,Picks_W3!$AH$6:$AH$69,0)),"")=Results!$B$23)*(IFERROR(INDEX(Picks_W3!$AG$6:$AG$69,MATCH($V59,Picks_W3!$AH$6:$AH$69,0)),"")=Results!$C$23)+(IFERROR(INDEX(Picks_W4!$AF$6:$AF$69,MATCH($V59,Picks_W4!$AH$6:$AH$69,0)),"")=Results!$B$24)*(IFERROR(INDEX(Picks_W4!$AG$6:$AG$69,MATCH($V59,Picks_W4!$AH$6:$AH$69,0)),"")=Results!$C$24)+(IFERROR(INDEX(Picks_W5!$AF$6:$AF$69,MATCH($V59,Picks_W5!$AH$6:$AH$69,0)),"")=Results!$B$25)*(IFERROR(INDEX(Picks_W5!$AG$6:$AG$69,MATCH($V59,Picks_W5!$AH$6:$AH$69,0)),"")=Results!$C$25)+(IFERROR(INDEX(Picks_W6!$AF$6:$AF$69,MATCH($V59,Picks_W6!$AH$6:$AH$69,0)),"")=Results!$B$26)*(IFERROR(INDEX(Picks_W6!$AG$6:$AG$69,MATCH($V59,Picks_W6!$AH$6:$AH$69,0)),"")=Results!$C$26)+(IFERROR(INDEX(Picks_W7!$AF$6:$AF$69,MATCH($V59,Picks_W7!$AH$6:$AH$69,0)),"")=Results!$B$27)*(IFERROR(INDEX(Picks_W7!$AG$6:$AG$69,MATCH($V59,Picks_W7!$AH$6:$AH$69,0)),"")=Results!$C$27)+(IFERROR(INDEX(Picks_W8!$AF$6:$AF$69,MATCH($V59,Picks_W8!$AH$6:$AH$69,0)),"")=Results!$B$28)*(IFERROR(INDEX(Picks_W8!$AG$6:$AG$69,MATCH($V59,Picks_W8!$AH$6:$AH$69,0)),"")=Results!$C$28)+(IFERROR(INDEX(Picks_W9!$AF$6:$AF$69,MATCH($V59,Picks_W9!$AH$6:$AH$69,0)),"")=Results!$B$29)*(IFERROR(INDEX(Picks_W9!$AG$6:$AG$69,MATCH($V59,Picks_W9!$AH$6:$AH$69,0)),"")=Results!$C$29)+(IFERROR(INDEX(Picks_W10!$AF$6:$AF$69,MATCH($V59,Picks_W10!$AH$6:$AH$69,0)),"")=Results!$B$30)*(IFERROR(INDEX(Picks_W10!$AG$6:$AG$69,MATCH($V59,Picks_W10!$AH$6:$AH$69,0)),"")=Results!$C$30)+(IFERROR(INDEX(Picks_W11!$AF$6:$AF$69,MATCH($V59,Picks_W11!$AH$6:$AH$69,0)),"")=Results!$B$31)*(IFERROR(INDEX(Picks_W11!$AG$6:$AG$69,MATCH($V59,Picks_W11!$AH$6:$AH$69,0)),"")=Results!$C$31)+(IFERROR(INDEX(Picks_W12!$AF$6:$AF$69,MATCH($V59,Picks_W12!$AH$6:$AH$69,0)),"")=Results!$B$32)*(IFERROR(INDEX(Picks_W12!$AG$6:$AG$69,MATCH($V59,Picks_W12!$AH$6:$AH$69,0)),"")=Results!$C$32)+(IFERROR(INDEX(Picks_W13!$AF$6:$AF$69,MATCH($V59,Picks_W13!$AH$6:$AH$69,0)),"")=Results!$B$33)*(IFERROR(INDEX(Picks_W13!$AG$6:$AG$69,MATCH($V59,Picks_W13!$AH$6:$AH$69,0)),"")=Results!$C$33)</f>
        <v>0</v>
      </c>
      <c r="Q59" s="4">
        <f t="shared" si="5"/>
        <v>13</v>
      </c>
      <c r="R59" s="4">
        <f t="shared" si="6"/>
        <v>0</v>
      </c>
      <c r="S59" s="4">
        <f t="shared" si="7"/>
        <v>23.000494099999997</v>
      </c>
      <c r="T59" s="4">
        <f>IFERROR(INDEX(Picks_W1!$AV$6:$AV$69,MATCH($V59,Picks_W1!$AH$6:$AH$69,0)),0)+IFERROR(INDEX(Picks_W2!$AV$6:$AV$69,MATCH($V59,Picks_W2!$AH$6:$AH$69,0)),0)+IFERROR(INDEX(Picks_W3!$AV$6:$AV$69,MATCH($V59,Picks_W3!$AH$6:$AH$69,0)),0)+IFERROR(INDEX(Picks_W4!$AV$6:$AV$69,MATCH($V59,Picks_W4!$AH$6:$AH$69,0)),0)+IFERROR(INDEX(Picks_W5!$AV$6:$AV$69,MATCH($V59,Picks_W5!$AH$6:$AH$69,0)),0)+IFERROR(INDEX(Picks_W6!$AV$6:$AV$69,MATCH($V59,Picks_W6!$AH$6:$AH$69,0)),0)+IFERROR(INDEX(Picks_W7!$AV$6:$AV$69,MATCH($V59,Picks_W7!$AH$6:$AH$69,0)),0)+IFERROR(INDEX(Picks_W8!$AV$6:$AV$69,MATCH($V59,Picks_W8!$AH$6:$AH$69,0)),0)+IFERROR(INDEX(Picks_W9!$AV$6:$AV$69,MATCH($V59,Picks_W9!$AH$6:$AH$69,0)),0)+IFERROR(INDEX(Picks_W10!$AV$6:$AV$69,MATCH($V59,Picks_W10!$AH$6:$AH$69,0)),0)+IFERROR(INDEX(Picks_W11!$AV$6:$AV$69,MATCH($V59,Picks_W11!$AH$6:$AH$69,0)),0)+IFERROR(INDEX(Picks_W12!$AV$6:$AV$69,MATCH($V59,Picks_W12!$AH$6:$AH$69,0)),0)+IFERROR(INDEX(Picks_W13!$AV$6:$AV$69,MATCH($V59,Picks_W13!$AH$6:$AH$69,0)),0)</f>
        <v>4</v>
      </c>
      <c r="U59" s="17">
        <f>IF(Results!$B$35=0,0,T59/Results!$B$35)</f>
        <v>0.5</v>
      </c>
      <c r="V59" s="4">
        <v>51</v>
      </c>
    </row>
    <row r="60" spans="1:22" ht="15" customHeight="1" x14ac:dyDescent="0.25">
      <c r="A60" s="4" t="str">
        <f>IFERROR(INDEX(Players!$D$6:$D$69,MATCH(V60,Players!$A$6:$A$69,0)),"")</f>
        <v>Taylor M.</v>
      </c>
      <c r="B60" s="4">
        <f>IFERROR(INDEX(Picks_W1!$AF$6:$AF$69,MATCH($V60,Picks_W1!$AH$6:$AH$69,0)),0)</f>
        <v>11</v>
      </c>
      <c r="C60" s="4">
        <f>IFERROR(INDEX(Picks_W2!$AF$6:$AF$69,MATCH($V60,Picks_W2!$AH$6:$AH$69,0)),0)</f>
        <v>11</v>
      </c>
      <c r="D60" s="4">
        <f>IFERROR(INDEX(Picks_W3!$AF$6:$AF$69,MATCH($V60,Picks_W3!$AH$6:$AH$69,0)),0)</f>
        <v>0</v>
      </c>
      <c r="E60" s="4">
        <f>IFERROR(INDEX(Picks_W4!$AF$6:$AF$69,MATCH($V60,Picks_W4!$AH$6:$AH$69,0)),0)</f>
        <v>0</v>
      </c>
      <c r="F60" s="4">
        <f>IFERROR(INDEX(Picks_W5!$AF$6:$AF$69,MATCH($V60,Picks_W5!$AH$6:$AH$69,0)),0)</f>
        <v>0</v>
      </c>
      <c r="G60" s="4">
        <f>IFERROR(INDEX(Picks_W6!$AF$6:$AF$69,MATCH($V60,Picks_W6!$AH$6:$AH$69,0)),0)</f>
        <v>0</v>
      </c>
      <c r="H60" s="4">
        <f>IFERROR(INDEX(Picks_W7!$AF$6:$AF$69,MATCH($V60,Picks_W7!$AH$6:$AH$69,0)),0)</f>
        <v>0</v>
      </c>
      <c r="I60" s="4">
        <f>IFERROR(INDEX(Picks_W8!$AF$6:$AF$69,MATCH($V60,Picks_W8!$AH$6:$AH$69,0)),0)</f>
        <v>0</v>
      </c>
      <c r="J60" s="4">
        <f>IFERROR(INDEX(Picks_W9!$AF$6:$AF$69,MATCH($V60,Picks_W9!$AH$6:$AH$69,0)),0)</f>
        <v>0</v>
      </c>
      <c r="K60" s="4">
        <f>IFERROR(INDEX(Picks_W10!$AF$6:$AF$69,MATCH($V60,Picks_W10!$AH$6:$AH$69,0)),0)</f>
        <v>0</v>
      </c>
      <c r="L60" s="4">
        <f>IFERROR(INDEX(Picks_W11!$AF$6:$AF$69,MATCH($V60,Picks_W11!$AH$6:$AH$69,0)),0)</f>
        <v>0</v>
      </c>
      <c r="M60" s="4">
        <f>IFERROR(INDEX(Picks_W12!$AF$6:$AF$69,MATCH($V60,Picks_W12!$AH$6:$AH$69,0)),0)</f>
        <v>0</v>
      </c>
      <c r="N60" s="4">
        <f>IFERROR(INDEX(Picks_W13!$AF$6:$AF$69,MATCH($V60,Picks_W13!$AH$6:$AH$69,0)),0)</f>
        <v>0</v>
      </c>
      <c r="O60" s="4">
        <f t="shared" si="4"/>
        <v>22</v>
      </c>
      <c r="P60" s="4">
        <f>(IFERROR(INDEX(Picks_W1!$AF$6:$AF$69,MATCH($V60,Picks_W1!$AH$6:$AH$69,0)),"")=Results!$B$21)*(IFERROR(INDEX(Picks_W1!$AG$6:$AG$69,MATCH($V60,Picks_W1!$AH$6:$AH$69,0)),"")=Results!$C$21)+(IFERROR(INDEX(Picks_W2!$AF$6:$AF$69,MATCH($V60,Picks_W2!$AH$6:$AH$69,0)),"")=Results!$B$22)*(IFERROR(INDEX(Picks_W2!$AG$6:$AG$69,MATCH($V60,Picks_W2!$AH$6:$AH$69,0)),"")=Results!$C$22)+(IFERROR(INDEX(Picks_W3!$AF$6:$AF$69,MATCH($V60,Picks_W3!$AH$6:$AH$69,0)),"")=Results!$B$23)*(IFERROR(INDEX(Picks_W3!$AG$6:$AG$69,MATCH($V60,Picks_W3!$AH$6:$AH$69,0)),"")=Results!$C$23)+(IFERROR(INDEX(Picks_W4!$AF$6:$AF$69,MATCH($V60,Picks_W4!$AH$6:$AH$69,0)),"")=Results!$B$24)*(IFERROR(INDEX(Picks_W4!$AG$6:$AG$69,MATCH($V60,Picks_W4!$AH$6:$AH$69,0)),"")=Results!$C$24)+(IFERROR(INDEX(Picks_W5!$AF$6:$AF$69,MATCH($V60,Picks_W5!$AH$6:$AH$69,0)),"")=Results!$B$25)*(IFERROR(INDEX(Picks_W5!$AG$6:$AG$69,MATCH($V60,Picks_W5!$AH$6:$AH$69,0)),"")=Results!$C$25)+(IFERROR(INDEX(Picks_W6!$AF$6:$AF$69,MATCH($V60,Picks_W6!$AH$6:$AH$69,0)),"")=Results!$B$26)*(IFERROR(INDEX(Picks_W6!$AG$6:$AG$69,MATCH($V60,Picks_W6!$AH$6:$AH$69,0)),"")=Results!$C$26)+(IFERROR(INDEX(Picks_W7!$AF$6:$AF$69,MATCH($V60,Picks_W7!$AH$6:$AH$69,0)),"")=Results!$B$27)*(IFERROR(INDEX(Picks_W7!$AG$6:$AG$69,MATCH($V60,Picks_W7!$AH$6:$AH$69,0)),"")=Results!$C$27)+(IFERROR(INDEX(Picks_W8!$AF$6:$AF$69,MATCH($V60,Picks_W8!$AH$6:$AH$69,0)),"")=Results!$B$28)*(IFERROR(INDEX(Picks_W8!$AG$6:$AG$69,MATCH($V60,Picks_W8!$AH$6:$AH$69,0)),"")=Results!$C$28)+(IFERROR(INDEX(Picks_W9!$AF$6:$AF$69,MATCH($V60,Picks_W9!$AH$6:$AH$69,0)),"")=Results!$B$29)*(IFERROR(INDEX(Picks_W9!$AG$6:$AG$69,MATCH($V60,Picks_W9!$AH$6:$AH$69,0)),"")=Results!$C$29)+(IFERROR(INDEX(Picks_W10!$AF$6:$AF$69,MATCH($V60,Picks_W10!$AH$6:$AH$69,0)),"")=Results!$B$30)*(IFERROR(INDEX(Picks_W10!$AG$6:$AG$69,MATCH($V60,Picks_W10!$AH$6:$AH$69,0)),"")=Results!$C$30)+(IFERROR(INDEX(Picks_W11!$AF$6:$AF$69,MATCH($V60,Picks_W11!$AH$6:$AH$69,0)),"")=Results!$B$31)*(IFERROR(INDEX(Picks_W11!$AG$6:$AG$69,MATCH($V60,Picks_W11!$AH$6:$AH$69,0)),"")=Results!$C$31)+(IFERROR(INDEX(Picks_W12!$AF$6:$AF$69,MATCH($V60,Picks_W12!$AH$6:$AH$69,0)),"")=Results!$B$32)*(IFERROR(INDEX(Picks_W12!$AG$6:$AG$69,MATCH($V60,Picks_W12!$AH$6:$AH$69,0)),"")=Results!$C$32)+(IFERROR(INDEX(Picks_W13!$AF$6:$AF$69,MATCH($V60,Picks_W13!$AH$6:$AH$69,0)),"")=Results!$B$33)*(IFERROR(INDEX(Picks_W13!$AG$6:$AG$69,MATCH($V60,Picks_W13!$AH$6:$AH$69,0)),"")=Results!$C$33)</f>
        <v>0</v>
      </c>
      <c r="Q60" s="4">
        <f t="shared" si="5"/>
        <v>11</v>
      </c>
      <c r="R60" s="4">
        <f t="shared" si="6"/>
        <v>0</v>
      </c>
      <c r="S60" s="4">
        <f t="shared" si="7"/>
        <v>22.000244000000002</v>
      </c>
      <c r="T60" s="4">
        <f>IFERROR(INDEX(Picks_W1!$AV$6:$AV$69,MATCH($V60,Picks_W1!$AH$6:$AH$69,0)),0)+IFERROR(INDEX(Picks_W2!$AV$6:$AV$69,MATCH($V60,Picks_W2!$AH$6:$AH$69,0)),0)+IFERROR(INDEX(Picks_W3!$AV$6:$AV$69,MATCH($V60,Picks_W3!$AH$6:$AH$69,0)),0)+IFERROR(INDEX(Picks_W4!$AV$6:$AV$69,MATCH($V60,Picks_W4!$AH$6:$AH$69,0)),0)+IFERROR(INDEX(Picks_W5!$AV$6:$AV$69,MATCH($V60,Picks_W5!$AH$6:$AH$69,0)),0)+IFERROR(INDEX(Picks_W6!$AV$6:$AV$69,MATCH($V60,Picks_W6!$AH$6:$AH$69,0)),0)+IFERROR(INDEX(Picks_W7!$AV$6:$AV$69,MATCH($V60,Picks_W7!$AH$6:$AH$69,0)),0)+IFERROR(INDEX(Picks_W8!$AV$6:$AV$69,MATCH($V60,Picks_W8!$AH$6:$AH$69,0)),0)+IFERROR(INDEX(Picks_W9!$AV$6:$AV$69,MATCH($V60,Picks_W9!$AH$6:$AH$69,0)),0)+IFERROR(INDEX(Picks_W10!$AV$6:$AV$69,MATCH($V60,Picks_W10!$AH$6:$AH$69,0)),0)+IFERROR(INDEX(Picks_W11!$AV$6:$AV$69,MATCH($V60,Picks_W11!$AH$6:$AH$69,0)),0)+IFERROR(INDEX(Picks_W12!$AV$6:$AV$69,MATCH($V60,Picks_W12!$AH$6:$AH$69,0)),0)+IFERROR(INDEX(Picks_W13!$AV$6:$AV$69,MATCH($V60,Picks_W13!$AH$6:$AH$69,0)),0)</f>
        <v>2</v>
      </c>
      <c r="U60" s="17">
        <f>IF(Results!$B$35=0,0,T60/Results!$B$35)</f>
        <v>0.25</v>
      </c>
      <c r="V60" s="4">
        <v>45</v>
      </c>
    </row>
    <row r="61" spans="1:22" ht="15" customHeight="1" x14ac:dyDescent="0.25">
      <c r="A61" s="4" t="str">
        <f>IFERROR(INDEX(Players!$D$6:$D$69,MATCH(V61,Players!$A$6:$A$69,0)),"")</f>
        <v>Tom B.</v>
      </c>
      <c r="B61" s="4">
        <f>IFERROR(INDEX(Picks_W1!$AF$6:$AF$69,MATCH($V61,Picks_W1!$AH$6:$AH$69,0)),0)</f>
        <v>10</v>
      </c>
      <c r="C61" s="4">
        <f>IFERROR(INDEX(Picks_W2!$AF$6:$AF$69,MATCH($V61,Picks_W2!$AH$6:$AH$69,0)),0)</f>
        <v>9</v>
      </c>
      <c r="D61" s="4">
        <f>IFERROR(INDEX(Picks_W3!$AF$6:$AF$69,MATCH($V61,Picks_W3!$AH$6:$AH$69,0)),0)</f>
        <v>0</v>
      </c>
      <c r="E61" s="4">
        <f>IFERROR(INDEX(Picks_W4!$AF$6:$AF$69,MATCH($V61,Picks_W4!$AH$6:$AH$69,0)),0)</f>
        <v>0</v>
      </c>
      <c r="F61" s="4">
        <f>IFERROR(INDEX(Picks_W5!$AF$6:$AF$69,MATCH($V61,Picks_W5!$AH$6:$AH$69,0)),0)</f>
        <v>0</v>
      </c>
      <c r="G61" s="4">
        <f>IFERROR(INDEX(Picks_W6!$AF$6:$AF$69,MATCH($V61,Picks_W6!$AH$6:$AH$69,0)),0)</f>
        <v>0</v>
      </c>
      <c r="H61" s="4">
        <f>IFERROR(INDEX(Picks_W7!$AF$6:$AF$69,MATCH($V61,Picks_W7!$AH$6:$AH$69,0)),0)</f>
        <v>0</v>
      </c>
      <c r="I61" s="4">
        <f>IFERROR(INDEX(Picks_W8!$AF$6:$AF$69,MATCH($V61,Picks_W8!$AH$6:$AH$69,0)),0)</f>
        <v>0</v>
      </c>
      <c r="J61" s="4">
        <f>IFERROR(INDEX(Picks_W9!$AF$6:$AF$69,MATCH($V61,Picks_W9!$AH$6:$AH$69,0)),0)</f>
        <v>0</v>
      </c>
      <c r="K61" s="4">
        <f>IFERROR(INDEX(Picks_W10!$AF$6:$AF$69,MATCH($V61,Picks_W10!$AH$6:$AH$69,0)),0)</f>
        <v>0</v>
      </c>
      <c r="L61" s="4">
        <f>IFERROR(INDEX(Picks_W11!$AF$6:$AF$69,MATCH($V61,Picks_W11!$AH$6:$AH$69,0)),0)</f>
        <v>0</v>
      </c>
      <c r="M61" s="4">
        <f>IFERROR(INDEX(Picks_W12!$AF$6:$AF$69,MATCH($V61,Picks_W12!$AH$6:$AH$69,0)),0)</f>
        <v>0</v>
      </c>
      <c r="N61" s="4">
        <f>IFERROR(INDEX(Picks_W13!$AF$6:$AF$69,MATCH($V61,Picks_W13!$AH$6:$AH$69,0)),0)</f>
        <v>0</v>
      </c>
      <c r="O61" s="4">
        <f t="shared" si="4"/>
        <v>19</v>
      </c>
      <c r="P61" s="4">
        <f>(IFERROR(INDEX(Picks_W1!$AF$6:$AF$69,MATCH($V61,Picks_W1!$AH$6:$AH$69,0)),"")=Results!$B$21)*(IFERROR(INDEX(Picks_W1!$AG$6:$AG$69,MATCH($V61,Picks_W1!$AH$6:$AH$69,0)),"")=Results!$C$21)+(IFERROR(INDEX(Picks_W2!$AF$6:$AF$69,MATCH($V61,Picks_W2!$AH$6:$AH$69,0)),"")=Results!$B$22)*(IFERROR(INDEX(Picks_W2!$AG$6:$AG$69,MATCH($V61,Picks_W2!$AH$6:$AH$69,0)),"")=Results!$C$22)+(IFERROR(INDEX(Picks_W3!$AF$6:$AF$69,MATCH($V61,Picks_W3!$AH$6:$AH$69,0)),"")=Results!$B$23)*(IFERROR(INDEX(Picks_W3!$AG$6:$AG$69,MATCH($V61,Picks_W3!$AH$6:$AH$69,0)),"")=Results!$C$23)+(IFERROR(INDEX(Picks_W4!$AF$6:$AF$69,MATCH($V61,Picks_W4!$AH$6:$AH$69,0)),"")=Results!$B$24)*(IFERROR(INDEX(Picks_W4!$AG$6:$AG$69,MATCH($V61,Picks_W4!$AH$6:$AH$69,0)),"")=Results!$C$24)+(IFERROR(INDEX(Picks_W5!$AF$6:$AF$69,MATCH($V61,Picks_W5!$AH$6:$AH$69,0)),"")=Results!$B$25)*(IFERROR(INDEX(Picks_W5!$AG$6:$AG$69,MATCH($V61,Picks_W5!$AH$6:$AH$69,0)),"")=Results!$C$25)+(IFERROR(INDEX(Picks_W6!$AF$6:$AF$69,MATCH($V61,Picks_W6!$AH$6:$AH$69,0)),"")=Results!$B$26)*(IFERROR(INDEX(Picks_W6!$AG$6:$AG$69,MATCH($V61,Picks_W6!$AH$6:$AH$69,0)),"")=Results!$C$26)+(IFERROR(INDEX(Picks_W7!$AF$6:$AF$69,MATCH($V61,Picks_W7!$AH$6:$AH$69,0)),"")=Results!$B$27)*(IFERROR(INDEX(Picks_W7!$AG$6:$AG$69,MATCH($V61,Picks_W7!$AH$6:$AH$69,0)),"")=Results!$C$27)+(IFERROR(INDEX(Picks_W8!$AF$6:$AF$69,MATCH($V61,Picks_W8!$AH$6:$AH$69,0)),"")=Results!$B$28)*(IFERROR(INDEX(Picks_W8!$AG$6:$AG$69,MATCH($V61,Picks_W8!$AH$6:$AH$69,0)),"")=Results!$C$28)+(IFERROR(INDEX(Picks_W9!$AF$6:$AF$69,MATCH($V61,Picks_W9!$AH$6:$AH$69,0)),"")=Results!$B$29)*(IFERROR(INDEX(Picks_W9!$AG$6:$AG$69,MATCH($V61,Picks_W9!$AH$6:$AH$69,0)),"")=Results!$C$29)+(IFERROR(INDEX(Picks_W10!$AF$6:$AF$69,MATCH($V61,Picks_W10!$AH$6:$AH$69,0)),"")=Results!$B$30)*(IFERROR(INDEX(Picks_W10!$AG$6:$AG$69,MATCH($V61,Picks_W10!$AH$6:$AH$69,0)),"")=Results!$C$30)+(IFERROR(INDEX(Picks_W11!$AF$6:$AF$69,MATCH($V61,Picks_W11!$AH$6:$AH$69,0)),"")=Results!$B$31)*(IFERROR(INDEX(Picks_W11!$AG$6:$AG$69,MATCH($V61,Picks_W11!$AH$6:$AH$69,0)),"")=Results!$C$31)+(IFERROR(INDEX(Picks_W12!$AF$6:$AF$69,MATCH($V61,Picks_W12!$AH$6:$AH$69,0)),"")=Results!$B$32)*(IFERROR(INDEX(Picks_W12!$AG$6:$AG$69,MATCH($V61,Picks_W12!$AH$6:$AH$69,0)),"")=Results!$C$32)+(IFERROR(INDEX(Picks_W13!$AF$6:$AF$69,MATCH($V61,Picks_W13!$AH$6:$AH$69,0)),"")=Results!$B$33)*(IFERROR(INDEX(Picks_W13!$AG$6:$AG$69,MATCH($V61,Picks_W13!$AH$6:$AH$69,0)),"")=Results!$C$33)</f>
        <v>0</v>
      </c>
      <c r="Q61" s="4">
        <f t="shared" si="5"/>
        <v>10</v>
      </c>
      <c r="R61" s="4">
        <f t="shared" si="6"/>
        <v>0</v>
      </c>
      <c r="S61" s="4">
        <f t="shared" si="7"/>
        <v>18.9999939</v>
      </c>
      <c r="T61" s="4">
        <f>IFERROR(INDEX(Picks_W1!$AV$6:$AV$69,MATCH($V61,Picks_W1!$AH$6:$AH$69,0)),0)+IFERROR(INDEX(Picks_W2!$AV$6:$AV$69,MATCH($V61,Picks_W2!$AH$6:$AH$69,0)),0)+IFERROR(INDEX(Picks_W3!$AV$6:$AV$69,MATCH($V61,Picks_W3!$AH$6:$AH$69,0)),0)+IFERROR(INDEX(Picks_W4!$AV$6:$AV$69,MATCH($V61,Picks_W4!$AH$6:$AH$69,0)),0)+IFERROR(INDEX(Picks_W5!$AV$6:$AV$69,MATCH($V61,Picks_W5!$AH$6:$AH$69,0)),0)+IFERROR(INDEX(Picks_W6!$AV$6:$AV$69,MATCH($V61,Picks_W6!$AH$6:$AH$69,0)),0)+IFERROR(INDEX(Picks_W7!$AV$6:$AV$69,MATCH($V61,Picks_W7!$AH$6:$AH$69,0)),0)+IFERROR(INDEX(Picks_W8!$AV$6:$AV$69,MATCH($V61,Picks_W8!$AH$6:$AH$69,0)),0)+IFERROR(INDEX(Picks_W9!$AV$6:$AV$69,MATCH($V61,Picks_W9!$AH$6:$AH$69,0)),0)+IFERROR(INDEX(Picks_W10!$AV$6:$AV$69,MATCH($V61,Picks_W10!$AH$6:$AH$69,0)),0)+IFERROR(INDEX(Picks_W11!$AV$6:$AV$69,MATCH($V61,Picks_W11!$AH$6:$AH$69,0)),0)+IFERROR(INDEX(Picks_W12!$AV$6:$AV$69,MATCH($V61,Picks_W12!$AH$6:$AH$69,0)),0)+IFERROR(INDEX(Picks_W13!$AV$6:$AV$69,MATCH($V61,Picks_W13!$AH$6:$AH$69,0)),0)</f>
        <v>0</v>
      </c>
      <c r="U61" s="17">
        <f>IF(Results!$B$35=0,0,T61/Results!$B$35)</f>
        <v>0</v>
      </c>
      <c r="V61" s="4">
        <v>30</v>
      </c>
    </row>
    <row r="62" spans="1:22" ht="15" customHeight="1" x14ac:dyDescent="0.25">
      <c r="A62" s="4" t="str">
        <f>IFERROR(INDEX(Players!$D$6:$D$69,MATCH(V62,Players!$A$6:$A$69,0)),"")</f>
        <v>Tucker M.</v>
      </c>
      <c r="B62" s="4">
        <f>IFERROR(INDEX(Picks_W1!$AF$6:$AF$69,MATCH($V62,Picks_W1!$AH$6:$AH$69,0)),0)</f>
        <v>12</v>
      </c>
      <c r="C62" s="4">
        <f>IFERROR(INDEX(Picks_W2!$AF$6:$AF$69,MATCH($V62,Picks_W2!$AH$6:$AH$69,0)),0)</f>
        <v>8</v>
      </c>
      <c r="D62" s="4">
        <f>IFERROR(INDEX(Picks_W3!$AF$6:$AF$69,MATCH($V62,Picks_W3!$AH$6:$AH$69,0)),0)</f>
        <v>0</v>
      </c>
      <c r="E62" s="4">
        <f>IFERROR(INDEX(Picks_W4!$AF$6:$AF$69,MATCH($V62,Picks_W4!$AH$6:$AH$69,0)),0)</f>
        <v>0</v>
      </c>
      <c r="F62" s="4">
        <f>IFERROR(INDEX(Picks_W5!$AF$6:$AF$69,MATCH($V62,Picks_W5!$AH$6:$AH$69,0)),0)</f>
        <v>0</v>
      </c>
      <c r="G62" s="4">
        <f>IFERROR(INDEX(Picks_W6!$AF$6:$AF$69,MATCH($V62,Picks_W6!$AH$6:$AH$69,0)),0)</f>
        <v>0</v>
      </c>
      <c r="H62" s="4">
        <f>IFERROR(INDEX(Picks_W7!$AF$6:$AF$69,MATCH($V62,Picks_W7!$AH$6:$AH$69,0)),0)</f>
        <v>0</v>
      </c>
      <c r="I62" s="4">
        <f>IFERROR(INDEX(Picks_W8!$AF$6:$AF$69,MATCH($V62,Picks_W8!$AH$6:$AH$69,0)),0)</f>
        <v>0</v>
      </c>
      <c r="J62" s="4">
        <f>IFERROR(INDEX(Picks_W9!$AF$6:$AF$69,MATCH($V62,Picks_W9!$AH$6:$AH$69,0)),0)</f>
        <v>0</v>
      </c>
      <c r="K62" s="4">
        <f>IFERROR(INDEX(Picks_W10!$AF$6:$AF$69,MATCH($V62,Picks_W10!$AH$6:$AH$69,0)),0)</f>
        <v>0</v>
      </c>
      <c r="L62" s="4">
        <f>IFERROR(INDEX(Picks_W11!$AF$6:$AF$69,MATCH($V62,Picks_W11!$AH$6:$AH$69,0)),0)</f>
        <v>0</v>
      </c>
      <c r="M62" s="4">
        <f>IFERROR(INDEX(Picks_W12!$AF$6:$AF$69,MATCH($V62,Picks_W12!$AH$6:$AH$69,0)),0)</f>
        <v>0</v>
      </c>
      <c r="N62" s="4">
        <f>IFERROR(INDEX(Picks_W13!$AF$6:$AF$69,MATCH($V62,Picks_W13!$AH$6:$AH$69,0)),0)</f>
        <v>0</v>
      </c>
      <c r="O62" s="4">
        <f t="shared" si="4"/>
        <v>20</v>
      </c>
      <c r="P62" s="4">
        <f>(IFERROR(INDEX(Picks_W1!$AF$6:$AF$69,MATCH($V62,Picks_W1!$AH$6:$AH$69,0)),"")=Results!$B$21)*(IFERROR(INDEX(Picks_W1!$AG$6:$AG$69,MATCH($V62,Picks_W1!$AH$6:$AH$69,0)),"")=Results!$C$21)+(IFERROR(INDEX(Picks_W2!$AF$6:$AF$69,MATCH($V62,Picks_W2!$AH$6:$AH$69,0)),"")=Results!$B$22)*(IFERROR(INDEX(Picks_W2!$AG$6:$AG$69,MATCH($V62,Picks_W2!$AH$6:$AH$69,0)),"")=Results!$C$22)+(IFERROR(INDEX(Picks_W3!$AF$6:$AF$69,MATCH($V62,Picks_W3!$AH$6:$AH$69,0)),"")=Results!$B$23)*(IFERROR(INDEX(Picks_W3!$AG$6:$AG$69,MATCH($V62,Picks_W3!$AH$6:$AH$69,0)),"")=Results!$C$23)+(IFERROR(INDEX(Picks_W4!$AF$6:$AF$69,MATCH($V62,Picks_W4!$AH$6:$AH$69,0)),"")=Results!$B$24)*(IFERROR(INDEX(Picks_W4!$AG$6:$AG$69,MATCH($V62,Picks_W4!$AH$6:$AH$69,0)),"")=Results!$C$24)+(IFERROR(INDEX(Picks_W5!$AF$6:$AF$69,MATCH($V62,Picks_W5!$AH$6:$AH$69,0)),"")=Results!$B$25)*(IFERROR(INDEX(Picks_W5!$AG$6:$AG$69,MATCH($V62,Picks_W5!$AH$6:$AH$69,0)),"")=Results!$C$25)+(IFERROR(INDEX(Picks_W6!$AF$6:$AF$69,MATCH($V62,Picks_W6!$AH$6:$AH$69,0)),"")=Results!$B$26)*(IFERROR(INDEX(Picks_W6!$AG$6:$AG$69,MATCH($V62,Picks_W6!$AH$6:$AH$69,0)),"")=Results!$C$26)+(IFERROR(INDEX(Picks_W7!$AF$6:$AF$69,MATCH($V62,Picks_W7!$AH$6:$AH$69,0)),"")=Results!$B$27)*(IFERROR(INDEX(Picks_W7!$AG$6:$AG$69,MATCH($V62,Picks_W7!$AH$6:$AH$69,0)),"")=Results!$C$27)+(IFERROR(INDEX(Picks_W8!$AF$6:$AF$69,MATCH($V62,Picks_W8!$AH$6:$AH$69,0)),"")=Results!$B$28)*(IFERROR(INDEX(Picks_W8!$AG$6:$AG$69,MATCH($V62,Picks_W8!$AH$6:$AH$69,0)),"")=Results!$C$28)+(IFERROR(INDEX(Picks_W9!$AF$6:$AF$69,MATCH($V62,Picks_W9!$AH$6:$AH$69,0)),"")=Results!$B$29)*(IFERROR(INDEX(Picks_W9!$AG$6:$AG$69,MATCH($V62,Picks_W9!$AH$6:$AH$69,0)),"")=Results!$C$29)+(IFERROR(INDEX(Picks_W10!$AF$6:$AF$69,MATCH($V62,Picks_W10!$AH$6:$AH$69,0)),"")=Results!$B$30)*(IFERROR(INDEX(Picks_W10!$AG$6:$AG$69,MATCH($V62,Picks_W10!$AH$6:$AH$69,0)),"")=Results!$C$30)+(IFERROR(INDEX(Picks_W11!$AF$6:$AF$69,MATCH($V62,Picks_W11!$AH$6:$AH$69,0)),"")=Results!$B$31)*(IFERROR(INDEX(Picks_W11!$AG$6:$AG$69,MATCH($V62,Picks_W11!$AH$6:$AH$69,0)),"")=Results!$C$31)+(IFERROR(INDEX(Picks_W12!$AF$6:$AF$69,MATCH($V62,Picks_W12!$AH$6:$AH$69,0)),"")=Results!$B$32)*(IFERROR(INDEX(Picks_W12!$AG$6:$AG$69,MATCH($V62,Picks_W12!$AH$6:$AH$69,0)),"")=Results!$C$32)+(IFERROR(INDEX(Picks_W13!$AF$6:$AF$69,MATCH($V62,Picks_W13!$AH$6:$AH$69,0)),"")=Results!$B$33)*(IFERROR(INDEX(Picks_W13!$AG$6:$AG$69,MATCH($V62,Picks_W13!$AH$6:$AH$69,0)),"")=Results!$C$33)</f>
        <v>0</v>
      </c>
      <c r="Q62" s="4">
        <f t="shared" si="5"/>
        <v>12</v>
      </c>
      <c r="R62" s="4">
        <f t="shared" si="6"/>
        <v>0</v>
      </c>
      <c r="S62" s="4">
        <f t="shared" si="7"/>
        <v>20.000118799999999</v>
      </c>
      <c r="T62" s="4">
        <f>IFERROR(INDEX(Picks_W1!$AV$6:$AV$69,MATCH($V62,Picks_W1!$AH$6:$AH$69,0)),0)+IFERROR(INDEX(Picks_W2!$AV$6:$AV$69,MATCH($V62,Picks_W2!$AH$6:$AH$69,0)),0)+IFERROR(INDEX(Picks_W3!$AV$6:$AV$69,MATCH($V62,Picks_W3!$AH$6:$AH$69,0)),0)+IFERROR(INDEX(Picks_W4!$AV$6:$AV$69,MATCH($V62,Picks_W4!$AH$6:$AH$69,0)),0)+IFERROR(INDEX(Picks_W5!$AV$6:$AV$69,MATCH($V62,Picks_W5!$AH$6:$AH$69,0)),0)+IFERROR(INDEX(Picks_W6!$AV$6:$AV$69,MATCH($V62,Picks_W6!$AH$6:$AH$69,0)),0)+IFERROR(INDEX(Picks_W7!$AV$6:$AV$69,MATCH($V62,Picks_W7!$AH$6:$AH$69,0)),0)+IFERROR(INDEX(Picks_W8!$AV$6:$AV$69,MATCH($V62,Picks_W8!$AH$6:$AH$69,0)),0)+IFERROR(INDEX(Picks_W9!$AV$6:$AV$69,MATCH($V62,Picks_W9!$AH$6:$AH$69,0)),0)+IFERROR(INDEX(Picks_W10!$AV$6:$AV$69,MATCH($V62,Picks_W10!$AH$6:$AH$69,0)),0)+IFERROR(INDEX(Picks_W11!$AV$6:$AV$69,MATCH($V62,Picks_W11!$AH$6:$AH$69,0)),0)+IFERROR(INDEX(Picks_W12!$AV$6:$AV$69,MATCH($V62,Picks_W12!$AH$6:$AH$69,0)),0)+IFERROR(INDEX(Picks_W13!$AV$6:$AV$69,MATCH($V62,Picks_W13!$AH$6:$AH$69,0)),0)</f>
        <v>1</v>
      </c>
      <c r="U62" s="17">
        <f>IF(Results!$B$35=0,0,T62/Results!$B$35)</f>
        <v>0.125</v>
      </c>
      <c r="V62" s="4">
        <v>31</v>
      </c>
    </row>
    <row r="63" spans="1:22" ht="15" customHeight="1" x14ac:dyDescent="0.25">
      <c r="A63" s="4" t="str">
        <f>IFERROR(INDEX(Players!$D$6:$D$69,MATCH(V63,Players!$A$6:$A$69,0)),"")</f>
        <v>Tye E.</v>
      </c>
      <c r="B63" s="4">
        <f>IFERROR(INDEX(Picks_W1!$AF$6:$AF$69,MATCH($V63,Picks_W1!$AH$6:$AH$69,0)),0)</f>
        <v>10</v>
      </c>
      <c r="C63" s="4">
        <f>IFERROR(INDEX(Picks_W2!$AF$6:$AF$69,MATCH($V63,Picks_W2!$AH$6:$AH$69,0)),0)</f>
        <v>5</v>
      </c>
      <c r="D63" s="4">
        <f>IFERROR(INDEX(Picks_W3!$AF$6:$AF$69,MATCH($V63,Picks_W3!$AH$6:$AH$69,0)),0)</f>
        <v>0</v>
      </c>
      <c r="E63" s="4">
        <f>IFERROR(INDEX(Picks_W4!$AF$6:$AF$69,MATCH($V63,Picks_W4!$AH$6:$AH$69,0)),0)</f>
        <v>0</v>
      </c>
      <c r="F63" s="4">
        <f>IFERROR(INDEX(Picks_W5!$AF$6:$AF$69,MATCH($V63,Picks_W5!$AH$6:$AH$69,0)),0)</f>
        <v>0</v>
      </c>
      <c r="G63" s="4">
        <f>IFERROR(INDEX(Picks_W6!$AF$6:$AF$69,MATCH($V63,Picks_W6!$AH$6:$AH$69,0)),0)</f>
        <v>0</v>
      </c>
      <c r="H63" s="4">
        <f>IFERROR(INDEX(Picks_W7!$AF$6:$AF$69,MATCH($V63,Picks_W7!$AH$6:$AH$69,0)),0)</f>
        <v>0</v>
      </c>
      <c r="I63" s="4">
        <f>IFERROR(INDEX(Picks_W8!$AF$6:$AF$69,MATCH($V63,Picks_W8!$AH$6:$AH$69,0)),0)</f>
        <v>0</v>
      </c>
      <c r="J63" s="4">
        <f>IFERROR(INDEX(Picks_W9!$AF$6:$AF$69,MATCH($V63,Picks_W9!$AH$6:$AH$69,0)),0)</f>
        <v>0</v>
      </c>
      <c r="K63" s="4">
        <f>IFERROR(INDEX(Picks_W10!$AF$6:$AF$69,MATCH($V63,Picks_W10!$AH$6:$AH$69,0)),0)</f>
        <v>0</v>
      </c>
      <c r="L63" s="4">
        <f>IFERROR(INDEX(Picks_W11!$AF$6:$AF$69,MATCH($V63,Picks_W11!$AH$6:$AH$69,0)),0)</f>
        <v>0</v>
      </c>
      <c r="M63" s="4">
        <f>IFERROR(INDEX(Picks_W12!$AF$6:$AF$69,MATCH($V63,Picks_W12!$AH$6:$AH$69,0)),0)</f>
        <v>0</v>
      </c>
      <c r="N63" s="4">
        <f>IFERROR(INDEX(Picks_W13!$AF$6:$AF$69,MATCH($V63,Picks_W13!$AH$6:$AH$69,0)),0)</f>
        <v>0</v>
      </c>
      <c r="O63" s="4">
        <f t="shared" si="4"/>
        <v>15</v>
      </c>
      <c r="P63" s="4">
        <f>(IFERROR(INDEX(Picks_W1!$AF$6:$AF$69,MATCH($V63,Picks_W1!$AH$6:$AH$69,0)),"")=Results!$B$21)*(IFERROR(INDEX(Picks_W1!$AG$6:$AG$69,MATCH($V63,Picks_W1!$AH$6:$AH$69,0)),"")=Results!$C$21)+(IFERROR(INDEX(Picks_W2!$AF$6:$AF$69,MATCH($V63,Picks_W2!$AH$6:$AH$69,0)),"")=Results!$B$22)*(IFERROR(INDEX(Picks_W2!$AG$6:$AG$69,MATCH($V63,Picks_W2!$AH$6:$AH$69,0)),"")=Results!$C$22)+(IFERROR(INDEX(Picks_W3!$AF$6:$AF$69,MATCH($V63,Picks_W3!$AH$6:$AH$69,0)),"")=Results!$B$23)*(IFERROR(INDEX(Picks_W3!$AG$6:$AG$69,MATCH($V63,Picks_W3!$AH$6:$AH$69,0)),"")=Results!$C$23)+(IFERROR(INDEX(Picks_W4!$AF$6:$AF$69,MATCH($V63,Picks_W4!$AH$6:$AH$69,0)),"")=Results!$B$24)*(IFERROR(INDEX(Picks_W4!$AG$6:$AG$69,MATCH($V63,Picks_W4!$AH$6:$AH$69,0)),"")=Results!$C$24)+(IFERROR(INDEX(Picks_W5!$AF$6:$AF$69,MATCH($V63,Picks_W5!$AH$6:$AH$69,0)),"")=Results!$B$25)*(IFERROR(INDEX(Picks_W5!$AG$6:$AG$69,MATCH($V63,Picks_W5!$AH$6:$AH$69,0)),"")=Results!$C$25)+(IFERROR(INDEX(Picks_W6!$AF$6:$AF$69,MATCH($V63,Picks_W6!$AH$6:$AH$69,0)),"")=Results!$B$26)*(IFERROR(INDEX(Picks_W6!$AG$6:$AG$69,MATCH($V63,Picks_W6!$AH$6:$AH$69,0)),"")=Results!$C$26)+(IFERROR(INDEX(Picks_W7!$AF$6:$AF$69,MATCH($V63,Picks_W7!$AH$6:$AH$69,0)),"")=Results!$B$27)*(IFERROR(INDEX(Picks_W7!$AG$6:$AG$69,MATCH($V63,Picks_W7!$AH$6:$AH$69,0)),"")=Results!$C$27)+(IFERROR(INDEX(Picks_W8!$AF$6:$AF$69,MATCH($V63,Picks_W8!$AH$6:$AH$69,0)),"")=Results!$B$28)*(IFERROR(INDEX(Picks_W8!$AG$6:$AG$69,MATCH($V63,Picks_W8!$AH$6:$AH$69,0)),"")=Results!$C$28)+(IFERROR(INDEX(Picks_W9!$AF$6:$AF$69,MATCH($V63,Picks_W9!$AH$6:$AH$69,0)),"")=Results!$B$29)*(IFERROR(INDEX(Picks_W9!$AG$6:$AG$69,MATCH($V63,Picks_W9!$AH$6:$AH$69,0)),"")=Results!$C$29)+(IFERROR(INDEX(Picks_W10!$AF$6:$AF$69,MATCH($V63,Picks_W10!$AH$6:$AH$69,0)),"")=Results!$B$30)*(IFERROR(INDEX(Picks_W10!$AG$6:$AG$69,MATCH($V63,Picks_W10!$AH$6:$AH$69,0)),"")=Results!$C$30)+(IFERROR(INDEX(Picks_W11!$AF$6:$AF$69,MATCH($V63,Picks_W11!$AH$6:$AH$69,0)),"")=Results!$B$31)*(IFERROR(INDEX(Picks_W11!$AG$6:$AG$69,MATCH($V63,Picks_W11!$AH$6:$AH$69,0)),"")=Results!$C$31)+(IFERROR(INDEX(Picks_W12!$AF$6:$AF$69,MATCH($V63,Picks_W12!$AH$6:$AH$69,0)),"")=Results!$B$32)*(IFERROR(INDEX(Picks_W12!$AG$6:$AG$69,MATCH($V63,Picks_W12!$AH$6:$AH$69,0)),"")=Results!$C$32)+(IFERROR(INDEX(Picks_W13!$AF$6:$AF$69,MATCH($V63,Picks_W13!$AH$6:$AH$69,0)),"")=Results!$B$33)*(IFERROR(INDEX(Picks_W13!$AG$6:$AG$69,MATCH($V63,Picks_W13!$AH$6:$AH$69,0)),"")=Results!$C$33)</f>
        <v>0</v>
      </c>
      <c r="Q63" s="4">
        <f t="shared" si="5"/>
        <v>10</v>
      </c>
      <c r="R63" s="4">
        <f t="shared" si="6"/>
        <v>0</v>
      </c>
      <c r="S63" s="4">
        <f t="shared" si="7"/>
        <v>14.999993699999999</v>
      </c>
      <c r="T63" s="4">
        <f>IFERROR(INDEX(Picks_W1!$AV$6:$AV$69,MATCH($V63,Picks_W1!$AH$6:$AH$69,0)),0)+IFERROR(INDEX(Picks_W2!$AV$6:$AV$69,MATCH($V63,Picks_W2!$AH$6:$AH$69,0)),0)+IFERROR(INDEX(Picks_W3!$AV$6:$AV$69,MATCH($V63,Picks_W3!$AH$6:$AH$69,0)),0)+IFERROR(INDEX(Picks_W4!$AV$6:$AV$69,MATCH($V63,Picks_W4!$AH$6:$AH$69,0)),0)+IFERROR(INDEX(Picks_W5!$AV$6:$AV$69,MATCH($V63,Picks_W5!$AH$6:$AH$69,0)),0)+IFERROR(INDEX(Picks_W6!$AV$6:$AV$69,MATCH($V63,Picks_W6!$AH$6:$AH$69,0)),0)+IFERROR(INDEX(Picks_W7!$AV$6:$AV$69,MATCH($V63,Picks_W7!$AH$6:$AH$69,0)),0)+IFERROR(INDEX(Picks_W8!$AV$6:$AV$69,MATCH($V63,Picks_W8!$AH$6:$AH$69,0)),0)+IFERROR(INDEX(Picks_W9!$AV$6:$AV$69,MATCH($V63,Picks_W9!$AH$6:$AH$69,0)),0)+IFERROR(INDEX(Picks_W10!$AV$6:$AV$69,MATCH($V63,Picks_W10!$AH$6:$AH$69,0)),0)+IFERROR(INDEX(Picks_W11!$AV$6:$AV$69,MATCH($V63,Picks_W11!$AH$6:$AH$69,0)),0)+IFERROR(INDEX(Picks_W12!$AV$6:$AV$69,MATCH($V63,Picks_W12!$AH$6:$AH$69,0)),0)+IFERROR(INDEX(Picks_W13!$AV$6:$AV$69,MATCH($V63,Picks_W13!$AH$6:$AH$69,0)),0)</f>
        <v>0</v>
      </c>
      <c r="U63" s="17">
        <f>IF(Results!$B$35=0,0,T63/Results!$B$35)</f>
        <v>0</v>
      </c>
      <c r="V63" s="4">
        <v>32</v>
      </c>
    </row>
    <row r="64" spans="1:22" ht="15" customHeight="1" x14ac:dyDescent="0.25">
      <c r="A64" s="4" t="str">
        <f>IFERROR(INDEX(Players!$D$6:$D$69,MATCH(V64,Players!$A$6:$A$69,0)),"")</f>
        <v>Tyler A.</v>
      </c>
      <c r="B64" s="4">
        <f>IFERROR(INDEX(Picks_W1!$AF$6:$AF$69,MATCH($V64,Picks_W1!$AH$6:$AH$69,0)),0)</f>
        <v>11</v>
      </c>
      <c r="C64" s="4">
        <f>IFERROR(INDEX(Picks_W2!$AF$6:$AF$69,MATCH($V64,Picks_W2!$AH$6:$AH$69,0)),0)</f>
        <v>9</v>
      </c>
      <c r="D64" s="4">
        <f>IFERROR(INDEX(Picks_W3!$AF$6:$AF$69,MATCH($V64,Picks_W3!$AH$6:$AH$69,0)),0)</f>
        <v>0</v>
      </c>
      <c r="E64" s="4">
        <f>IFERROR(INDEX(Picks_W4!$AF$6:$AF$69,MATCH($V64,Picks_W4!$AH$6:$AH$69,0)),0)</f>
        <v>0</v>
      </c>
      <c r="F64" s="4">
        <f>IFERROR(INDEX(Picks_W5!$AF$6:$AF$69,MATCH($V64,Picks_W5!$AH$6:$AH$69,0)),0)</f>
        <v>0</v>
      </c>
      <c r="G64" s="4">
        <f>IFERROR(INDEX(Picks_W6!$AF$6:$AF$69,MATCH($V64,Picks_W6!$AH$6:$AH$69,0)),0)</f>
        <v>0</v>
      </c>
      <c r="H64" s="4">
        <f>IFERROR(INDEX(Picks_W7!$AF$6:$AF$69,MATCH($V64,Picks_W7!$AH$6:$AH$69,0)),0)</f>
        <v>0</v>
      </c>
      <c r="I64" s="4">
        <f>IFERROR(INDEX(Picks_W8!$AF$6:$AF$69,MATCH($V64,Picks_W8!$AH$6:$AH$69,0)),0)</f>
        <v>0</v>
      </c>
      <c r="J64" s="4">
        <f>IFERROR(INDEX(Picks_W9!$AF$6:$AF$69,MATCH($V64,Picks_W9!$AH$6:$AH$69,0)),0)</f>
        <v>0</v>
      </c>
      <c r="K64" s="4">
        <f>IFERROR(INDEX(Picks_W10!$AF$6:$AF$69,MATCH($V64,Picks_W10!$AH$6:$AH$69,0)),0)</f>
        <v>0</v>
      </c>
      <c r="L64" s="4">
        <f>IFERROR(INDEX(Picks_W11!$AF$6:$AF$69,MATCH($V64,Picks_W11!$AH$6:$AH$69,0)),0)</f>
        <v>0</v>
      </c>
      <c r="M64" s="4">
        <f>IFERROR(INDEX(Picks_W12!$AF$6:$AF$69,MATCH($V64,Picks_W12!$AH$6:$AH$69,0)),0)</f>
        <v>0</v>
      </c>
      <c r="N64" s="4">
        <f>IFERROR(INDEX(Picks_W13!$AF$6:$AF$69,MATCH($V64,Picks_W13!$AH$6:$AH$69,0)),0)</f>
        <v>0</v>
      </c>
      <c r="O64" s="4">
        <f t="shared" si="4"/>
        <v>20</v>
      </c>
      <c r="P64" s="4">
        <f>(IFERROR(INDEX(Picks_W1!$AF$6:$AF$69,MATCH($V64,Picks_W1!$AH$6:$AH$69,0)),"")=Results!$B$21)*(IFERROR(INDEX(Picks_W1!$AG$6:$AG$69,MATCH($V64,Picks_W1!$AH$6:$AH$69,0)),"")=Results!$C$21)+(IFERROR(INDEX(Picks_W2!$AF$6:$AF$69,MATCH($V64,Picks_W2!$AH$6:$AH$69,0)),"")=Results!$B$22)*(IFERROR(INDEX(Picks_W2!$AG$6:$AG$69,MATCH($V64,Picks_W2!$AH$6:$AH$69,0)),"")=Results!$C$22)+(IFERROR(INDEX(Picks_W3!$AF$6:$AF$69,MATCH($V64,Picks_W3!$AH$6:$AH$69,0)),"")=Results!$B$23)*(IFERROR(INDEX(Picks_W3!$AG$6:$AG$69,MATCH($V64,Picks_W3!$AH$6:$AH$69,0)),"")=Results!$C$23)+(IFERROR(INDEX(Picks_W4!$AF$6:$AF$69,MATCH($V64,Picks_W4!$AH$6:$AH$69,0)),"")=Results!$B$24)*(IFERROR(INDEX(Picks_W4!$AG$6:$AG$69,MATCH($V64,Picks_W4!$AH$6:$AH$69,0)),"")=Results!$C$24)+(IFERROR(INDEX(Picks_W5!$AF$6:$AF$69,MATCH($V64,Picks_W5!$AH$6:$AH$69,0)),"")=Results!$B$25)*(IFERROR(INDEX(Picks_W5!$AG$6:$AG$69,MATCH($V64,Picks_W5!$AH$6:$AH$69,0)),"")=Results!$C$25)+(IFERROR(INDEX(Picks_W6!$AF$6:$AF$69,MATCH($V64,Picks_W6!$AH$6:$AH$69,0)),"")=Results!$B$26)*(IFERROR(INDEX(Picks_W6!$AG$6:$AG$69,MATCH($V64,Picks_W6!$AH$6:$AH$69,0)),"")=Results!$C$26)+(IFERROR(INDEX(Picks_W7!$AF$6:$AF$69,MATCH($V64,Picks_W7!$AH$6:$AH$69,0)),"")=Results!$B$27)*(IFERROR(INDEX(Picks_W7!$AG$6:$AG$69,MATCH($V64,Picks_W7!$AH$6:$AH$69,0)),"")=Results!$C$27)+(IFERROR(INDEX(Picks_W8!$AF$6:$AF$69,MATCH($V64,Picks_W8!$AH$6:$AH$69,0)),"")=Results!$B$28)*(IFERROR(INDEX(Picks_W8!$AG$6:$AG$69,MATCH($V64,Picks_W8!$AH$6:$AH$69,0)),"")=Results!$C$28)+(IFERROR(INDEX(Picks_W9!$AF$6:$AF$69,MATCH($V64,Picks_W9!$AH$6:$AH$69,0)),"")=Results!$B$29)*(IFERROR(INDEX(Picks_W9!$AG$6:$AG$69,MATCH($V64,Picks_W9!$AH$6:$AH$69,0)),"")=Results!$C$29)+(IFERROR(INDEX(Picks_W10!$AF$6:$AF$69,MATCH($V64,Picks_W10!$AH$6:$AH$69,0)),"")=Results!$B$30)*(IFERROR(INDEX(Picks_W10!$AG$6:$AG$69,MATCH($V64,Picks_W10!$AH$6:$AH$69,0)),"")=Results!$C$30)+(IFERROR(INDEX(Picks_W11!$AF$6:$AF$69,MATCH($V64,Picks_W11!$AH$6:$AH$69,0)),"")=Results!$B$31)*(IFERROR(INDEX(Picks_W11!$AG$6:$AG$69,MATCH($V64,Picks_W11!$AH$6:$AH$69,0)),"")=Results!$C$31)+(IFERROR(INDEX(Picks_W12!$AF$6:$AF$69,MATCH($V64,Picks_W12!$AH$6:$AH$69,0)),"")=Results!$B$32)*(IFERROR(INDEX(Picks_W12!$AG$6:$AG$69,MATCH($V64,Picks_W12!$AH$6:$AH$69,0)),"")=Results!$C$32)+(IFERROR(INDEX(Picks_W13!$AF$6:$AF$69,MATCH($V64,Picks_W13!$AH$6:$AH$69,0)),"")=Results!$B$33)*(IFERROR(INDEX(Picks_W13!$AG$6:$AG$69,MATCH($V64,Picks_W13!$AH$6:$AH$69,0)),"")=Results!$C$33)</f>
        <v>0</v>
      </c>
      <c r="Q64" s="4">
        <f t="shared" si="5"/>
        <v>11</v>
      </c>
      <c r="R64" s="4">
        <f t="shared" si="6"/>
        <v>0</v>
      </c>
      <c r="S64" s="4">
        <f t="shared" si="7"/>
        <v>20.000243600000001</v>
      </c>
      <c r="T64" s="4">
        <f>IFERROR(INDEX(Picks_W1!$AV$6:$AV$69,MATCH($V64,Picks_W1!$AH$6:$AH$69,0)),0)+IFERROR(INDEX(Picks_W2!$AV$6:$AV$69,MATCH($V64,Picks_W2!$AH$6:$AH$69,0)),0)+IFERROR(INDEX(Picks_W3!$AV$6:$AV$69,MATCH($V64,Picks_W3!$AH$6:$AH$69,0)),0)+IFERROR(INDEX(Picks_W4!$AV$6:$AV$69,MATCH($V64,Picks_W4!$AH$6:$AH$69,0)),0)+IFERROR(INDEX(Picks_W5!$AV$6:$AV$69,MATCH($V64,Picks_W5!$AH$6:$AH$69,0)),0)+IFERROR(INDEX(Picks_W6!$AV$6:$AV$69,MATCH($V64,Picks_W6!$AH$6:$AH$69,0)),0)+IFERROR(INDEX(Picks_W7!$AV$6:$AV$69,MATCH($V64,Picks_W7!$AH$6:$AH$69,0)),0)+IFERROR(INDEX(Picks_W8!$AV$6:$AV$69,MATCH($V64,Picks_W8!$AH$6:$AH$69,0)),0)+IFERROR(INDEX(Picks_W9!$AV$6:$AV$69,MATCH($V64,Picks_W9!$AH$6:$AH$69,0)),0)+IFERROR(INDEX(Picks_W10!$AV$6:$AV$69,MATCH($V64,Picks_W10!$AH$6:$AH$69,0)),0)+IFERROR(INDEX(Picks_W11!$AV$6:$AV$69,MATCH($V64,Picks_W11!$AH$6:$AH$69,0)),0)+IFERROR(INDEX(Picks_W12!$AV$6:$AV$69,MATCH($V64,Picks_W12!$AH$6:$AH$69,0)),0)+IFERROR(INDEX(Picks_W13!$AV$6:$AV$69,MATCH($V64,Picks_W13!$AH$6:$AH$69,0)),0)</f>
        <v>2</v>
      </c>
      <c r="U64" s="17">
        <f>IF(Results!$B$35=0,0,T64/Results!$B$35)</f>
        <v>0.25</v>
      </c>
      <c r="V64" s="4">
        <v>46</v>
      </c>
    </row>
    <row r="65" spans="1:22" ht="15" customHeight="1" x14ac:dyDescent="0.25">
      <c r="A65" s="4" t="str">
        <f>IFERROR(INDEX(Players!$D$6:$D$69,MATCH(V65,Players!$A$6:$A$69,0)),"")</f>
        <v>Vicki P.</v>
      </c>
      <c r="B65" s="4">
        <f>IFERROR(INDEX(Picks_W1!$AF$6:$AF$69,MATCH($V65,Picks_W1!$AH$6:$AH$69,0)),0)</f>
        <v>14</v>
      </c>
      <c r="C65" s="4">
        <f>IFERROR(INDEX(Picks_W2!$AF$6:$AF$69,MATCH($V65,Picks_W2!$AH$6:$AH$69,0)),0)</f>
        <v>9</v>
      </c>
      <c r="D65" s="4">
        <f>IFERROR(INDEX(Picks_W3!$AF$6:$AF$69,MATCH($V65,Picks_W3!$AH$6:$AH$69,0)),0)</f>
        <v>0</v>
      </c>
      <c r="E65" s="4">
        <f>IFERROR(INDEX(Picks_W4!$AF$6:$AF$69,MATCH($V65,Picks_W4!$AH$6:$AH$69,0)),0)</f>
        <v>0</v>
      </c>
      <c r="F65" s="4">
        <f>IFERROR(INDEX(Picks_W5!$AF$6:$AF$69,MATCH($V65,Picks_W5!$AH$6:$AH$69,0)),0)</f>
        <v>0</v>
      </c>
      <c r="G65" s="4">
        <f>IFERROR(INDEX(Picks_W6!$AF$6:$AF$69,MATCH($V65,Picks_W6!$AH$6:$AH$69,0)),0)</f>
        <v>0</v>
      </c>
      <c r="H65" s="4">
        <f>IFERROR(INDEX(Picks_W7!$AF$6:$AF$69,MATCH($V65,Picks_W7!$AH$6:$AH$69,0)),0)</f>
        <v>0</v>
      </c>
      <c r="I65" s="4">
        <f>IFERROR(INDEX(Picks_W8!$AF$6:$AF$69,MATCH($V65,Picks_W8!$AH$6:$AH$69,0)),0)</f>
        <v>0</v>
      </c>
      <c r="J65" s="4">
        <f>IFERROR(INDEX(Picks_W9!$AF$6:$AF$69,MATCH($V65,Picks_W9!$AH$6:$AH$69,0)),0)</f>
        <v>0</v>
      </c>
      <c r="K65" s="4">
        <f>IFERROR(INDEX(Picks_W10!$AF$6:$AF$69,MATCH($V65,Picks_W10!$AH$6:$AH$69,0)),0)</f>
        <v>0</v>
      </c>
      <c r="L65" s="4">
        <f>IFERROR(INDEX(Picks_W11!$AF$6:$AF$69,MATCH($V65,Picks_W11!$AH$6:$AH$69,0)),0)</f>
        <v>0</v>
      </c>
      <c r="M65" s="4">
        <f>IFERROR(INDEX(Picks_W12!$AF$6:$AF$69,MATCH($V65,Picks_W12!$AH$6:$AH$69,0)),0)</f>
        <v>0</v>
      </c>
      <c r="N65" s="4">
        <f>IFERROR(INDEX(Picks_W13!$AF$6:$AF$69,MATCH($V65,Picks_W13!$AH$6:$AH$69,0)),0)</f>
        <v>0</v>
      </c>
      <c r="O65" s="4">
        <f t="shared" si="4"/>
        <v>23</v>
      </c>
      <c r="P65" s="4">
        <f>(IFERROR(INDEX(Picks_W1!$AF$6:$AF$69,MATCH($V65,Picks_W1!$AH$6:$AH$69,0)),"")=Results!$B$21)*(IFERROR(INDEX(Picks_W1!$AG$6:$AG$69,MATCH($V65,Picks_W1!$AH$6:$AH$69,0)),"")=Results!$C$21)+(IFERROR(INDEX(Picks_W2!$AF$6:$AF$69,MATCH($V65,Picks_W2!$AH$6:$AH$69,0)),"")=Results!$B$22)*(IFERROR(INDEX(Picks_W2!$AG$6:$AG$69,MATCH($V65,Picks_W2!$AH$6:$AH$69,0)),"")=Results!$C$22)+(IFERROR(INDEX(Picks_W3!$AF$6:$AF$69,MATCH($V65,Picks_W3!$AH$6:$AH$69,0)),"")=Results!$B$23)*(IFERROR(INDEX(Picks_W3!$AG$6:$AG$69,MATCH($V65,Picks_W3!$AH$6:$AH$69,0)),"")=Results!$C$23)+(IFERROR(INDEX(Picks_W4!$AF$6:$AF$69,MATCH($V65,Picks_W4!$AH$6:$AH$69,0)),"")=Results!$B$24)*(IFERROR(INDEX(Picks_W4!$AG$6:$AG$69,MATCH($V65,Picks_W4!$AH$6:$AH$69,0)),"")=Results!$C$24)+(IFERROR(INDEX(Picks_W5!$AF$6:$AF$69,MATCH($V65,Picks_W5!$AH$6:$AH$69,0)),"")=Results!$B$25)*(IFERROR(INDEX(Picks_W5!$AG$6:$AG$69,MATCH($V65,Picks_W5!$AH$6:$AH$69,0)),"")=Results!$C$25)+(IFERROR(INDEX(Picks_W6!$AF$6:$AF$69,MATCH($V65,Picks_W6!$AH$6:$AH$69,0)),"")=Results!$B$26)*(IFERROR(INDEX(Picks_W6!$AG$6:$AG$69,MATCH($V65,Picks_W6!$AH$6:$AH$69,0)),"")=Results!$C$26)+(IFERROR(INDEX(Picks_W7!$AF$6:$AF$69,MATCH($V65,Picks_W7!$AH$6:$AH$69,0)),"")=Results!$B$27)*(IFERROR(INDEX(Picks_W7!$AG$6:$AG$69,MATCH($V65,Picks_W7!$AH$6:$AH$69,0)),"")=Results!$C$27)+(IFERROR(INDEX(Picks_W8!$AF$6:$AF$69,MATCH($V65,Picks_W8!$AH$6:$AH$69,0)),"")=Results!$B$28)*(IFERROR(INDEX(Picks_W8!$AG$6:$AG$69,MATCH($V65,Picks_W8!$AH$6:$AH$69,0)),"")=Results!$C$28)+(IFERROR(INDEX(Picks_W9!$AF$6:$AF$69,MATCH($V65,Picks_W9!$AH$6:$AH$69,0)),"")=Results!$B$29)*(IFERROR(INDEX(Picks_W9!$AG$6:$AG$69,MATCH($V65,Picks_W9!$AH$6:$AH$69,0)),"")=Results!$C$29)+(IFERROR(INDEX(Picks_W10!$AF$6:$AF$69,MATCH($V65,Picks_W10!$AH$6:$AH$69,0)),"")=Results!$B$30)*(IFERROR(INDEX(Picks_W10!$AG$6:$AG$69,MATCH($V65,Picks_W10!$AH$6:$AH$69,0)),"")=Results!$C$30)+(IFERROR(INDEX(Picks_W11!$AF$6:$AF$69,MATCH($V65,Picks_W11!$AH$6:$AH$69,0)),"")=Results!$B$31)*(IFERROR(INDEX(Picks_W11!$AG$6:$AG$69,MATCH($V65,Picks_W11!$AH$6:$AH$69,0)),"")=Results!$C$31)+(IFERROR(INDEX(Picks_W12!$AF$6:$AF$69,MATCH($V65,Picks_W12!$AH$6:$AH$69,0)),"")=Results!$B$32)*(IFERROR(INDEX(Picks_W12!$AG$6:$AG$69,MATCH($V65,Picks_W12!$AH$6:$AH$69,0)),"")=Results!$C$32)+(IFERROR(INDEX(Picks_W13!$AF$6:$AF$69,MATCH($V65,Picks_W13!$AH$6:$AH$69,0)),"")=Results!$B$33)*(IFERROR(INDEX(Picks_W13!$AG$6:$AG$69,MATCH($V65,Picks_W13!$AH$6:$AH$69,0)),"")=Results!$C$33)</f>
        <v>0</v>
      </c>
      <c r="Q65" s="4">
        <f t="shared" si="5"/>
        <v>14</v>
      </c>
      <c r="R65" s="4">
        <f t="shared" si="6"/>
        <v>0</v>
      </c>
      <c r="S65" s="4">
        <f t="shared" si="7"/>
        <v>23.000118499999999</v>
      </c>
      <c r="T65" s="4">
        <f>IFERROR(INDEX(Picks_W1!$AV$6:$AV$69,MATCH($V65,Picks_W1!$AH$6:$AH$69,0)),0)+IFERROR(INDEX(Picks_W2!$AV$6:$AV$69,MATCH($V65,Picks_W2!$AH$6:$AH$69,0)),0)+IFERROR(INDEX(Picks_W3!$AV$6:$AV$69,MATCH($V65,Picks_W3!$AH$6:$AH$69,0)),0)+IFERROR(INDEX(Picks_W4!$AV$6:$AV$69,MATCH($V65,Picks_W4!$AH$6:$AH$69,0)),0)+IFERROR(INDEX(Picks_W5!$AV$6:$AV$69,MATCH($V65,Picks_W5!$AH$6:$AH$69,0)),0)+IFERROR(INDEX(Picks_W6!$AV$6:$AV$69,MATCH($V65,Picks_W6!$AH$6:$AH$69,0)),0)+IFERROR(INDEX(Picks_W7!$AV$6:$AV$69,MATCH($V65,Picks_W7!$AH$6:$AH$69,0)),0)+IFERROR(INDEX(Picks_W8!$AV$6:$AV$69,MATCH($V65,Picks_W8!$AH$6:$AH$69,0)),0)+IFERROR(INDEX(Picks_W9!$AV$6:$AV$69,MATCH($V65,Picks_W9!$AH$6:$AH$69,0)),0)+IFERROR(INDEX(Picks_W10!$AV$6:$AV$69,MATCH($V65,Picks_W10!$AH$6:$AH$69,0)),0)+IFERROR(INDEX(Picks_W11!$AV$6:$AV$69,MATCH($V65,Picks_W11!$AH$6:$AH$69,0)),0)+IFERROR(INDEX(Picks_W12!$AV$6:$AV$69,MATCH($V65,Picks_W12!$AH$6:$AH$69,0)),0)+IFERROR(INDEX(Picks_W13!$AV$6:$AV$69,MATCH($V65,Picks_W13!$AH$6:$AH$69,0)),0)</f>
        <v>1</v>
      </c>
      <c r="U65" s="17">
        <f>IF(Results!$B$35=0,0,T65/Results!$B$35)</f>
        <v>0.125</v>
      </c>
      <c r="V65" s="4">
        <v>33</v>
      </c>
    </row>
    <row r="66" spans="1:22" ht="1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17"/>
      <c r="V66" s="4"/>
    </row>
    <row r="67" spans="1:22" ht="1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8"/>
      <c r="P67" s="12"/>
      <c r="Q67" s="12"/>
      <c r="R67" s="12"/>
      <c r="S67" s="12"/>
      <c r="T67" s="4"/>
      <c r="U67" s="17"/>
    </row>
    <row r="68" spans="1:22" ht="1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8"/>
      <c r="P68" s="12"/>
      <c r="Q68" s="12"/>
      <c r="R68" s="12"/>
      <c r="S68" s="12"/>
      <c r="T68" s="4"/>
      <c r="U68" s="17"/>
    </row>
    <row r="69" spans="1:22" ht="1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8"/>
      <c r="P69" s="12"/>
      <c r="Q69" s="12"/>
      <c r="R69" s="12"/>
      <c r="S69" s="12"/>
      <c r="T69" s="4"/>
      <c r="U69" s="17"/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6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20" customWidth="1"/>
    <col min="3" max="3" width="14" customWidth="1"/>
    <col min="4" max="7" width="12" customWidth="1"/>
  </cols>
  <sheetData>
    <row r="1" spans="1:8" ht="17.25" customHeight="1" x14ac:dyDescent="0.25">
      <c r="A1" s="2" t="s">
        <v>383</v>
      </c>
    </row>
    <row r="2" spans="1:8" ht="15" customHeight="1" x14ac:dyDescent="0.25">
      <c r="A2" s="19" t="s">
        <v>384</v>
      </c>
      <c r="B2" s="19"/>
      <c r="C2" s="19"/>
      <c r="D2" s="19"/>
      <c r="E2" s="19"/>
      <c r="F2" s="19"/>
      <c r="G2" s="19"/>
      <c r="H2" s="19"/>
    </row>
    <row r="4" spans="1:8" ht="26.25" customHeight="1" x14ac:dyDescent="0.25">
      <c r="A4" s="3" t="s">
        <v>385</v>
      </c>
      <c r="B4" s="3" t="s">
        <v>279</v>
      </c>
      <c r="C4" s="3" t="s">
        <v>376</v>
      </c>
      <c r="D4" s="3" t="s">
        <v>386</v>
      </c>
      <c r="E4" s="3" t="s">
        <v>377</v>
      </c>
      <c r="F4" s="3" t="s">
        <v>378</v>
      </c>
      <c r="G4" s="3" t="s">
        <v>379</v>
      </c>
    </row>
    <row r="6" spans="1:8" ht="15" customHeight="1" x14ac:dyDescent="0.25">
      <c r="A6" s="4">
        <v>1</v>
      </c>
      <c r="B6" s="4" t="str">
        <f>IFERROR(INDEX(Scoring!$A$6:$A$69,MATCH(LARGE(Scoring!$S$6:$S$69,A6),Scoring!$S$6:$S$69,0)),"")</f>
        <v>Greyson R.</v>
      </c>
      <c r="C6" s="4">
        <f>IFERROR(INDEX(Scoring!$O$6:$O$69,MATCH(LARGE(Scoring!$S$6:$S$69,A6),Scoring!$S$6:$S$69,0)),"")</f>
        <v>24</v>
      </c>
      <c r="D6" s="17">
        <f>IFERROR(INDEX(Scoring!$U$6:$U$69,MATCH(LARGE(Scoring!$S$6:$S$69,A6),Scoring!$S$6:$S$69,0)),"")</f>
        <v>0.5</v>
      </c>
      <c r="E6" s="4">
        <f>IFERROR(INDEX(Scoring!$P$6:$P$69,MATCH(LARGE(Scoring!$S$6:$S$69,A6),Scoring!$S$6:$S$69,0)),"")</f>
        <v>0</v>
      </c>
      <c r="F6" s="4">
        <f>IFERROR(INDEX(Scoring!$Q$6:$Q$69,MATCH(LARGE(Scoring!$S$6:$S$69,A6),Scoring!$S$6:$S$69,0)),"")</f>
        <v>12</v>
      </c>
      <c r="G6" s="17">
        <f>IFERROR(INDEX(Scoring!$R$6:$R$69,MATCH(LARGE(Scoring!$S$6:$S$69,A6),Scoring!$S$6:$S$69,0)),"")</f>
        <v>0</v>
      </c>
    </row>
    <row r="7" spans="1:8" ht="15" customHeight="1" x14ac:dyDescent="0.25">
      <c r="A7" s="4">
        <v>2</v>
      </c>
      <c r="B7" s="4" t="str">
        <f>IFERROR(INDEX(Scoring!$A$6:$A$69,MATCH(LARGE(Scoring!$S$6:$S$69,A7),Scoring!$S$6:$S$69,0)),"")</f>
        <v>Stephanie C.</v>
      </c>
      <c r="C7" s="4">
        <f>IFERROR(INDEX(Scoring!$O$6:$O$69,MATCH(LARGE(Scoring!$S$6:$S$69,A7),Scoring!$S$6:$S$69,0)),"")</f>
        <v>23</v>
      </c>
      <c r="D7" s="17">
        <f>IFERROR(INDEX(Scoring!$U$6:$U$69,MATCH(LARGE(Scoring!$S$6:$S$69,A7),Scoring!$S$6:$S$69,0)),"")</f>
        <v>0.5</v>
      </c>
      <c r="E7" s="4">
        <f>IFERROR(INDEX(Scoring!$P$6:$P$69,MATCH(LARGE(Scoring!$S$6:$S$69,A7),Scoring!$S$6:$S$69,0)),"")</f>
        <v>0</v>
      </c>
      <c r="F7" s="4">
        <f>IFERROR(INDEX(Scoring!$Q$6:$Q$69,MATCH(LARGE(Scoring!$S$6:$S$69,A7),Scoring!$S$6:$S$69,0)),"")</f>
        <v>13</v>
      </c>
      <c r="G7" s="17">
        <f>IFERROR(INDEX(Scoring!$R$6:$R$69,MATCH(LARGE(Scoring!$S$6:$S$69,A7),Scoring!$S$6:$S$69,0)),"")</f>
        <v>0</v>
      </c>
    </row>
    <row r="8" spans="1:8" ht="15" customHeight="1" x14ac:dyDescent="0.25">
      <c r="A8" s="4">
        <v>3</v>
      </c>
      <c r="B8" s="4" t="str">
        <f>IFERROR(INDEX(Scoring!$A$6:$A$69,MATCH(LARGE(Scoring!$S$6:$S$69,A8),Scoring!$S$6:$S$69,0)),"")</f>
        <v>Dave H.</v>
      </c>
      <c r="C8" s="4">
        <f>IFERROR(INDEX(Scoring!$O$6:$O$69,MATCH(LARGE(Scoring!$S$6:$S$69,A8),Scoring!$S$6:$S$69,0)),"")</f>
        <v>23</v>
      </c>
      <c r="D8" s="17">
        <f>IFERROR(INDEX(Scoring!$U$6:$U$69,MATCH(LARGE(Scoring!$S$6:$S$69,A8),Scoring!$S$6:$S$69,0)),"")</f>
        <v>0.375</v>
      </c>
      <c r="E8" s="4">
        <f>IFERROR(INDEX(Scoring!$P$6:$P$69,MATCH(LARGE(Scoring!$S$6:$S$69,A8),Scoring!$S$6:$S$69,0)),"")</f>
        <v>0</v>
      </c>
      <c r="F8" s="4">
        <f>IFERROR(INDEX(Scoring!$Q$6:$Q$69,MATCH(LARGE(Scoring!$S$6:$S$69,A8),Scoring!$S$6:$S$69,0)),"")</f>
        <v>12</v>
      </c>
      <c r="G8" s="17">
        <f>IFERROR(INDEX(Scoring!$R$6:$R$69,MATCH(LARGE(Scoring!$S$6:$S$69,A8),Scoring!$S$6:$S$69,0)),"")</f>
        <v>0</v>
      </c>
    </row>
    <row r="9" spans="1:8" ht="15" customHeight="1" x14ac:dyDescent="0.25">
      <c r="A9" s="4">
        <v>4</v>
      </c>
      <c r="B9" s="4" t="str">
        <f>IFERROR(INDEX(Scoring!$A$6:$A$69,MATCH(LARGE(Scoring!$S$6:$S$69,A9),Scoring!$S$6:$S$69,0)),"")</f>
        <v>Dylan G.</v>
      </c>
      <c r="C9" s="4">
        <f>IFERROR(INDEX(Scoring!$O$6:$O$69,MATCH(LARGE(Scoring!$S$6:$S$69,A9),Scoring!$S$6:$S$69,0)),"")</f>
        <v>23</v>
      </c>
      <c r="D9" s="17">
        <f>IFERROR(INDEX(Scoring!$U$6:$U$69,MATCH(LARGE(Scoring!$S$6:$S$69,A9),Scoring!$S$6:$S$69,0)),"")</f>
        <v>0.375</v>
      </c>
      <c r="E9" s="4">
        <f>IFERROR(INDEX(Scoring!$P$6:$P$69,MATCH(LARGE(Scoring!$S$6:$S$69,A9),Scoring!$S$6:$S$69,0)),"")</f>
        <v>0</v>
      </c>
      <c r="F9" s="4">
        <f>IFERROR(INDEX(Scoring!$Q$6:$Q$69,MATCH(LARGE(Scoring!$S$6:$S$69,A9),Scoring!$S$6:$S$69,0)),"")</f>
        <v>14</v>
      </c>
      <c r="G9" s="17">
        <f>IFERROR(INDEX(Scoring!$R$6:$R$69,MATCH(LARGE(Scoring!$S$6:$S$69,A9),Scoring!$S$6:$S$69,0)),"")</f>
        <v>0</v>
      </c>
    </row>
    <row r="10" spans="1:8" ht="15" customHeight="1" x14ac:dyDescent="0.25">
      <c r="A10" s="4">
        <v>5</v>
      </c>
      <c r="B10" s="4" t="str">
        <f>IFERROR(INDEX(Scoring!$A$6:$A$69,MATCH(LARGE(Scoring!$S$6:$S$69,A10),Scoring!$S$6:$S$69,0)),"")</f>
        <v>Lucas D.</v>
      </c>
      <c r="C10" s="4">
        <f>IFERROR(INDEX(Scoring!$O$6:$O$69,MATCH(LARGE(Scoring!$S$6:$S$69,A10),Scoring!$S$6:$S$69,0)),"")</f>
        <v>23</v>
      </c>
      <c r="D10" s="17">
        <f>IFERROR(INDEX(Scoring!$U$6:$U$69,MATCH(LARGE(Scoring!$S$6:$S$69,A10),Scoring!$S$6:$S$69,0)),"")</f>
        <v>0.375</v>
      </c>
      <c r="E10" s="4">
        <f>IFERROR(INDEX(Scoring!$P$6:$P$69,MATCH(LARGE(Scoring!$S$6:$S$69,A10),Scoring!$S$6:$S$69,0)),"")</f>
        <v>0</v>
      </c>
      <c r="F10" s="4">
        <f>IFERROR(INDEX(Scoring!$Q$6:$Q$69,MATCH(LARGE(Scoring!$S$6:$S$69,A10),Scoring!$S$6:$S$69,0)),"")</f>
        <v>14</v>
      </c>
      <c r="G10" s="17">
        <f>IFERROR(INDEX(Scoring!$R$6:$R$69,MATCH(LARGE(Scoring!$S$6:$S$69,A10),Scoring!$S$6:$S$69,0)),"")</f>
        <v>0</v>
      </c>
    </row>
    <row r="11" spans="1:8" ht="15" customHeight="1" x14ac:dyDescent="0.25">
      <c r="A11" s="4">
        <v>6</v>
      </c>
      <c r="B11" s="4" t="str">
        <f>IFERROR(INDEX(Scoring!$A$6:$A$69,MATCH(LARGE(Scoring!$S$6:$S$69,A11),Scoring!$S$6:$S$69,0)),"")</f>
        <v>Corey H.</v>
      </c>
      <c r="C11" s="4">
        <f>IFERROR(INDEX(Scoring!$O$6:$O$69,MATCH(LARGE(Scoring!$S$6:$S$69,A11),Scoring!$S$6:$S$69,0)),"")</f>
        <v>23</v>
      </c>
      <c r="D11" s="17">
        <f>IFERROR(INDEX(Scoring!$U$6:$U$69,MATCH(LARGE(Scoring!$S$6:$S$69,A11),Scoring!$S$6:$S$69,0)),"")</f>
        <v>0.125</v>
      </c>
      <c r="E11" s="4">
        <f>IFERROR(INDEX(Scoring!$P$6:$P$69,MATCH(LARGE(Scoring!$S$6:$S$69,A11),Scoring!$S$6:$S$69,0)),"")</f>
        <v>0</v>
      </c>
      <c r="F11" s="4">
        <f>IFERROR(INDEX(Scoring!$Q$6:$Q$69,MATCH(LARGE(Scoring!$S$6:$S$69,A11),Scoring!$S$6:$S$69,0)),"")</f>
        <v>12</v>
      </c>
      <c r="G11" s="17">
        <f>IFERROR(INDEX(Scoring!$R$6:$R$69,MATCH(LARGE(Scoring!$S$6:$S$69,A11),Scoring!$S$6:$S$69,0)),"")</f>
        <v>0</v>
      </c>
    </row>
    <row r="12" spans="1:8" ht="15" customHeight="1" x14ac:dyDescent="0.25">
      <c r="A12" s="4">
        <v>7</v>
      </c>
      <c r="B12" s="4" t="str">
        <f>IFERROR(INDEX(Scoring!$A$6:$A$69,MATCH(LARGE(Scoring!$S$6:$S$69,A12),Scoring!$S$6:$S$69,0)),"")</f>
        <v>Ken L.</v>
      </c>
      <c r="C12" s="4">
        <f>IFERROR(INDEX(Scoring!$O$6:$O$69,MATCH(LARGE(Scoring!$S$6:$S$69,A12),Scoring!$S$6:$S$69,0)),"")</f>
        <v>23</v>
      </c>
      <c r="D12" s="17">
        <f>IFERROR(INDEX(Scoring!$U$6:$U$69,MATCH(LARGE(Scoring!$S$6:$S$69,A12),Scoring!$S$6:$S$69,0)),"")</f>
        <v>0.125</v>
      </c>
      <c r="E12" s="4">
        <f>IFERROR(INDEX(Scoring!$P$6:$P$69,MATCH(LARGE(Scoring!$S$6:$S$69,A12),Scoring!$S$6:$S$69,0)),"")</f>
        <v>0</v>
      </c>
      <c r="F12" s="4">
        <f>IFERROR(INDEX(Scoring!$Q$6:$Q$69,MATCH(LARGE(Scoring!$S$6:$S$69,A12),Scoring!$S$6:$S$69,0)),"")</f>
        <v>14</v>
      </c>
      <c r="G12" s="17">
        <f>IFERROR(INDEX(Scoring!$R$6:$R$69,MATCH(LARGE(Scoring!$S$6:$S$69,A12),Scoring!$S$6:$S$69,0)),"")</f>
        <v>0</v>
      </c>
    </row>
    <row r="13" spans="1:8" ht="15" customHeight="1" x14ac:dyDescent="0.25">
      <c r="A13" s="4">
        <v>8</v>
      </c>
      <c r="B13" s="4" t="str">
        <f>IFERROR(INDEX(Scoring!$A$6:$A$69,MATCH(LARGE(Scoring!$S$6:$S$69,A13),Scoring!$S$6:$S$69,0)),"")</f>
        <v>Vicki P.</v>
      </c>
      <c r="C13" s="4">
        <f>IFERROR(INDEX(Scoring!$O$6:$O$69,MATCH(LARGE(Scoring!$S$6:$S$69,A13),Scoring!$S$6:$S$69,0)),"")</f>
        <v>23</v>
      </c>
      <c r="D13" s="17">
        <f>IFERROR(INDEX(Scoring!$U$6:$U$69,MATCH(LARGE(Scoring!$S$6:$S$69,A13),Scoring!$S$6:$S$69,0)),"")</f>
        <v>0.125</v>
      </c>
      <c r="E13" s="4">
        <f>IFERROR(INDEX(Scoring!$P$6:$P$69,MATCH(LARGE(Scoring!$S$6:$S$69,A13),Scoring!$S$6:$S$69,0)),"")</f>
        <v>0</v>
      </c>
      <c r="F13" s="4">
        <f>IFERROR(INDEX(Scoring!$Q$6:$Q$69,MATCH(LARGE(Scoring!$S$6:$S$69,A13),Scoring!$S$6:$S$69,0)),"")</f>
        <v>14</v>
      </c>
      <c r="G13" s="17">
        <f>IFERROR(INDEX(Scoring!$R$6:$R$69,MATCH(LARGE(Scoring!$S$6:$S$69,A13),Scoring!$S$6:$S$69,0)),"")</f>
        <v>0</v>
      </c>
    </row>
    <row r="14" spans="1:8" ht="15" customHeight="1" x14ac:dyDescent="0.25">
      <c r="A14" s="4">
        <v>9</v>
      </c>
      <c r="B14" s="4" t="str">
        <f>IFERROR(INDEX(Scoring!$A$6:$A$69,MATCH(LARGE(Scoring!$S$6:$S$69,A14),Scoring!$S$6:$S$69,0)),"")</f>
        <v>Jill B.</v>
      </c>
      <c r="C14" s="4">
        <f>IFERROR(INDEX(Scoring!$O$6:$O$69,MATCH(LARGE(Scoring!$S$6:$S$69,A14),Scoring!$S$6:$S$69,0)),"")</f>
        <v>22</v>
      </c>
      <c r="D14" s="17">
        <f>IFERROR(INDEX(Scoring!$U$6:$U$69,MATCH(LARGE(Scoring!$S$6:$S$69,A14),Scoring!$S$6:$S$69,0)),"")</f>
        <v>0.25</v>
      </c>
      <c r="E14" s="4">
        <f>IFERROR(INDEX(Scoring!$P$6:$P$69,MATCH(LARGE(Scoring!$S$6:$S$69,A14),Scoring!$S$6:$S$69,0)),"")</f>
        <v>0</v>
      </c>
      <c r="F14" s="4">
        <f>IFERROR(INDEX(Scoring!$Q$6:$Q$69,MATCH(LARGE(Scoring!$S$6:$S$69,A14),Scoring!$S$6:$S$69,0)),"")</f>
        <v>13</v>
      </c>
      <c r="G14" s="17">
        <f>IFERROR(INDEX(Scoring!$R$6:$R$69,MATCH(LARGE(Scoring!$S$6:$S$69,A14),Scoring!$S$6:$S$69,0)),"")</f>
        <v>0</v>
      </c>
    </row>
    <row r="15" spans="1:8" ht="15" customHeight="1" x14ac:dyDescent="0.25">
      <c r="A15" s="4">
        <v>10</v>
      </c>
      <c r="B15" s="4" t="str">
        <f>IFERROR(INDEX(Scoring!$A$6:$A$69,MATCH(LARGE(Scoring!$S$6:$S$69,A15),Scoring!$S$6:$S$69,0)),"")</f>
        <v>John T.</v>
      </c>
      <c r="C15" s="4">
        <f>IFERROR(INDEX(Scoring!$O$6:$O$69,MATCH(LARGE(Scoring!$S$6:$S$69,A15),Scoring!$S$6:$S$69,0)),"")</f>
        <v>22</v>
      </c>
      <c r="D15" s="17">
        <f>IFERROR(INDEX(Scoring!$U$6:$U$69,MATCH(LARGE(Scoring!$S$6:$S$69,A15),Scoring!$S$6:$S$69,0)),"")</f>
        <v>0.25</v>
      </c>
      <c r="E15" s="4">
        <f>IFERROR(INDEX(Scoring!$P$6:$P$69,MATCH(LARGE(Scoring!$S$6:$S$69,A15),Scoring!$S$6:$S$69,0)),"")</f>
        <v>0</v>
      </c>
      <c r="F15" s="4">
        <f>IFERROR(INDEX(Scoring!$Q$6:$Q$69,MATCH(LARGE(Scoring!$S$6:$S$69,A15),Scoring!$S$6:$S$69,0)),"")</f>
        <v>14</v>
      </c>
      <c r="G15" s="17">
        <f>IFERROR(INDEX(Scoring!$R$6:$R$69,MATCH(LARGE(Scoring!$S$6:$S$69,A15),Scoring!$S$6:$S$69,0)),"")</f>
        <v>0</v>
      </c>
    </row>
    <row r="16" spans="1:8" ht="15" customHeight="1" x14ac:dyDescent="0.25">
      <c r="A16" s="4">
        <v>11</v>
      </c>
      <c r="B16" s="4" t="str">
        <f>IFERROR(INDEX(Scoring!$A$6:$A$69,MATCH(LARGE(Scoring!$S$6:$S$69,A16),Scoring!$S$6:$S$69,0)),"")</f>
        <v>Josh H.</v>
      </c>
      <c r="C16" s="4">
        <f>IFERROR(INDEX(Scoring!$O$6:$O$69,MATCH(LARGE(Scoring!$S$6:$S$69,A16),Scoring!$S$6:$S$69,0)),"")</f>
        <v>22</v>
      </c>
      <c r="D16" s="17">
        <f>IFERROR(INDEX(Scoring!$U$6:$U$69,MATCH(LARGE(Scoring!$S$6:$S$69,A16),Scoring!$S$6:$S$69,0)),"")</f>
        <v>0.25</v>
      </c>
      <c r="E16" s="4">
        <f>IFERROR(INDEX(Scoring!$P$6:$P$69,MATCH(LARGE(Scoring!$S$6:$S$69,A16),Scoring!$S$6:$S$69,0)),"")</f>
        <v>1</v>
      </c>
      <c r="F16" s="4">
        <f>IFERROR(INDEX(Scoring!$Q$6:$Q$69,MATCH(LARGE(Scoring!$S$6:$S$69,A16),Scoring!$S$6:$S$69,0)),"")</f>
        <v>15</v>
      </c>
      <c r="G16" s="17">
        <f>IFERROR(INDEX(Scoring!$R$6:$R$69,MATCH(LARGE(Scoring!$S$6:$S$69,A16),Scoring!$S$6:$S$69,0)),"")</f>
        <v>0</v>
      </c>
    </row>
    <row r="17" spans="1:7" ht="15" customHeight="1" x14ac:dyDescent="0.25">
      <c r="A17" s="4">
        <v>12</v>
      </c>
      <c r="B17" s="4" t="str">
        <f>IFERROR(INDEX(Scoring!$A$6:$A$69,MATCH(LARGE(Scoring!$S$6:$S$69,A17),Scoring!$S$6:$S$69,0)),"")</f>
        <v>Mike C.</v>
      </c>
      <c r="C17" s="4">
        <f>IFERROR(INDEX(Scoring!$O$6:$O$69,MATCH(LARGE(Scoring!$S$6:$S$69,A17),Scoring!$S$6:$S$69,0)),"")</f>
        <v>22</v>
      </c>
      <c r="D17" s="17">
        <f>IFERROR(INDEX(Scoring!$U$6:$U$69,MATCH(LARGE(Scoring!$S$6:$S$69,A17),Scoring!$S$6:$S$69,0)),"")</f>
        <v>0.25</v>
      </c>
      <c r="E17" s="4">
        <f>IFERROR(INDEX(Scoring!$P$6:$P$69,MATCH(LARGE(Scoring!$S$6:$S$69,A17),Scoring!$S$6:$S$69,0)),"")</f>
        <v>0</v>
      </c>
      <c r="F17" s="4">
        <f>IFERROR(INDEX(Scoring!$Q$6:$Q$69,MATCH(LARGE(Scoring!$S$6:$S$69,A17),Scoring!$S$6:$S$69,0)),"")</f>
        <v>13</v>
      </c>
      <c r="G17" s="17">
        <f>IFERROR(INDEX(Scoring!$R$6:$R$69,MATCH(LARGE(Scoring!$S$6:$S$69,A17),Scoring!$S$6:$S$69,0)),"")</f>
        <v>0</v>
      </c>
    </row>
    <row r="18" spans="1:7" ht="15" customHeight="1" x14ac:dyDescent="0.25">
      <c r="A18" s="4">
        <v>13</v>
      </c>
      <c r="B18" s="4" t="str">
        <f>IFERROR(INDEX(Scoring!$A$6:$A$69,MATCH(LARGE(Scoring!$S$6:$S$69,A18),Scoring!$S$6:$S$69,0)),"")</f>
        <v>Taylor M.</v>
      </c>
      <c r="C18" s="4">
        <f>IFERROR(INDEX(Scoring!$O$6:$O$69,MATCH(LARGE(Scoring!$S$6:$S$69,A18),Scoring!$S$6:$S$69,0)),"")</f>
        <v>22</v>
      </c>
      <c r="D18" s="17">
        <f>IFERROR(INDEX(Scoring!$U$6:$U$69,MATCH(LARGE(Scoring!$S$6:$S$69,A18),Scoring!$S$6:$S$69,0)),"")</f>
        <v>0.25</v>
      </c>
      <c r="E18" s="4">
        <f>IFERROR(INDEX(Scoring!$P$6:$P$69,MATCH(LARGE(Scoring!$S$6:$S$69,A18),Scoring!$S$6:$S$69,0)),"")</f>
        <v>0</v>
      </c>
      <c r="F18" s="4">
        <f>IFERROR(INDEX(Scoring!$Q$6:$Q$69,MATCH(LARGE(Scoring!$S$6:$S$69,A18),Scoring!$S$6:$S$69,0)),"")</f>
        <v>11</v>
      </c>
      <c r="G18" s="17">
        <f>IFERROR(INDEX(Scoring!$R$6:$R$69,MATCH(LARGE(Scoring!$S$6:$S$69,A18),Scoring!$S$6:$S$69,0)),"")</f>
        <v>0</v>
      </c>
    </row>
    <row r="19" spans="1:7" ht="15" customHeight="1" x14ac:dyDescent="0.25">
      <c r="A19" s="4">
        <v>14</v>
      </c>
      <c r="B19" s="4" t="str">
        <f>IFERROR(INDEX(Scoring!$A$6:$A$69,MATCH(LARGE(Scoring!$S$6:$S$69,A19),Scoring!$S$6:$S$69,0)),"")</f>
        <v>Bryan C.</v>
      </c>
      <c r="C19" s="4">
        <f>IFERROR(INDEX(Scoring!$O$6:$O$69,MATCH(LARGE(Scoring!$S$6:$S$69,A19),Scoring!$S$6:$S$69,0)),"")</f>
        <v>22</v>
      </c>
      <c r="D19" s="17">
        <f>IFERROR(INDEX(Scoring!$U$6:$U$69,MATCH(LARGE(Scoring!$S$6:$S$69,A19),Scoring!$S$6:$S$69,0)),"")</f>
        <v>0.125</v>
      </c>
      <c r="E19" s="4">
        <f>IFERROR(INDEX(Scoring!$P$6:$P$69,MATCH(LARGE(Scoring!$S$6:$S$69,A19),Scoring!$S$6:$S$69,0)),"")</f>
        <v>0</v>
      </c>
      <c r="F19" s="4">
        <f>IFERROR(INDEX(Scoring!$Q$6:$Q$69,MATCH(LARGE(Scoring!$S$6:$S$69,A19),Scoring!$S$6:$S$69,0)),"")</f>
        <v>13</v>
      </c>
      <c r="G19" s="17">
        <f>IFERROR(INDEX(Scoring!$R$6:$R$69,MATCH(LARGE(Scoring!$S$6:$S$69,A19),Scoring!$S$6:$S$69,0)),"")</f>
        <v>0</v>
      </c>
    </row>
    <row r="20" spans="1:7" ht="15" customHeight="1" x14ac:dyDescent="0.25">
      <c r="A20" s="4">
        <v>15</v>
      </c>
      <c r="B20" s="4" t="str">
        <f>IFERROR(INDEX(Scoring!$A$6:$A$69,MATCH(LARGE(Scoring!$S$6:$S$69,A20),Scoring!$S$6:$S$69,0)),"")</f>
        <v>Gene P.</v>
      </c>
      <c r="C20" s="4">
        <f>IFERROR(INDEX(Scoring!$O$6:$O$69,MATCH(LARGE(Scoring!$S$6:$S$69,A20),Scoring!$S$6:$S$69,0)),"")</f>
        <v>22</v>
      </c>
      <c r="D20" s="17">
        <f>IFERROR(INDEX(Scoring!$U$6:$U$69,MATCH(LARGE(Scoring!$S$6:$S$69,A20),Scoring!$S$6:$S$69,0)),"")</f>
        <v>0.125</v>
      </c>
      <c r="E20" s="4">
        <f>IFERROR(INDEX(Scoring!$P$6:$P$69,MATCH(LARGE(Scoring!$S$6:$S$69,A20),Scoring!$S$6:$S$69,0)),"")</f>
        <v>0</v>
      </c>
      <c r="F20" s="4">
        <f>IFERROR(INDEX(Scoring!$Q$6:$Q$69,MATCH(LARGE(Scoring!$S$6:$S$69,A20),Scoring!$S$6:$S$69,0)),"")</f>
        <v>13</v>
      </c>
      <c r="G20" s="17">
        <f>IFERROR(INDEX(Scoring!$R$6:$R$69,MATCH(LARGE(Scoring!$S$6:$S$69,A20),Scoring!$S$6:$S$69,0)),"")</f>
        <v>0</v>
      </c>
    </row>
    <row r="21" spans="1:7" ht="15" customHeight="1" x14ac:dyDescent="0.25">
      <c r="A21" s="4">
        <v>16</v>
      </c>
      <c r="B21" s="4" t="str">
        <f>IFERROR(INDEX(Scoring!$A$6:$A$69,MATCH(LARGE(Scoring!$S$6:$S$69,A21),Scoring!$S$6:$S$69,0)),"")</f>
        <v>JC B.</v>
      </c>
      <c r="C21" s="4">
        <f>IFERROR(INDEX(Scoring!$O$6:$O$69,MATCH(LARGE(Scoring!$S$6:$S$69,A21),Scoring!$S$6:$S$69,0)),"")</f>
        <v>22</v>
      </c>
      <c r="D21" s="17">
        <f>IFERROR(INDEX(Scoring!$U$6:$U$69,MATCH(LARGE(Scoring!$S$6:$S$69,A21),Scoring!$S$6:$S$69,0)),"")</f>
        <v>0.125</v>
      </c>
      <c r="E21" s="4">
        <f>IFERROR(INDEX(Scoring!$P$6:$P$69,MATCH(LARGE(Scoring!$S$6:$S$69,A21),Scoring!$S$6:$S$69,0)),"")</f>
        <v>0</v>
      </c>
      <c r="F21" s="4">
        <f>IFERROR(INDEX(Scoring!$Q$6:$Q$69,MATCH(LARGE(Scoring!$S$6:$S$69,A21),Scoring!$S$6:$S$69,0)),"")</f>
        <v>12</v>
      </c>
      <c r="G21" s="17">
        <f>IFERROR(INDEX(Scoring!$R$6:$R$69,MATCH(LARGE(Scoring!$S$6:$S$69,A21),Scoring!$S$6:$S$69,0)),"")</f>
        <v>0</v>
      </c>
    </row>
    <row r="22" spans="1:7" ht="15" customHeight="1" x14ac:dyDescent="0.25">
      <c r="A22" s="4">
        <v>17</v>
      </c>
      <c r="B22" s="4" t="str">
        <f>IFERROR(INDEX(Scoring!$A$6:$A$69,MATCH(LARGE(Scoring!$S$6:$S$69,A22),Scoring!$S$6:$S$69,0)),"")</f>
        <v>Martin J.</v>
      </c>
      <c r="C22" s="4">
        <f>IFERROR(INDEX(Scoring!$O$6:$O$69,MATCH(LARGE(Scoring!$S$6:$S$69,A22),Scoring!$S$6:$S$69,0)),"")</f>
        <v>22</v>
      </c>
      <c r="D22" s="17">
        <f>IFERROR(INDEX(Scoring!$U$6:$U$69,MATCH(LARGE(Scoring!$S$6:$S$69,A22),Scoring!$S$6:$S$69,0)),"")</f>
        <v>0.125</v>
      </c>
      <c r="E22" s="4">
        <f>IFERROR(INDEX(Scoring!$P$6:$P$69,MATCH(LARGE(Scoring!$S$6:$S$69,A22),Scoring!$S$6:$S$69,0)),"")</f>
        <v>0</v>
      </c>
      <c r="F22" s="4">
        <f>IFERROR(INDEX(Scoring!$Q$6:$Q$69,MATCH(LARGE(Scoring!$S$6:$S$69,A22),Scoring!$S$6:$S$69,0)),"")</f>
        <v>12</v>
      </c>
      <c r="G22" s="17">
        <f>IFERROR(INDEX(Scoring!$R$6:$R$69,MATCH(LARGE(Scoring!$S$6:$S$69,A22),Scoring!$S$6:$S$69,0)),"")</f>
        <v>0</v>
      </c>
    </row>
    <row r="23" spans="1:7" ht="15" customHeight="1" x14ac:dyDescent="0.25">
      <c r="A23" s="4">
        <v>18</v>
      </c>
      <c r="B23" s="4" t="str">
        <f>IFERROR(INDEX(Scoring!$A$6:$A$69,MATCH(LARGE(Scoring!$S$6:$S$69,A23),Scoring!$S$6:$S$69,0)),"")</f>
        <v>Matt B.</v>
      </c>
      <c r="C23" s="4">
        <f>IFERROR(INDEX(Scoring!$O$6:$O$69,MATCH(LARGE(Scoring!$S$6:$S$69,A23),Scoring!$S$6:$S$69,0)),"")</f>
        <v>22</v>
      </c>
      <c r="D23" s="17">
        <f>IFERROR(INDEX(Scoring!$U$6:$U$69,MATCH(LARGE(Scoring!$S$6:$S$69,A23),Scoring!$S$6:$S$69,0)),"")</f>
        <v>0.125</v>
      </c>
      <c r="E23" s="4">
        <f>IFERROR(INDEX(Scoring!$P$6:$P$69,MATCH(LARGE(Scoring!$S$6:$S$69,A23),Scoring!$S$6:$S$69,0)),"")</f>
        <v>0</v>
      </c>
      <c r="F23" s="4">
        <f>IFERROR(INDEX(Scoring!$Q$6:$Q$69,MATCH(LARGE(Scoring!$S$6:$S$69,A23),Scoring!$S$6:$S$69,0)),"")</f>
        <v>13</v>
      </c>
      <c r="G23" s="17">
        <f>IFERROR(INDEX(Scoring!$R$6:$R$69,MATCH(LARGE(Scoring!$S$6:$S$69,A23),Scoring!$S$6:$S$69,0)),"")</f>
        <v>0</v>
      </c>
    </row>
    <row r="24" spans="1:7" ht="15" customHeight="1" x14ac:dyDescent="0.25">
      <c r="A24" s="4">
        <v>19</v>
      </c>
      <c r="B24" s="4" t="str">
        <f>IFERROR(INDEX(Scoring!$A$6:$A$69,MATCH(LARGE(Scoring!$S$6:$S$69,A24),Scoring!$S$6:$S$69,0)),"")</f>
        <v>Ryan C.</v>
      </c>
      <c r="C24" s="4">
        <f>IFERROR(INDEX(Scoring!$O$6:$O$69,MATCH(LARGE(Scoring!$S$6:$S$69,A24),Scoring!$S$6:$S$69,0)),"")</f>
        <v>22</v>
      </c>
      <c r="D24" s="17">
        <f>IFERROR(INDEX(Scoring!$U$6:$U$69,MATCH(LARGE(Scoring!$S$6:$S$69,A24),Scoring!$S$6:$S$69,0)),"")</f>
        <v>0.125</v>
      </c>
      <c r="E24" s="4">
        <f>IFERROR(INDEX(Scoring!$P$6:$P$69,MATCH(LARGE(Scoring!$S$6:$S$69,A24),Scoring!$S$6:$S$69,0)),"")</f>
        <v>0</v>
      </c>
      <c r="F24" s="4">
        <f>IFERROR(INDEX(Scoring!$Q$6:$Q$69,MATCH(LARGE(Scoring!$S$6:$S$69,A24),Scoring!$S$6:$S$69,0)),"")</f>
        <v>13</v>
      </c>
      <c r="G24" s="17">
        <f>IFERROR(INDEX(Scoring!$R$6:$R$69,MATCH(LARGE(Scoring!$S$6:$S$69,A24),Scoring!$S$6:$S$69,0)),"")</f>
        <v>0</v>
      </c>
    </row>
    <row r="25" spans="1:7" ht="15" customHeight="1" x14ac:dyDescent="0.25">
      <c r="A25" s="4">
        <v>20</v>
      </c>
      <c r="B25" s="4" t="str">
        <f>IFERROR(INDEX(Scoring!$A$6:$A$69,MATCH(LARGE(Scoring!$S$6:$S$69,A25),Scoring!$S$6:$S$69,0)),"")</f>
        <v>Dan L.</v>
      </c>
      <c r="C25" s="4">
        <f>IFERROR(INDEX(Scoring!$O$6:$O$69,MATCH(LARGE(Scoring!$S$6:$S$69,A25),Scoring!$S$6:$S$69,0)),"")</f>
        <v>22</v>
      </c>
      <c r="D25" s="17">
        <f>IFERROR(INDEX(Scoring!$U$6:$U$69,MATCH(LARGE(Scoring!$S$6:$S$69,A25),Scoring!$S$6:$S$69,0)),"")</f>
        <v>0</v>
      </c>
      <c r="E25" s="4">
        <f>IFERROR(INDEX(Scoring!$P$6:$P$69,MATCH(LARGE(Scoring!$S$6:$S$69,A25),Scoring!$S$6:$S$69,0)),"")</f>
        <v>0</v>
      </c>
      <c r="F25" s="4">
        <f>IFERROR(INDEX(Scoring!$Q$6:$Q$69,MATCH(LARGE(Scoring!$S$6:$S$69,A25),Scoring!$S$6:$S$69,0)),"")</f>
        <v>13</v>
      </c>
      <c r="G25" s="17">
        <f>IFERROR(INDEX(Scoring!$R$6:$R$69,MATCH(LARGE(Scoring!$S$6:$S$69,A25),Scoring!$S$6:$S$69,0)),"")</f>
        <v>0</v>
      </c>
    </row>
    <row r="26" spans="1:7" ht="15" customHeight="1" x14ac:dyDescent="0.25">
      <c r="A26" s="4">
        <v>21</v>
      </c>
      <c r="B26" s="4" t="str">
        <f>IFERROR(INDEX(Scoring!$A$6:$A$69,MATCH(LARGE(Scoring!$S$6:$S$69,A26),Scoring!$S$6:$S$69,0)),"")</f>
        <v>Charlie F.</v>
      </c>
      <c r="C26" s="4">
        <f>IFERROR(INDEX(Scoring!$O$6:$O$69,MATCH(LARGE(Scoring!$S$6:$S$69,A26),Scoring!$S$6:$S$69,0)),"")</f>
        <v>21</v>
      </c>
      <c r="D26" s="17">
        <f>IFERROR(INDEX(Scoring!$U$6:$U$69,MATCH(LARGE(Scoring!$S$6:$S$69,A26),Scoring!$S$6:$S$69,0)),"")</f>
        <v>0.5</v>
      </c>
      <c r="E26" s="4">
        <f>IFERROR(INDEX(Scoring!$P$6:$P$69,MATCH(LARGE(Scoring!$S$6:$S$69,A26),Scoring!$S$6:$S$69,0)),"")</f>
        <v>0</v>
      </c>
      <c r="F26" s="4">
        <f>IFERROR(INDEX(Scoring!$Q$6:$Q$69,MATCH(LARGE(Scoring!$S$6:$S$69,A26),Scoring!$S$6:$S$69,0)),"")</f>
        <v>11</v>
      </c>
      <c r="G26" s="17">
        <f>IFERROR(INDEX(Scoring!$R$6:$R$69,MATCH(LARGE(Scoring!$S$6:$S$69,A26),Scoring!$S$6:$S$69,0)),"")</f>
        <v>0</v>
      </c>
    </row>
    <row r="27" spans="1:7" ht="15" customHeight="1" x14ac:dyDescent="0.25">
      <c r="A27" s="4">
        <v>22</v>
      </c>
      <c r="B27" s="4" t="str">
        <f>IFERROR(INDEX(Scoring!$A$6:$A$69,MATCH(LARGE(Scoring!$S$6:$S$69,A27),Scoring!$S$6:$S$69,0)),"")</f>
        <v>Max R.</v>
      </c>
      <c r="C27" s="4">
        <f>IFERROR(INDEX(Scoring!$O$6:$O$69,MATCH(LARGE(Scoring!$S$6:$S$69,A27),Scoring!$S$6:$S$69,0)),"")</f>
        <v>21</v>
      </c>
      <c r="D27" s="17">
        <f>IFERROR(INDEX(Scoring!$U$6:$U$69,MATCH(LARGE(Scoring!$S$6:$S$69,A27),Scoring!$S$6:$S$69,0)),"")</f>
        <v>0.5</v>
      </c>
      <c r="E27" s="4">
        <f>IFERROR(INDEX(Scoring!$P$6:$P$69,MATCH(LARGE(Scoring!$S$6:$S$69,A27),Scoring!$S$6:$S$69,0)),"")</f>
        <v>0</v>
      </c>
      <c r="F27" s="4">
        <f>IFERROR(INDEX(Scoring!$Q$6:$Q$69,MATCH(LARGE(Scoring!$S$6:$S$69,A27),Scoring!$S$6:$S$69,0)),"")</f>
        <v>12</v>
      </c>
      <c r="G27" s="17">
        <f>IFERROR(INDEX(Scoring!$R$6:$R$69,MATCH(LARGE(Scoring!$S$6:$S$69,A27),Scoring!$S$6:$S$69,0)),"")</f>
        <v>0</v>
      </c>
    </row>
    <row r="28" spans="1:7" ht="15" customHeight="1" x14ac:dyDescent="0.25">
      <c r="A28" s="4">
        <v>23</v>
      </c>
      <c r="B28" s="4" t="str">
        <f>IFERROR(INDEX(Scoring!$A$6:$A$69,MATCH(LARGE(Scoring!$S$6:$S$69,A28),Scoring!$S$6:$S$69,0)),"")</f>
        <v>Jeff D.</v>
      </c>
      <c r="C28" s="4">
        <f>IFERROR(INDEX(Scoring!$O$6:$O$69,MATCH(LARGE(Scoring!$S$6:$S$69,A28),Scoring!$S$6:$S$69,0)),"")</f>
        <v>21</v>
      </c>
      <c r="D28" s="17">
        <f>IFERROR(INDEX(Scoring!$U$6:$U$69,MATCH(LARGE(Scoring!$S$6:$S$69,A28),Scoring!$S$6:$S$69,0)),"")</f>
        <v>0.375</v>
      </c>
      <c r="E28" s="4">
        <f>IFERROR(INDEX(Scoring!$P$6:$P$69,MATCH(LARGE(Scoring!$S$6:$S$69,A28),Scoring!$S$6:$S$69,0)),"")</f>
        <v>0</v>
      </c>
      <c r="F28" s="4">
        <f>IFERROR(INDEX(Scoring!$Q$6:$Q$69,MATCH(LARGE(Scoring!$S$6:$S$69,A28),Scoring!$S$6:$S$69,0)),"")</f>
        <v>12</v>
      </c>
      <c r="G28" s="17">
        <f>IFERROR(INDEX(Scoring!$R$6:$R$69,MATCH(LARGE(Scoring!$S$6:$S$69,A28),Scoring!$S$6:$S$69,0)),"")</f>
        <v>0</v>
      </c>
    </row>
    <row r="29" spans="1:7" ht="15" customHeight="1" x14ac:dyDescent="0.25">
      <c r="A29" s="4">
        <v>24</v>
      </c>
      <c r="B29" s="4" t="str">
        <f>IFERROR(INDEX(Scoring!$A$6:$A$69,MATCH(LARGE(Scoring!$S$6:$S$69,A29),Scoring!$S$6:$S$69,0)),"")</f>
        <v>Merritt E.</v>
      </c>
      <c r="C29" s="4">
        <f>IFERROR(INDEX(Scoring!$O$6:$O$69,MATCH(LARGE(Scoring!$S$6:$S$69,A29),Scoring!$S$6:$S$69,0)),"")</f>
        <v>21</v>
      </c>
      <c r="D29" s="17">
        <f>IFERROR(INDEX(Scoring!$U$6:$U$69,MATCH(LARGE(Scoring!$S$6:$S$69,A29),Scoring!$S$6:$S$69,0)),"")</f>
        <v>0.375</v>
      </c>
      <c r="E29" s="4">
        <f>IFERROR(INDEX(Scoring!$P$6:$P$69,MATCH(LARGE(Scoring!$S$6:$S$69,A29),Scoring!$S$6:$S$69,0)),"")</f>
        <v>0</v>
      </c>
      <c r="F29" s="4">
        <f>IFERROR(INDEX(Scoring!$Q$6:$Q$69,MATCH(LARGE(Scoring!$S$6:$S$69,A29),Scoring!$S$6:$S$69,0)),"")</f>
        <v>11</v>
      </c>
      <c r="G29" s="17">
        <f>IFERROR(INDEX(Scoring!$R$6:$R$69,MATCH(LARGE(Scoring!$S$6:$S$69,A29),Scoring!$S$6:$S$69,0)),"")</f>
        <v>0</v>
      </c>
    </row>
    <row r="30" spans="1:7" ht="15" customHeight="1" x14ac:dyDescent="0.25">
      <c r="A30" s="4">
        <v>25</v>
      </c>
      <c r="B30" s="4" t="str">
        <f>IFERROR(INDEX(Scoring!$A$6:$A$69,MATCH(LARGE(Scoring!$S$6:$S$69,A30),Scoring!$S$6:$S$69,0)),"")</f>
        <v>Chris P.</v>
      </c>
      <c r="C30" s="4">
        <f>IFERROR(INDEX(Scoring!$O$6:$O$69,MATCH(LARGE(Scoring!$S$6:$S$69,A30),Scoring!$S$6:$S$69,0)),"")</f>
        <v>21</v>
      </c>
      <c r="D30" s="17">
        <f>IFERROR(INDEX(Scoring!$U$6:$U$69,MATCH(LARGE(Scoring!$S$6:$S$69,A30),Scoring!$S$6:$S$69,0)),"")</f>
        <v>0.25</v>
      </c>
      <c r="E30" s="4">
        <f>IFERROR(INDEX(Scoring!$P$6:$P$69,MATCH(LARGE(Scoring!$S$6:$S$69,A30),Scoring!$S$6:$S$69,0)),"")</f>
        <v>0</v>
      </c>
      <c r="F30" s="4">
        <f>IFERROR(INDEX(Scoring!$Q$6:$Q$69,MATCH(LARGE(Scoring!$S$6:$S$69,A30),Scoring!$S$6:$S$69,0)),"")</f>
        <v>11</v>
      </c>
      <c r="G30" s="17">
        <f>IFERROR(INDEX(Scoring!$R$6:$R$69,MATCH(LARGE(Scoring!$S$6:$S$69,A30),Scoring!$S$6:$S$69,0)),"")</f>
        <v>0</v>
      </c>
    </row>
    <row r="31" spans="1:7" ht="15" customHeight="1" x14ac:dyDescent="0.25">
      <c r="A31" s="4">
        <v>26</v>
      </c>
      <c r="B31" s="4" t="str">
        <f>IFERROR(INDEX(Scoring!$A$6:$A$69,MATCH(LARGE(Scoring!$S$6:$S$69,A31),Scoring!$S$6:$S$69,0)),"")</f>
        <v>James M.</v>
      </c>
      <c r="C31" s="4">
        <f>IFERROR(INDEX(Scoring!$O$6:$O$69,MATCH(LARGE(Scoring!$S$6:$S$69,A31),Scoring!$S$6:$S$69,0)),"")</f>
        <v>21</v>
      </c>
      <c r="D31" s="17">
        <f>IFERROR(INDEX(Scoring!$U$6:$U$69,MATCH(LARGE(Scoring!$S$6:$S$69,A31),Scoring!$S$6:$S$69,0)),"")</f>
        <v>0.25</v>
      </c>
      <c r="E31" s="4">
        <f>IFERROR(INDEX(Scoring!$P$6:$P$69,MATCH(LARGE(Scoring!$S$6:$S$69,A31),Scoring!$S$6:$S$69,0)),"")</f>
        <v>0</v>
      </c>
      <c r="F31" s="4">
        <f>IFERROR(INDEX(Scoring!$Q$6:$Q$69,MATCH(LARGE(Scoring!$S$6:$S$69,A31),Scoring!$S$6:$S$69,0)),"")</f>
        <v>12</v>
      </c>
      <c r="G31" s="17">
        <f>IFERROR(INDEX(Scoring!$R$6:$R$69,MATCH(LARGE(Scoring!$S$6:$S$69,A31),Scoring!$S$6:$S$69,0)),"")</f>
        <v>0</v>
      </c>
    </row>
    <row r="32" spans="1:7" ht="15" customHeight="1" x14ac:dyDescent="0.25">
      <c r="A32" s="4">
        <v>27</v>
      </c>
      <c r="B32" s="4" t="str">
        <f>IFERROR(INDEX(Scoring!$A$6:$A$69,MATCH(LARGE(Scoring!$S$6:$S$69,A32),Scoring!$S$6:$S$69,0)),"")</f>
        <v>Kyle W.</v>
      </c>
      <c r="C32" s="4">
        <f>IFERROR(INDEX(Scoring!$O$6:$O$69,MATCH(LARGE(Scoring!$S$6:$S$69,A32),Scoring!$S$6:$S$69,0)),"")</f>
        <v>21</v>
      </c>
      <c r="D32" s="17">
        <f>IFERROR(INDEX(Scoring!$U$6:$U$69,MATCH(LARGE(Scoring!$S$6:$S$69,A32),Scoring!$S$6:$S$69,0)),"")</f>
        <v>0.25</v>
      </c>
      <c r="E32" s="4">
        <f>IFERROR(INDEX(Scoring!$P$6:$P$69,MATCH(LARGE(Scoring!$S$6:$S$69,A32),Scoring!$S$6:$S$69,0)),"")</f>
        <v>0</v>
      </c>
      <c r="F32" s="4">
        <f>IFERROR(INDEX(Scoring!$Q$6:$Q$69,MATCH(LARGE(Scoring!$S$6:$S$69,A32),Scoring!$S$6:$S$69,0)),"")</f>
        <v>12</v>
      </c>
      <c r="G32" s="17">
        <f>IFERROR(INDEX(Scoring!$R$6:$R$69,MATCH(LARGE(Scoring!$S$6:$S$69,A32),Scoring!$S$6:$S$69,0)),"")</f>
        <v>0</v>
      </c>
    </row>
    <row r="33" spans="1:7" ht="15" customHeight="1" x14ac:dyDescent="0.25">
      <c r="A33" s="4">
        <v>28</v>
      </c>
      <c r="B33" s="4" t="str">
        <f>IFERROR(INDEX(Scoring!$A$6:$A$69,MATCH(LARGE(Scoring!$S$6:$S$69,A33),Scoring!$S$6:$S$69,0)),"")</f>
        <v>David Y.</v>
      </c>
      <c r="C33" s="4">
        <f>IFERROR(INDEX(Scoring!$O$6:$O$69,MATCH(LARGE(Scoring!$S$6:$S$69,A33),Scoring!$S$6:$S$69,0)),"")</f>
        <v>21</v>
      </c>
      <c r="D33" s="17">
        <f>IFERROR(INDEX(Scoring!$U$6:$U$69,MATCH(LARGE(Scoring!$S$6:$S$69,A33),Scoring!$S$6:$S$69,0)),"")</f>
        <v>0.125</v>
      </c>
      <c r="E33" s="4">
        <f>IFERROR(INDEX(Scoring!$P$6:$P$69,MATCH(LARGE(Scoring!$S$6:$S$69,A33),Scoring!$S$6:$S$69,0)),"")</f>
        <v>0</v>
      </c>
      <c r="F33" s="4">
        <f>IFERROR(INDEX(Scoring!$Q$6:$Q$69,MATCH(LARGE(Scoring!$S$6:$S$69,A33),Scoring!$S$6:$S$69,0)),"")</f>
        <v>13</v>
      </c>
      <c r="G33" s="17">
        <f>IFERROR(INDEX(Scoring!$R$6:$R$69,MATCH(LARGE(Scoring!$S$6:$S$69,A33),Scoring!$S$6:$S$69,0)),"")</f>
        <v>0</v>
      </c>
    </row>
    <row r="34" spans="1:7" ht="15" customHeight="1" x14ac:dyDescent="0.25">
      <c r="A34" s="4">
        <v>29</v>
      </c>
      <c r="B34" s="4" t="str">
        <f>IFERROR(INDEX(Scoring!$A$6:$A$69,MATCH(LARGE(Scoring!$S$6:$S$69,A34),Scoring!$S$6:$S$69,0)),"")</f>
        <v>Mike B.</v>
      </c>
      <c r="C34" s="4">
        <f>IFERROR(INDEX(Scoring!$O$6:$O$69,MATCH(LARGE(Scoring!$S$6:$S$69,A34),Scoring!$S$6:$S$69,0)),"")</f>
        <v>21</v>
      </c>
      <c r="D34" s="17">
        <f>IFERROR(INDEX(Scoring!$U$6:$U$69,MATCH(LARGE(Scoring!$S$6:$S$69,A34),Scoring!$S$6:$S$69,0)),"")</f>
        <v>0.125</v>
      </c>
      <c r="E34" s="4">
        <f>IFERROR(INDEX(Scoring!$P$6:$P$69,MATCH(LARGE(Scoring!$S$6:$S$69,A34),Scoring!$S$6:$S$69,0)),"")</f>
        <v>0</v>
      </c>
      <c r="F34" s="4">
        <f>IFERROR(INDEX(Scoring!$Q$6:$Q$69,MATCH(LARGE(Scoring!$S$6:$S$69,A34),Scoring!$S$6:$S$69,0)),"")</f>
        <v>12</v>
      </c>
      <c r="G34" s="17">
        <f>IFERROR(INDEX(Scoring!$R$6:$R$69,MATCH(LARGE(Scoring!$S$6:$S$69,A34),Scoring!$S$6:$S$69,0)),"")</f>
        <v>0</v>
      </c>
    </row>
    <row r="35" spans="1:7" ht="15" customHeight="1" x14ac:dyDescent="0.25">
      <c r="A35" s="4">
        <v>30</v>
      </c>
      <c r="B35" s="4" t="str">
        <f>IFERROR(INDEX(Scoring!$A$6:$A$69,MATCH(LARGE(Scoring!$S$6:$S$69,A35),Scoring!$S$6:$S$69,0)),"")</f>
        <v>Nathan P.</v>
      </c>
      <c r="C35" s="4">
        <f>IFERROR(INDEX(Scoring!$O$6:$O$69,MATCH(LARGE(Scoring!$S$6:$S$69,A35),Scoring!$S$6:$S$69,0)),"")</f>
        <v>21</v>
      </c>
      <c r="D35" s="17">
        <f>IFERROR(INDEX(Scoring!$U$6:$U$69,MATCH(LARGE(Scoring!$S$6:$S$69,A35),Scoring!$S$6:$S$69,0)),"")</f>
        <v>0.125</v>
      </c>
      <c r="E35" s="4">
        <f>IFERROR(INDEX(Scoring!$P$6:$P$69,MATCH(LARGE(Scoring!$S$6:$S$69,A35),Scoring!$S$6:$S$69,0)),"")</f>
        <v>0</v>
      </c>
      <c r="F35" s="4">
        <f>IFERROR(INDEX(Scoring!$Q$6:$Q$69,MATCH(LARGE(Scoring!$S$6:$S$69,A35),Scoring!$S$6:$S$69,0)),"")</f>
        <v>12</v>
      </c>
      <c r="G35" s="17">
        <f>IFERROR(INDEX(Scoring!$R$6:$R$69,MATCH(LARGE(Scoring!$S$6:$S$69,A35),Scoring!$S$6:$S$69,0)),"")</f>
        <v>0</v>
      </c>
    </row>
    <row r="36" spans="1:7" ht="15" customHeight="1" x14ac:dyDescent="0.25">
      <c r="A36" s="4">
        <v>31</v>
      </c>
      <c r="B36" s="4" t="str">
        <f>IFERROR(INDEX(Scoring!$A$6:$A$69,MATCH(LARGE(Scoring!$S$6:$S$69,A36),Scoring!$S$6:$S$69,0)),"")</f>
        <v>Bryan M.</v>
      </c>
      <c r="C36" s="4">
        <f>IFERROR(INDEX(Scoring!$O$6:$O$69,MATCH(LARGE(Scoring!$S$6:$S$69,A36),Scoring!$S$6:$S$69,0)),"")</f>
        <v>21</v>
      </c>
      <c r="D36" s="17">
        <f>IFERROR(INDEX(Scoring!$U$6:$U$69,MATCH(LARGE(Scoring!$S$6:$S$69,A36),Scoring!$S$6:$S$69,0)),"")</f>
        <v>0</v>
      </c>
      <c r="E36" s="4">
        <f>IFERROR(INDEX(Scoring!$P$6:$P$69,MATCH(LARGE(Scoring!$S$6:$S$69,A36),Scoring!$S$6:$S$69,0)),"")</f>
        <v>0</v>
      </c>
      <c r="F36" s="4">
        <f>IFERROR(INDEX(Scoring!$Q$6:$Q$69,MATCH(LARGE(Scoring!$S$6:$S$69,A36),Scoring!$S$6:$S$69,0)),"")</f>
        <v>12</v>
      </c>
      <c r="G36" s="17">
        <f>IFERROR(INDEX(Scoring!$R$6:$R$69,MATCH(LARGE(Scoring!$S$6:$S$69,A36),Scoring!$S$6:$S$69,0)),"")</f>
        <v>0</v>
      </c>
    </row>
    <row r="37" spans="1:7" ht="15" customHeight="1" x14ac:dyDescent="0.25">
      <c r="A37" s="4">
        <v>32</v>
      </c>
      <c r="B37" s="4" t="str">
        <f>IFERROR(INDEX(Scoring!$A$6:$A$69,MATCH(LARGE(Scoring!$S$6:$S$69,A37),Scoring!$S$6:$S$69,0)),"")</f>
        <v>Lauren C.</v>
      </c>
      <c r="C37" s="4">
        <f>IFERROR(INDEX(Scoring!$O$6:$O$69,MATCH(LARGE(Scoring!$S$6:$S$69,A37),Scoring!$S$6:$S$69,0)),"")</f>
        <v>21</v>
      </c>
      <c r="D37" s="17">
        <f>IFERROR(INDEX(Scoring!$U$6:$U$69,MATCH(LARGE(Scoring!$S$6:$S$69,A37),Scoring!$S$6:$S$69,0)),"")</f>
        <v>0</v>
      </c>
      <c r="E37" s="4">
        <f>IFERROR(INDEX(Scoring!$P$6:$P$69,MATCH(LARGE(Scoring!$S$6:$S$69,A37),Scoring!$S$6:$S$69,0)),"")</f>
        <v>0</v>
      </c>
      <c r="F37" s="4">
        <f>IFERROR(INDEX(Scoring!$Q$6:$Q$69,MATCH(LARGE(Scoring!$S$6:$S$69,A37),Scoring!$S$6:$S$69,0)),"")</f>
        <v>12</v>
      </c>
      <c r="G37" s="17">
        <f>IFERROR(INDEX(Scoring!$R$6:$R$69,MATCH(LARGE(Scoring!$S$6:$S$69,A37),Scoring!$S$6:$S$69,0)),"")</f>
        <v>0</v>
      </c>
    </row>
    <row r="38" spans="1:7" ht="15" customHeight="1" x14ac:dyDescent="0.25">
      <c r="A38" s="4">
        <v>33</v>
      </c>
      <c r="B38" s="4" t="str">
        <f>IFERROR(INDEX(Scoring!$A$6:$A$69,MATCH(LARGE(Scoring!$S$6:$S$69,A38),Scoring!$S$6:$S$69,0)),"")</f>
        <v>Evan H.</v>
      </c>
      <c r="C38" s="4">
        <f>IFERROR(INDEX(Scoring!$O$6:$O$69,MATCH(LARGE(Scoring!$S$6:$S$69,A38),Scoring!$S$6:$S$69,0)),"")</f>
        <v>20</v>
      </c>
      <c r="D38" s="17">
        <f>IFERROR(INDEX(Scoring!$U$6:$U$69,MATCH(LARGE(Scoring!$S$6:$S$69,A38),Scoring!$S$6:$S$69,0)),"")</f>
        <v>0.375</v>
      </c>
      <c r="E38" s="4">
        <f>IFERROR(INDEX(Scoring!$P$6:$P$69,MATCH(LARGE(Scoring!$S$6:$S$69,A38),Scoring!$S$6:$S$69,0)),"")</f>
        <v>0</v>
      </c>
      <c r="F38" s="4">
        <f>IFERROR(INDEX(Scoring!$Q$6:$Q$69,MATCH(LARGE(Scoring!$S$6:$S$69,A38),Scoring!$S$6:$S$69,0)),"")</f>
        <v>11</v>
      </c>
      <c r="G38" s="17">
        <f>IFERROR(INDEX(Scoring!$R$6:$R$69,MATCH(LARGE(Scoring!$S$6:$S$69,A38),Scoring!$S$6:$S$69,0)),"")</f>
        <v>0</v>
      </c>
    </row>
    <row r="39" spans="1:7" ht="15" customHeight="1" x14ac:dyDescent="0.25">
      <c r="A39" s="4">
        <v>34</v>
      </c>
      <c r="B39" s="4" t="str">
        <f>IFERROR(INDEX(Scoring!$A$6:$A$69,MATCH(LARGE(Scoring!$S$6:$S$69,A39),Scoring!$S$6:$S$69,0)),"")</f>
        <v>Nick P.</v>
      </c>
      <c r="C39" s="4">
        <f>IFERROR(INDEX(Scoring!$O$6:$O$69,MATCH(LARGE(Scoring!$S$6:$S$69,A39),Scoring!$S$6:$S$69,0)),"")</f>
        <v>20</v>
      </c>
      <c r="D39" s="17">
        <f>IFERROR(INDEX(Scoring!$U$6:$U$69,MATCH(LARGE(Scoring!$S$6:$S$69,A39),Scoring!$S$6:$S$69,0)),"")</f>
        <v>0.375</v>
      </c>
      <c r="E39" s="4">
        <f>IFERROR(INDEX(Scoring!$P$6:$P$69,MATCH(LARGE(Scoring!$S$6:$S$69,A39),Scoring!$S$6:$S$69,0)),"")</f>
        <v>0</v>
      </c>
      <c r="F39" s="4">
        <f>IFERROR(INDEX(Scoring!$Q$6:$Q$69,MATCH(LARGE(Scoring!$S$6:$S$69,A39),Scoring!$S$6:$S$69,0)),"")</f>
        <v>11</v>
      </c>
      <c r="G39" s="17">
        <f>IFERROR(INDEX(Scoring!$R$6:$R$69,MATCH(LARGE(Scoring!$S$6:$S$69,A39),Scoring!$S$6:$S$69,0)),"")</f>
        <v>0</v>
      </c>
    </row>
    <row r="40" spans="1:7" ht="15" customHeight="1" x14ac:dyDescent="0.25">
      <c r="A40" s="4">
        <v>35</v>
      </c>
      <c r="B40" s="4" t="str">
        <f>IFERROR(INDEX(Scoring!$A$6:$A$69,MATCH(LARGE(Scoring!$S$6:$S$69,A40),Scoring!$S$6:$S$69,0)),"")</f>
        <v>Jeff R.</v>
      </c>
      <c r="C40" s="4">
        <f>IFERROR(INDEX(Scoring!$O$6:$O$69,MATCH(LARGE(Scoring!$S$6:$S$69,A40),Scoring!$S$6:$S$69,0)),"")</f>
        <v>20</v>
      </c>
      <c r="D40" s="17">
        <f>IFERROR(INDEX(Scoring!$U$6:$U$69,MATCH(LARGE(Scoring!$S$6:$S$69,A40),Scoring!$S$6:$S$69,0)),"")</f>
        <v>0.25</v>
      </c>
      <c r="E40" s="4">
        <f>IFERROR(INDEX(Scoring!$P$6:$P$69,MATCH(LARGE(Scoring!$S$6:$S$69,A40),Scoring!$S$6:$S$69,0)),"")</f>
        <v>0</v>
      </c>
      <c r="F40" s="4">
        <f>IFERROR(INDEX(Scoring!$Q$6:$Q$69,MATCH(LARGE(Scoring!$S$6:$S$69,A40),Scoring!$S$6:$S$69,0)),"")</f>
        <v>14</v>
      </c>
      <c r="G40" s="17">
        <f>IFERROR(INDEX(Scoring!$R$6:$R$69,MATCH(LARGE(Scoring!$S$6:$S$69,A40),Scoring!$S$6:$S$69,0)),"")</f>
        <v>0</v>
      </c>
    </row>
    <row r="41" spans="1:7" ht="15" customHeight="1" x14ac:dyDescent="0.25">
      <c r="A41" s="4">
        <v>36</v>
      </c>
      <c r="B41" s="4" t="str">
        <f>IFERROR(INDEX(Scoring!$A$6:$A$69,MATCH(LARGE(Scoring!$S$6:$S$69,A41),Scoring!$S$6:$S$69,0)),"")</f>
        <v>Justin S.</v>
      </c>
      <c r="C41" s="4">
        <f>IFERROR(INDEX(Scoring!$O$6:$O$69,MATCH(LARGE(Scoring!$S$6:$S$69,A41),Scoring!$S$6:$S$69,0)),"")</f>
        <v>20</v>
      </c>
      <c r="D41" s="17">
        <f>IFERROR(INDEX(Scoring!$U$6:$U$69,MATCH(LARGE(Scoring!$S$6:$S$69,A41),Scoring!$S$6:$S$69,0)),"")</f>
        <v>0.25</v>
      </c>
      <c r="E41" s="4">
        <f>IFERROR(INDEX(Scoring!$P$6:$P$69,MATCH(LARGE(Scoring!$S$6:$S$69,A41),Scoring!$S$6:$S$69,0)),"")</f>
        <v>0</v>
      </c>
      <c r="F41" s="4">
        <f>IFERROR(INDEX(Scoring!$Q$6:$Q$69,MATCH(LARGE(Scoring!$S$6:$S$69,A41),Scoring!$S$6:$S$69,0)),"")</f>
        <v>11</v>
      </c>
      <c r="G41" s="17">
        <f>IFERROR(INDEX(Scoring!$R$6:$R$69,MATCH(LARGE(Scoring!$S$6:$S$69,A41),Scoring!$S$6:$S$69,0)),"")</f>
        <v>0</v>
      </c>
    </row>
    <row r="42" spans="1:7" ht="15" customHeight="1" x14ac:dyDescent="0.25">
      <c r="A42" s="4">
        <v>37</v>
      </c>
      <c r="B42" s="4" t="str">
        <f>IFERROR(INDEX(Scoring!$A$6:$A$69,MATCH(LARGE(Scoring!$S$6:$S$69,A42),Scoring!$S$6:$S$69,0)),"")</f>
        <v>Tyler A.</v>
      </c>
      <c r="C42" s="4">
        <f>IFERROR(INDEX(Scoring!$O$6:$O$69,MATCH(LARGE(Scoring!$S$6:$S$69,A42),Scoring!$S$6:$S$69,0)),"")</f>
        <v>20</v>
      </c>
      <c r="D42" s="17">
        <f>IFERROR(INDEX(Scoring!$U$6:$U$69,MATCH(LARGE(Scoring!$S$6:$S$69,A42),Scoring!$S$6:$S$69,0)),"")</f>
        <v>0.25</v>
      </c>
      <c r="E42" s="4">
        <f>IFERROR(INDEX(Scoring!$P$6:$P$69,MATCH(LARGE(Scoring!$S$6:$S$69,A42),Scoring!$S$6:$S$69,0)),"")</f>
        <v>0</v>
      </c>
      <c r="F42" s="4">
        <f>IFERROR(INDEX(Scoring!$Q$6:$Q$69,MATCH(LARGE(Scoring!$S$6:$S$69,A42),Scoring!$S$6:$S$69,0)),"")</f>
        <v>11</v>
      </c>
      <c r="G42" s="17">
        <f>IFERROR(INDEX(Scoring!$R$6:$R$69,MATCH(LARGE(Scoring!$S$6:$S$69,A42),Scoring!$S$6:$S$69,0)),"")</f>
        <v>0</v>
      </c>
    </row>
    <row r="43" spans="1:7" ht="15" customHeight="1" x14ac:dyDescent="0.25">
      <c r="A43" s="4">
        <v>38</v>
      </c>
      <c r="B43" s="4" t="str">
        <f>IFERROR(INDEX(Scoring!$A$6:$A$69,MATCH(LARGE(Scoring!$S$6:$S$69,A43),Scoring!$S$6:$S$69,0)),"")</f>
        <v>Kaley P.</v>
      </c>
      <c r="C43" s="4">
        <f>IFERROR(INDEX(Scoring!$O$6:$O$69,MATCH(LARGE(Scoring!$S$6:$S$69,A43),Scoring!$S$6:$S$69,0)),"")</f>
        <v>20</v>
      </c>
      <c r="D43" s="17">
        <f>IFERROR(INDEX(Scoring!$U$6:$U$69,MATCH(LARGE(Scoring!$S$6:$S$69,A43),Scoring!$S$6:$S$69,0)),"")</f>
        <v>0.125</v>
      </c>
      <c r="E43" s="4">
        <f>IFERROR(INDEX(Scoring!$P$6:$P$69,MATCH(LARGE(Scoring!$S$6:$S$69,A43),Scoring!$S$6:$S$69,0)),"")</f>
        <v>0</v>
      </c>
      <c r="F43" s="4">
        <f>IFERROR(INDEX(Scoring!$Q$6:$Q$69,MATCH(LARGE(Scoring!$S$6:$S$69,A43),Scoring!$S$6:$S$69,0)),"")</f>
        <v>13</v>
      </c>
      <c r="G43" s="17">
        <f>IFERROR(INDEX(Scoring!$R$6:$R$69,MATCH(LARGE(Scoring!$S$6:$S$69,A43),Scoring!$S$6:$S$69,0)),"")</f>
        <v>0</v>
      </c>
    </row>
    <row r="44" spans="1:7" ht="15" customHeight="1" x14ac:dyDescent="0.25">
      <c r="A44" s="4">
        <v>39</v>
      </c>
      <c r="B44" s="4" t="str">
        <f>IFERROR(INDEX(Scoring!$A$6:$A$69,MATCH(LARGE(Scoring!$S$6:$S$69,A44),Scoring!$S$6:$S$69,0)),"")</f>
        <v>Kate S.</v>
      </c>
      <c r="C44" s="4">
        <f>IFERROR(INDEX(Scoring!$O$6:$O$69,MATCH(LARGE(Scoring!$S$6:$S$69,A44),Scoring!$S$6:$S$69,0)),"")</f>
        <v>20</v>
      </c>
      <c r="D44" s="17">
        <f>IFERROR(INDEX(Scoring!$U$6:$U$69,MATCH(LARGE(Scoring!$S$6:$S$69,A44),Scoring!$S$6:$S$69,0)),"")</f>
        <v>0.125</v>
      </c>
      <c r="E44" s="4">
        <f>IFERROR(INDEX(Scoring!$P$6:$P$69,MATCH(LARGE(Scoring!$S$6:$S$69,A44),Scoring!$S$6:$S$69,0)),"")</f>
        <v>0</v>
      </c>
      <c r="F44" s="4">
        <f>IFERROR(INDEX(Scoring!$Q$6:$Q$69,MATCH(LARGE(Scoring!$S$6:$S$69,A44),Scoring!$S$6:$S$69,0)),"")</f>
        <v>11</v>
      </c>
      <c r="G44" s="17">
        <f>IFERROR(INDEX(Scoring!$R$6:$R$69,MATCH(LARGE(Scoring!$S$6:$S$69,A44),Scoring!$S$6:$S$69,0)),"")</f>
        <v>0</v>
      </c>
    </row>
    <row r="45" spans="1:7" ht="15" customHeight="1" x14ac:dyDescent="0.25">
      <c r="A45" s="4">
        <v>40</v>
      </c>
      <c r="B45" s="4" t="str">
        <f>IFERROR(INDEX(Scoring!$A$6:$A$69,MATCH(LARGE(Scoring!$S$6:$S$69,A45),Scoring!$S$6:$S$69,0)),"")</f>
        <v>Lynn P.</v>
      </c>
      <c r="C45" s="4">
        <f>IFERROR(INDEX(Scoring!$O$6:$O$69,MATCH(LARGE(Scoring!$S$6:$S$69,A45),Scoring!$S$6:$S$69,0)),"")</f>
        <v>20</v>
      </c>
      <c r="D45" s="17">
        <f>IFERROR(INDEX(Scoring!$U$6:$U$69,MATCH(LARGE(Scoring!$S$6:$S$69,A45),Scoring!$S$6:$S$69,0)),"")</f>
        <v>0.125</v>
      </c>
      <c r="E45" s="4">
        <f>IFERROR(INDEX(Scoring!$P$6:$P$69,MATCH(LARGE(Scoring!$S$6:$S$69,A45),Scoring!$S$6:$S$69,0)),"")</f>
        <v>0</v>
      </c>
      <c r="F45" s="4">
        <f>IFERROR(INDEX(Scoring!$Q$6:$Q$69,MATCH(LARGE(Scoring!$S$6:$S$69,A45),Scoring!$S$6:$S$69,0)),"")</f>
        <v>13</v>
      </c>
      <c r="G45" s="17">
        <f>IFERROR(INDEX(Scoring!$R$6:$R$69,MATCH(LARGE(Scoring!$S$6:$S$69,A45),Scoring!$S$6:$S$69,0)),"")</f>
        <v>0</v>
      </c>
    </row>
    <row r="46" spans="1:7" ht="15" customHeight="1" x14ac:dyDescent="0.25">
      <c r="A46" s="4">
        <v>41</v>
      </c>
      <c r="B46" s="4" t="str">
        <f>IFERROR(INDEX(Scoring!$A$6:$A$69,MATCH(LARGE(Scoring!$S$6:$S$69,A46),Scoring!$S$6:$S$69,0)),"")</f>
        <v>Tucker M.</v>
      </c>
      <c r="C46" s="4">
        <f>IFERROR(INDEX(Scoring!$O$6:$O$69,MATCH(LARGE(Scoring!$S$6:$S$69,A46),Scoring!$S$6:$S$69,0)),"")</f>
        <v>20</v>
      </c>
      <c r="D46" s="17">
        <f>IFERROR(INDEX(Scoring!$U$6:$U$69,MATCH(LARGE(Scoring!$S$6:$S$69,A46),Scoring!$S$6:$S$69,0)),"")</f>
        <v>0.125</v>
      </c>
      <c r="E46" s="4">
        <f>IFERROR(INDEX(Scoring!$P$6:$P$69,MATCH(LARGE(Scoring!$S$6:$S$69,A46),Scoring!$S$6:$S$69,0)),"")</f>
        <v>0</v>
      </c>
      <c r="F46" s="4">
        <f>IFERROR(INDEX(Scoring!$Q$6:$Q$69,MATCH(LARGE(Scoring!$S$6:$S$69,A46),Scoring!$S$6:$S$69,0)),"")</f>
        <v>12</v>
      </c>
      <c r="G46" s="17">
        <f>IFERROR(INDEX(Scoring!$R$6:$R$69,MATCH(LARGE(Scoring!$S$6:$S$69,A46),Scoring!$S$6:$S$69,0)),"")</f>
        <v>0</v>
      </c>
    </row>
    <row r="47" spans="1:7" ht="15" customHeight="1" x14ac:dyDescent="0.25">
      <c r="A47" s="4">
        <v>42</v>
      </c>
      <c r="B47" s="4" t="str">
        <f>IFERROR(INDEX(Scoring!$A$6:$A$69,MATCH(LARGE(Scoring!$S$6:$S$69,A47),Scoring!$S$6:$S$69,0)),"")</f>
        <v>Amie M.</v>
      </c>
      <c r="C47" s="4">
        <f>IFERROR(INDEX(Scoring!$O$6:$O$69,MATCH(LARGE(Scoring!$S$6:$S$69,A47),Scoring!$S$6:$S$69,0)),"")</f>
        <v>20</v>
      </c>
      <c r="D47" s="17">
        <f>IFERROR(INDEX(Scoring!$U$6:$U$69,MATCH(LARGE(Scoring!$S$6:$S$69,A47),Scoring!$S$6:$S$69,0)),"")</f>
        <v>0</v>
      </c>
      <c r="E47" s="4">
        <f>IFERROR(INDEX(Scoring!$P$6:$P$69,MATCH(LARGE(Scoring!$S$6:$S$69,A47),Scoring!$S$6:$S$69,0)),"")</f>
        <v>0</v>
      </c>
      <c r="F47" s="4">
        <f>IFERROR(INDEX(Scoring!$Q$6:$Q$69,MATCH(LARGE(Scoring!$S$6:$S$69,A47),Scoring!$S$6:$S$69,0)),"")</f>
        <v>11</v>
      </c>
      <c r="G47" s="17">
        <f>IFERROR(INDEX(Scoring!$R$6:$R$69,MATCH(LARGE(Scoring!$S$6:$S$69,A47),Scoring!$S$6:$S$69,0)),"")</f>
        <v>0</v>
      </c>
    </row>
    <row r="48" spans="1:7" ht="15" customHeight="1" x14ac:dyDescent="0.25">
      <c r="A48" s="4">
        <v>43</v>
      </c>
      <c r="B48" s="4" t="str">
        <f>IFERROR(INDEX(Scoring!$A$6:$A$69,MATCH(LARGE(Scoring!$S$6:$S$69,A48),Scoring!$S$6:$S$69,0)),"")</f>
        <v>Roger L.</v>
      </c>
      <c r="C48" s="4">
        <f>IFERROR(INDEX(Scoring!$O$6:$O$69,MATCH(LARGE(Scoring!$S$6:$S$69,A48),Scoring!$S$6:$S$69,0)),"")</f>
        <v>19</v>
      </c>
      <c r="D48" s="17">
        <f>IFERROR(INDEX(Scoring!$U$6:$U$69,MATCH(LARGE(Scoring!$S$6:$S$69,A48),Scoring!$S$6:$S$69,0)),"")</f>
        <v>0.5</v>
      </c>
      <c r="E48" s="4">
        <f>IFERROR(INDEX(Scoring!$P$6:$P$69,MATCH(LARGE(Scoring!$S$6:$S$69,A48),Scoring!$S$6:$S$69,0)),"")</f>
        <v>0</v>
      </c>
      <c r="F48" s="4">
        <f>IFERROR(INDEX(Scoring!$Q$6:$Q$69,MATCH(LARGE(Scoring!$S$6:$S$69,A48),Scoring!$S$6:$S$69,0)),"")</f>
        <v>10</v>
      </c>
      <c r="G48" s="17">
        <f>IFERROR(INDEX(Scoring!$R$6:$R$69,MATCH(LARGE(Scoring!$S$6:$S$69,A48),Scoring!$S$6:$S$69,0)),"")</f>
        <v>0</v>
      </c>
    </row>
    <row r="49" spans="1:7" ht="15" customHeight="1" x14ac:dyDescent="0.25">
      <c r="A49" s="4">
        <v>44</v>
      </c>
      <c r="B49" s="4" t="str">
        <f>IFERROR(INDEX(Scoring!$A$6:$A$69,MATCH(LARGE(Scoring!$S$6:$S$69,A49),Scoring!$S$6:$S$69,0)),"")</f>
        <v>Dino C.</v>
      </c>
      <c r="C49" s="4">
        <f>IFERROR(INDEX(Scoring!$O$6:$O$69,MATCH(LARGE(Scoring!$S$6:$S$69,A49),Scoring!$S$6:$S$69,0)),"")</f>
        <v>19</v>
      </c>
      <c r="D49" s="17">
        <f>IFERROR(INDEX(Scoring!$U$6:$U$69,MATCH(LARGE(Scoring!$S$6:$S$69,A49),Scoring!$S$6:$S$69,0)),"")</f>
        <v>0.25</v>
      </c>
      <c r="E49" s="4">
        <f>IFERROR(INDEX(Scoring!$P$6:$P$69,MATCH(LARGE(Scoring!$S$6:$S$69,A49),Scoring!$S$6:$S$69,0)),"")</f>
        <v>0</v>
      </c>
      <c r="F49" s="4">
        <f>IFERROR(INDEX(Scoring!$Q$6:$Q$69,MATCH(LARGE(Scoring!$S$6:$S$69,A49),Scoring!$S$6:$S$69,0)),"")</f>
        <v>11</v>
      </c>
      <c r="G49" s="17">
        <f>IFERROR(INDEX(Scoring!$R$6:$R$69,MATCH(LARGE(Scoring!$S$6:$S$69,A49),Scoring!$S$6:$S$69,0)),"")</f>
        <v>0</v>
      </c>
    </row>
    <row r="50" spans="1:7" ht="15" customHeight="1" x14ac:dyDescent="0.25">
      <c r="A50" s="4">
        <v>45</v>
      </c>
      <c r="B50" s="4" t="str">
        <f>IFERROR(INDEX(Scoring!$A$6:$A$69,MATCH(LARGE(Scoring!$S$6:$S$69,A50),Scoring!$S$6:$S$69,0)),"")</f>
        <v>Matt C.</v>
      </c>
      <c r="C50" s="4">
        <f>IFERROR(INDEX(Scoring!$O$6:$O$69,MATCH(LARGE(Scoring!$S$6:$S$69,A50),Scoring!$S$6:$S$69,0)),"")</f>
        <v>19</v>
      </c>
      <c r="D50" s="17">
        <f>IFERROR(INDEX(Scoring!$U$6:$U$69,MATCH(LARGE(Scoring!$S$6:$S$69,A50),Scoring!$S$6:$S$69,0)),"")</f>
        <v>0.25</v>
      </c>
      <c r="E50" s="4">
        <f>IFERROR(INDEX(Scoring!$P$6:$P$69,MATCH(LARGE(Scoring!$S$6:$S$69,A50),Scoring!$S$6:$S$69,0)),"")</f>
        <v>0</v>
      </c>
      <c r="F50" s="4">
        <f>IFERROR(INDEX(Scoring!$Q$6:$Q$69,MATCH(LARGE(Scoring!$S$6:$S$69,A50),Scoring!$S$6:$S$69,0)),"")</f>
        <v>11</v>
      </c>
      <c r="G50" s="17">
        <f>IFERROR(INDEX(Scoring!$R$6:$R$69,MATCH(LARGE(Scoring!$S$6:$S$69,A50),Scoring!$S$6:$S$69,0)),"")</f>
        <v>0</v>
      </c>
    </row>
    <row r="51" spans="1:7" ht="15" customHeight="1" x14ac:dyDescent="0.25">
      <c r="A51" s="4">
        <v>46</v>
      </c>
      <c r="B51" s="4" t="str">
        <f>IFERROR(INDEX(Scoring!$A$6:$A$69,MATCH(LARGE(Scoring!$S$6:$S$69,A51),Scoring!$S$6:$S$69,0)),"")</f>
        <v>Jeff K.</v>
      </c>
      <c r="C51" s="4">
        <f>IFERROR(INDEX(Scoring!$O$6:$O$69,MATCH(LARGE(Scoring!$S$6:$S$69,A51),Scoring!$S$6:$S$69,0)),"")</f>
        <v>19</v>
      </c>
      <c r="D51" s="17">
        <f>IFERROR(INDEX(Scoring!$U$6:$U$69,MATCH(LARGE(Scoring!$S$6:$S$69,A51),Scoring!$S$6:$S$69,0)),"")</f>
        <v>0.125</v>
      </c>
      <c r="E51" s="4">
        <f>IFERROR(INDEX(Scoring!$P$6:$P$69,MATCH(LARGE(Scoring!$S$6:$S$69,A51),Scoring!$S$6:$S$69,0)),"")</f>
        <v>0</v>
      </c>
      <c r="F51" s="4">
        <f>IFERROR(INDEX(Scoring!$Q$6:$Q$69,MATCH(LARGE(Scoring!$S$6:$S$69,A51),Scoring!$S$6:$S$69,0)),"")</f>
        <v>10</v>
      </c>
      <c r="G51" s="17">
        <f>IFERROR(INDEX(Scoring!$R$6:$R$69,MATCH(LARGE(Scoring!$S$6:$S$69,A51),Scoring!$S$6:$S$69,0)),"")</f>
        <v>0</v>
      </c>
    </row>
    <row r="52" spans="1:7" ht="15" customHeight="1" x14ac:dyDescent="0.25">
      <c r="A52" s="4">
        <v>47</v>
      </c>
      <c r="B52" s="4" t="str">
        <f>IFERROR(INDEX(Scoring!$A$6:$A$69,MATCH(LARGE(Scoring!$S$6:$S$69,A52),Scoring!$S$6:$S$69,0)),"")</f>
        <v>John K.</v>
      </c>
      <c r="C52" s="4">
        <f>IFERROR(INDEX(Scoring!$O$6:$O$69,MATCH(LARGE(Scoring!$S$6:$S$69,A52),Scoring!$S$6:$S$69,0)),"")</f>
        <v>19</v>
      </c>
      <c r="D52" s="17">
        <f>IFERROR(INDEX(Scoring!$U$6:$U$69,MATCH(LARGE(Scoring!$S$6:$S$69,A52),Scoring!$S$6:$S$69,0)),"")</f>
        <v>0.125</v>
      </c>
      <c r="E52" s="4">
        <f>IFERROR(INDEX(Scoring!$P$6:$P$69,MATCH(LARGE(Scoring!$S$6:$S$69,A52),Scoring!$S$6:$S$69,0)),"")</f>
        <v>0</v>
      </c>
      <c r="F52" s="4">
        <f>IFERROR(INDEX(Scoring!$Q$6:$Q$69,MATCH(LARGE(Scoring!$S$6:$S$69,A52),Scoring!$S$6:$S$69,0)),"")</f>
        <v>12</v>
      </c>
      <c r="G52" s="17">
        <f>IFERROR(INDEX(Scoring!$R$6:$R$69,MATCH(LARGE(Scoring!$S$6:$S$69,A52),Scoring!$S$6:$S$69,0)),"")</f>
        <v>0</v>
      </c>
    </row>
    <row r="53" spans="1:7" ht="15" customHeight="1" x14ac:dyDescent="0.25">
      <c r="A53" s="4">
        <v>48</v>
      </c>
      <c r="B53" s="4" t="str">
        <f>IFERROR(INDEX(Scoring!$A$6:$A$69,MATCH(LARGE(Scoring!$S$6:$S$69,A53),Scoring!$S$6:$S$69,0)),"")</f>
        <v>Dan B.</v>
      </c>
      <c r="C53" s="4">
        <f>IFERROR(INDEX(Scoring!$O$6:$O$69,MATCH(LARGE(Scoring!$S$6:$S$69,A53),Scoring!$S$6:$S$69,0)),"")</f>
        <v>19</v>
      </c>
      <c r="D53" s="17">
        <f>IFERROR(INDEX(Scoring!$U$6:$U$69,MATCH(LARGE(Scoring!$S$6:$S$69,A53),Scoring!$S$6:$S$69,0)),"")</f>
        <v>0</v>
      </c>
      <c r="E53" s="4">
        <f>IFERROR(INDEX(Scoring!$P$6:$P$69,MATCH(LARGE(Scoring!$S$6:$S$69,A53),Scoring!$S$6:$S$69,0)),"")</f>
        <v>0</v>
      </c>
      <c r="F53" s="4">
        <f>IFERROR(INDEX(Scoring!$Q$6:$Q$69,MATCH(LARGE(Scoring!$S$6:$S$69,A53),Scoring!$S$6:$S$69,0)),"")</f>
        <v>10</v>
      </c>
      <c r="G53" s="17">
        <f>IFERROR(INDEX(Scoring!$R$6:$R$69,MATCH(LARGE(Scoring!$S$6:$S$69,A53),Scoring!$S$6:$S$69,0)),"")</f>
        <v>0</v>
      </c>
    </row>
    <row r="54" spans="1:7" ht="15" customHeight="1" x14ac:dyDescent="0.25">
      <c r="A54" s="4">
        <v>49</v>
      </c>
      <c r="B54" s="4" t="str">
        <f>IFERROR(INDEX(Scoring!$A$6:$A$69,MATCH(LARGE(Scoring!$S$6:$S$69,A54),Scoring!$S$6:$S$69,0)),"")</f>
        <v>Dona B.</v>
      </c>
      <c r="C54" s="4">
        <f>IFERROR(INDEX(Scoring!$O$6:$O$69,MATCH(LARGE(Scoring!$S$6:$S$69,A54),Scoring!$S$6:$S$69,0)),"")</f>
        <v>19</v>
      </c>
      <c r="D54" s="17">
        <f>IFERROR(INDEX(Scoring!$U$6:$U$69,MATCH(LARGE(Scoring!$S$6:$S$69,A54),Scoring!$S$6:$S$69,0)),"")</f>
        <v>0</v>
      </c>
      <c r="E54" s="4">
        <f>IFERROR(INDEX(Scoring!$P$6:$P$69,MATCH(LARGE(Scoring!$S$6:$S$69,A54),Scoring!$S$6:$S$69,0)),"")</f>
        <v>0</v>
      </c>
      <c r="F54" s="4">
        <f>IFERROR(INDEX(Scoring!$Q$6:$Q$69,MATCH(LARGE(Scoring!$S$6:$S$69,A54),Scoring!$S$6:$S$69,0)),"")</f>
        <v>12</v>
      </c>
      <c r="G54" s="17">
        <f>IFERROR(INDEX(Scoring!$R$6:$R$69,MATCH(LARGE(Scoring!$S$6:$S$69,A54),Scoring!$S$6:$S$69,0)),"")</f>
        <v>0</v>
      </c>
    </row>
    <row r="55" spans="1:7" ht="15" customHeight="1" x14ac:dyDescent="0.25">
      <c r="A55" s="4">
        <v>50</v>
      </c>
      <c r="B55" s="4" t="str">
        <f>IFERROR(INDEX(Scoring!$A$6:$A$69,MATCH(LARGE(Scoring!$S$6:$S$69,A55),Scoring!$S$6:$S$69,0)),"")</f>
        <v>Tom B.</v>
      </c>
      <c r="C55" s="4">
        <f>IFERROR(INDEX(Scoring!$O$6:$O$69,MATCH(LARGE(Scoring!$S$6:$S$69,A55),Scoring!$S$6:$S$69,0)),"")</f>
        <v>19</v>
      </c>
      <c r="D55" s="17">
        <f>IFERROR(INDEX(Scoring!$U$6:$U$69,MATCH(LARGE(Scoring!$S$6:$S$69,A55),Scoring!$S$6:$S$69,0)),"")</f>
        <v>0</v>
      </c>
      <c r="E55" s="4">
        <f>IFERROR(INDEX(Scoring!$P$6:$P$69,MATCH(LARGE(Scoring!$S$6:$S$69,A55),Scoring!$S$6:$S$69,0)),"")</f>
        <v>0</v>
      </c>
      <c r="F55" s="4">
        <f>IFERROR(INDEX(Scoring!$Q$6:$Q$69,MATCH(LARGE(Scoring!$S$6:$S$69,A55),Scoring!$S$6:$S$69,0)),"")</f>
        <v>10</v>
      </c>
      <c r="G55" s="17">
        <f>IFERROR(INDEX(Scoring!$R$6:$R$69,MATCH(LARGE(Scoring!$S$6:$S$69,A55),Scoring!$S$6:$S$69,0)),"")</f>
        <v>0</v>
      </c>
    </row>
    <row r="56" spans="1:7" ht="15" customHeight="1" x14ac:dyDescent="0.25">
      <c r="A56" s="4">
        <v>51</v>
      </c>
      <c r="B56" s="4" t="str">
        <f>IFERROR(INDEX(Scoring!$A$6:$A$69,MATCH(LARGE(Scoring!$S$6:$S$69,A56),Scoring!$S$6:$S$69,0)),"")</f>
        <v>Pete S.</v>
      </c>
      <c r="C56" s="4">
        <f>IFERROR(INDEX(Scoring!$O$6:$O$69,MATCH(LARGE(Scoring!$S$6:$S$69,A56),Scoring!$S$6:$S$69,0)),"")</f>
        <v>18</v>
      </c>
      <c r="D56" s="17">
        <f>IFERROR(INDEX(Scoring!$U$6:$U$69,MATCH(LARGE(Scoring!$S$6:$S$69,A56),Scoring!$S$6:$S$69,0)),"")</f>
        <v>0.375</v>
      </c>
      <c r="E56" s="4">
        <f>IFERROR(INDEX(Scoring!$P$6:$P$69,MATCH(LARGE(Scoring!$S$6:$S$69,A56),Scoring!$S$6:$S$69,0)),"")</f>
        <v>0</v>
      </c>
      <c r="F56" s="4">
        <f>IFERROR(INDEX(Scoring!$Q$6:$Q$69,MATCH(LARGE(Scoring!$S$6:$S$69,A56),Scoring!$S$6:$S$69,0)),"")</f>
        <v>11</v>
      </c>
      <c r="G56" s="17">
        <f>IFERROR(INDEX(Scoring!$R$6:$R$69,MATCH(LARGE(Scoring!$S$6:$S$69,A56),Scoring!$S$6:$S$69,0)),"")</f>
        <v>0</v>
      </c>
    </row>
    <row r="57" spans="1:7" ht="15" customHeight="1" x14ac:dyDescent="0.25">
      <c r="A57" s="4">
        <v>52</v>
      </c>
      <c r="B57" s="4" t="str">
        <f>IFERROR(INDEX(Scoring!$A$6:$A$69,MATCH(LARGE(Scoring!$S$6:$S$69,A57),Scoring!$S$6:$S$69,0)),"")</f>
        <v>Andy K.</v>
      </c>
      <c r="C57" s="4">
        <f>IFERROR(INDEX(Scoring!$O$6:$O$69,MATCH(LARGE(Scoring!$S$6:$S$69,A57),Scoring!$S$6:$S$69,0)),"")</f>
        <v>18</v>
      </c>
      <c r="D57" s="17">
        <f>IFERROR(INDEX(Scoring!$U$6:$U$69,MATCH(LARGE(Scoring!$S$6:$S$69,A57),Scoring!$S$6:$S$69,0)),"")</f>
        <v>0.125</v>
      </c>
      <c r="E57" s="4">
        <f>IFERROR(INDEX(Scoring!$P$6:$P$69,MATCH(LARGE(Scoring!$S$6:$S$69,A57),Scoring!$S$6:$S$69,0)),"")</f>
        <v>0</v>
      </c>
      <c r="F57" s="4">
        <f>IFERROR(INDEX(Scoring!$Q$6:$Q$69,MATCH(LARGE(Scoring!$S$6:$S$69,A57),Scoring!$S$6:$S$69,0)),"")</f>
        <v>11</v>
      </c>
      <c r="G57" s="17">
        <f>IFERROR(INDEX(Scoring!$R$6:$R$69,MATCH(LARGE(Scoring!$S$6:$S$69,A57),Scoring!$S$6:$S$69,0)),"")</f>
        <v>0</v>
      </c>
    </row>
    <row r="58" spans="1:7" ht="15" customHeight="1" x14ac:dyDescent="0.25">
      <c r="A58" s="4">
        <v>53</v>
      </c>
      <c r="B58" s="4" t="str">
        <f>IFERROR(INDEX(Scoring!$A$6:$A$69,MATCH(LARGE(Scoring!$S$6:$S$69,A58),Scoring!$S$6:$S$69,0)),"")</f>
        <v>Jamie Z.</v>
      </c>
      <c r="C58" s="4">
        <f>IFERROR(INDEX(Scoring!$O$6:$O$69,MATCH(LARGE(Scoring!$S$6:$S$69,A58),Scoring!$S$6:$S$69,0)),"")</f>
        <v>18</v>
      </c>
      <c r="D58" s="17">
        <f>IFERROR(INDEX(Scoring!$U$6:$U$69,MATCH(LARGE(Scoring!$S$6:$S$69,A58),Scoring!$S$6:$S$69,0)),"")</f>
        <v>0</v>
      </c>
      <c r="E58" s="4">
        <f>IFERROR(INDEX(Scoring!$P$6:$P$69,MATCH(LARGE(Scoring!$S$6:$S$69,A58),Scoring!$S$6:$S$69,0)),"")</f>
        <v>0</v>
      </c>
      <c r="F58" s="4">
        <f>IFERROR(INDEX(Scoring!$Q$6:$Q$69,MATCH(LARGE(Scoring!$S$6:$S$69,A58),Scoring!$S$6:$S$69,0)),"")</f>
        <v>11</v>
      </c>
      <c r="G58" s="17">
        <f>IFERROR(INDEX(Scoring!$R$6:$R$69,MATCH(LARGE(Scoring!$S$6:$S$69,A58),Scoring!$S$6:$S$69,0)),"")</f>
        <v>0</v>
      </c>
    </row>
    <row r="59" spans="1:7" ht="15" customHeight="1" x14ac:dyDescent="0.25">
      <c r="A59" s="4">
        <v>54</v>
      </c>
      <c r="B59" s="4" t="str">
        <f>IFERROR(INDEX(Scoring!$A$6:$A$69,MATCH(LARGE(Scoring!$S$6:$S$69,A59),Scoring!$S$6:$S$69,0)),"")</f>
        <v>Lauren P.</v>
      </c>
      <c r="C59" s="4">
        <f>IFERROR(INDEX(Scoring!$O$6:$O$69,MATCH(LARGE(Scoring!$S$6:$S$69,A59),Scoring!$S$6:$S$69,0)),"")</f>
        <v>17</v>
      </c>
      <c r="D59" s="17">
        <f>IFERROR(INDEX(Scoring!$U$6:$U$69,MATCH(LARGE(Scoring!$S$6:$S$69,A59),Scoring!$S$6:$S$69,0)),"")</f>
        <v>0.125</v>
      </c>
      <c r="E59" s="4">
        <f>IFERROR(INDEX(Scoring!$P$6:$P$69,MATCH(LARGE(Scoring!$S$6:$S$69,A59),Scoring!$S$6:$S$69,0)),"")</f>
        <v>0</v>
      </c>
      <c r="F59" s="4">
        <f>IFERROR(INDEX(Scoring!$Q$6:$Q$69,MATCH(LARGE(Scoring!$S$6:$S$69,A59),Scoring!$S$6:$S$69,0)),"")</f>
        <v>12</v>
      </c>
      <c r="G59" s="17">
        <f>IFERROR(INDEX(Scoring!$R$6:$R$69,MATCH(LARGE(Scoring!$S$6:$S$69,A59),Scoring!$S$6:$S$69,0)),"")</f>
        <v>0</v>
      </c>
    </row>
    <row r="60" spans="1:7" ht="15" customHeight="1" x14ac:dyDescent="0.25">
      <c r="A60" s="4">
        <v>55</v>
      </c>
      <c r="B60" s="4" t="str">
        <f>IFERROR(INDEX(Scoring!$A$6:$A$69,MATCH(LARGE(Scoring!$S$6:$S$69,A60),Scoring!$S$6:$S$69,0)),"")</f>
        <v>Ryan T.</v>
      </c>
      <c r="C60" s="4">
        <f>IFERROR(INDEX(Scoring!$O$6:$O$69,MATCH(LARGE(Scoring!$S$6:$S$69,A60),Scoring!$S$6:$S$69,0)),"")</f>
        <v>17</v>
      </c>
      <c r="D60" s="17">
        <f>IFERROR(INDEX(Scoring!$U$6:$U$69,MATCH(LARGE(Scoring!$S$6:$S$69,A60),Scoring!$S$6:$S$69,0)),"")</f>
        <v>0.125</v>
      </c>
      <c r="E60" s="4">
        <f>IFERROR(INDEX(Scoring!$P$6:$P$69,MATCH(LARGE(Scoring!$S$6:$S$69,A60),Scoring!$S$6:$S$69,0)),"")</f>
        <v>0</v>
      </c>
      <c r="F60" s="4">
        <f>IFERROR(INDEX(Scoring!$Q$6:$Q$69,MATCH(LARGE(Scoring!$S$6:$S$69,A60),Scoring!$S$6:$S$69,0)),"")</f>
        <v>9</v>
      </c>
      <c r="G60" s="17">
        <f>IFERROR(INDEX(Scoring!$R$6:$R$69,MATCH(LARGE(Scoring!$S$6:$S$69,A60),Scoring!$S$6:$S$69,0)),"")</f>
        <v>0</v>
      </c>
    </row>
    <row r="61" spans="1:7" ht="15" customHeight="1" x14ac:dyDescent="0.25">
      <c r="A61" s="4">
        <v>56</v>
      </c>
      <c r="B61" s="4" t="str">
        <f>IFERROR(INDEX(Scoring!$A$6:$A$69,MATCH(LARGE(Scoring!$S$6:$S$69,A61),Scoring!$S$6:$S$69,0)),"")</f>
        <v>Joel G.</v>
      </c>
      <c r="C61" s="4">
        <f>IFERROR(INDEX(Scoring!$O$6:$O$69,MATCH(LARGE(Scoring!$S$6:$S$69,A61),Scoring!$S$6:$S$69,0)),"")</f>
        <v>17</v>
      </c>
      <c r="D61" s="17">
        <f>IFERROR(INDEX(Scoring!$U$6:$U$69,MATCH(LARGE(Scoring!$S$6:$S$69,A61),Scoring!$S$6:$S$69,0)),"")</f>
        <v>0</v>
      </c>
      <c r="E61" s="4">
        <f>IFERROR(INDEX(Scoring!$P$6:$P$69,MATCH(LARGE(Scoring!$S$6:$S$69,A61),Scoring!$S$6:$S$69,0)),"")</f>
        <v>0</v>
      </c>
      <c r="F61" s="4">
        <f>IFERROR(INDEX(Scoring!$Q$6:$Q$69,MATCH(LARGE(Scoring!$S$6:$S$69,A61),Scoring!$S$6:$S$69,0)),"")</f>
        <v>11</v>
      </c>
      <c r="G61" s="17">
        <f>IFERROR(INDEX(Scoring!$R$6:$R$69,MATCH(LARGE(Scoring!$S$6:$S$69,A61),Scoring!$S$6:$S$69,0)),"")</f>
        <v>0</v>
      </c>
    </row>
    <row r="62" spans="1:7" ht="15" customHeight="1" x14ac:dyDescent="0.25">
      <c r="A62" s="4">
        <v>57</v>
      </c>
      <c r="B62" s="4" t="str">
        <f>IFERROR(INDEX(Scoring!$A$6:$A$69,MATCH(LARGE(Scoring!$S$6:$S$69,A62),Scoring!$S$6:$S$69,0)),"")</f>
        <v>Cori P.</v>
      </c>
      <c r="C62" s="4">
        <f>IFERROR(INDEX(Scoring!$O$6:$O$69,MATCH(LARGE(Scoring!$S$6:$S$69,A62),Scoring!$S$6:$S$69,0)),"")</f>
        <v>16</v>
      </c>
      <c r="D62" s="17">
        <f>IFERROR(INDEX(Scoring!$U$6:$U$69,MATCH(LARGE(Scoring!$S$6:$S$69,A62),Scoring!$S$6:$S$69,0)),"")</f>
        <v>0.125</v>
      </c>
      <c r="E62" s="4">
        <f>IFERROR(INDEX(Scoring!$P$6:$P$69,MATCH(LARGE(Scoring!$S$6:$S$69,A62),Scoring!$S$6:$S$69,0)),"")</f>
        <v>0</v>
      </c>
      <c r="F62" s="4">
        <f>IFERROR(INDEX(Scoring!$Q$6:$Q$69,MATCH(LARGE(Scoring!$S$6:$S$69,A62),Scoring!$S$6:$S$69,0)),"")</f>
        <v>9</v>
      </c>
      <c r="G62" s="17">
        <f>IFERROR(INDEX(Scoring!$R$6:$R$69,MATCH(LARGE(Scoring!$S$6:$S$69,A62),Scoring!$S$6:$S$69,0)),"")</f>
        <v>0</v>
      </c>
    </row>
    <row r="63" spans="1:7" ht="15" customHeight="1" x14ac:dyDescent="0.25">
      <c r="A63" s="4">
        <v>58</v>
      </c>
      <c r="B63" s="4" t="str">
        <f>IFERROR(INDEX(Scoring!$A$6:$A$69,MATCH(LARGE(Scoring!$S$6:$S$69,A63),Scoring!$S$6:$S$69,0)),"")</f>
        <v>Oliver W.</v>
      </c>
      <c r="C63" s="4">
        <f>IFERROR(INDEX(Scoring!$O$6:$O$69,MATCH(LARGE(Scoring!$S$6:$S$69,A63),Scoring!$S$6:$S$69,0)),"")</f>
        <v>16</v>
      </c>
      <c r="D63" s="17">
        <f>IFERROR(INDEX(Scoring!$U$6:$U$69,MATCH(LARGE(Scoring!$S$6:$S$69,A63),Scoring!$S$6:$S$69,0)),"")</f>
        <v>0</v>
      </c>
      <c r="E63" s="4">
        <f>IFERROR(INDEX(Scoring!$P$6:$P$69,MATCH(LARGE(Scoring!$S$6:$S$69,A63),Scoring!$S$6:$S$69,0)),"")</f>
        <v>0</v>
      </c>
      <c r="F63" s="4">
        <f>IFERROR(INDEX(Scoring!$Q$6:$Q$69,MATCH(LARGE(Scoring!$S$6:$S$69,A63),Scoring!$S$6:$S$69,0)),"")</f>
        <v>9</v>
      </c>
      <c r="G63" s="17">
        <f>IFERROR(INDEX(Scoring!$R$6:$R$69,MATCH(LARGE(Scoring!$S$6:$S$69,A63),Scoring!$S$6:$S$69,0)),"")</f>
        <v>0</v>
      </c>
    </row>
    <row r="64" spans="1:7" ht="15" customHeight="1" x14ac:dyDescent="0.25">
      <c r="A64" s="4">
        <v>59</v>
      </c>
      <c r="B64" s="4" t="str">
        <f>IFERROR(INDEX(Scoring!$A$6:$A$69,MATCH(LARGE(Scoring!$S$6:$S$69,A64),Scoring!$S$6:$S$69,0)),"")</f>
        <v>Tye E.</v>
      </c>
      <c r="C64" s="4">
        <f>IFERROR(INDEX(Scoring!$O$6:$O$69,MATCH(LARGE(Scoring!$S$6:$S$69,A64),Scoring!$S$6:$S$69,0)),"")</f>
        <v>15</v>
      </c>
      <c r="D64" s="17">
        <f>IFERROR(INDEX(Scoring!$U$6:$U$69,MATCH(LARGE(Scoring!$S$6:$S$69,A64),Scoring!$S$6:$S$69,0)),"")</f>
        <v>0</v>
      </c>
      <c r="E64" s="4">
        <f>IFERROR(INDEX(Scoring!$P$6:$P$69,MATCH(LARGE(Scoring!$S$6:$S$69,A64),Scoring!$S$6:$S$69,0)),"")</f>
        <v>0</v>
      </c>
      <c r="F64" s="4">
        <f>IFERROR(INDEX(Scoring!$Q$6:$Q$69,MATCH(LARGE(Scoring!$S$6:$S$69,A64),Scoring!$S$6:$S$69,0)),"")</f>
        <v>10</v>
      </c>
      <c r="G64" s="17">
        <f>IFERROR(INDEX(Scoring!$R$6:$R$69,MATCH(LARGE(Scoring!$S$6:$S$69,A64),Scoring!$S$6:$S$69,0)),"")</f>
        <v>0</v>
      </c>
    </row>
    <row r="65" spans="1:7" ht="15" customHeight="1" x14ac:dyDescent="0.25">
      <c r="A65" s="4">
        <v>60</v>
      </c>
      <c r="B65" s="4" t="str">
        <f>IFERROR(INDEX(Scoring!$A$6:$A$69,MATCH(LARGE(Scoring!$S$6:$S$69,A65),Scoring!$S$6:$S$69,0)),"")</f>
        <v>Richie C.</v>
      </c>
      <c r="C65" s="4">
        <f>IFERROR(INDEX(Scoring!$O$6:$O$69,MATCH(LARGE(Scoring!$S$6:$S$69,A65),Scoring!$S$6:$S$69,0)),"")</f>
        <v>13</v>
      </c>
      <c r="D65" s="17">
        <f>IFERROR(INDEX(Scoring!$U$6:$U$69,MATCH(LARGE(Scoring!$S$6:$S$69,A65),Scoring!$S$6:$S$69,0)),"")</f>
        <v>0.25</v>
      </c>
      <c r="E65" s="4">
        <f>IFERROR(INDEX(Scoring!$P$6:$P$69,MATCH(LARGE(Scoring!$S$6:$S$69,A65),Scoring!$S$6:$S$69,0)),"")</f>
        <v>0</v>
      </c>
      <c r="F65" s="4">
        <f>IFERROR(INDEX(Scoring!$Q$6:$Q$69,MATCH(LARGE(Scoring!$S$6:$S$69,A65),Scoring!$S$6:$S$69,0)),"")</f>
        <v>8</v>
      </c>
      <c r="G65" s="17">
        <f>IFERROR(INDEX(Scoring!$R$6:$R$69,MATCH(LARGE(Scoring!$S$6:$S$69,A65),Scoring!$S$6:$S$69,0)),"")</f>
        <v>0</v>
      </c>
    </row>
    <row r="66" spans="1:7" ht="15" customHeight="1" x14ac:dyDescent="0.25">
      <c r="A66" s="4">
        <v>61</v>
      </c>
      <c r="B66" s="4" t="str">
        <f>IFERROR(INDEX(Scoring!$A$6:$A$69,MATCH(LARGE(Scoring!$S$6:$S$69,A66),Scoring!$S$6:$S$69,0)),"")</f>
        <v/>
      </c>
      <c r="C66" s="4" t="str">
        <f>IFERROR(INDEX(Scoring!$O$6:$O$69,MATCH(LARGE(Scoring!$S$6:$S$69,A66),Scoring!$S$6:$S$69,0)),"")</f>
        <v/>
      </c>
      <c r="D66" s="17" t="str">
        <f>IFERROR(INDEX(Scoring!$U$6:$U$69,MATCH(LARGE(Scoring!$S$6:$S$69,A66),Scoring!$S$6:$S$69,0)),"")</f>
        <v/>
      </c>
      <c r="E66" s="4" t="str">
        <f>IFERROR(INDEX(Scoring!$P$6:$P$69,MATCH(LARGE(Scoring!$S$6:$S$69,A66),Scoring!$S$6:$S$69,0)),"")</f>
        <v/>
      </c>
      <c r="F66" s="4" t="str">
        <f>IFERROR(INDEX(Scoring!$Q$6:$Q$69,MATCH(LARGE(Scoring!$S$6:$S$69,A66),Scoring!$S$6:$S$69,0)),"")</f>
        <v/>
      </c>
      <c r="G66" s="17" t="str">
        <f>IFERROR(INDEX(Scoring!$R$6:$R$69,MATCH(LARGE(Scoring!$S$6:$S$69,A66),Scoring!$S$6:$S$69,0)),"")</f>
        <v/>
      </c>
    </row>
    <row r="67" spans="1:7" ht="15" customHeight="1" x14ac:dyDescent="0.25">
      <c r="A67" s="4">
        <v>62</v>
      </c>
      <c r="B67" s="4" t="str">
        <f>IFERROR(INDEX(Scoring!$A$6:$A$69,MATCH(LARGE(Scoring!$S$6:$S$69,A67),Scoring!$S$6:$S$69,0)),"")</f>
        <v/>
      </c>
      <c r="C67" s="4" t="str">
        <f>IFERROR(INDEX(Scoring!$O$6:$O$69,MATCH(LARGE(Scoring!$S$6:$S$69,A67),Scoring!$S$6:$S$69,0)),"")</f>
        <v/>
      </c>
      <c r="D67" s="17" t="str">
        <f>IFERROR(INDEX(Scoring!$U$6:$U$69,MATCH(LARGE(Scoring!$S$6:$S$69,A67),Scoring!$S$6:$S$69,0)),"")</f>
        <v/>
      </c>
      <c r="E67" s="4" t="str">
        <f>IFERROR(INDEX(Scoring!$P$6:$P$69,MATCH(LARGE(Scoring!$S$6:$S$69,A67),Scoring!$S$6:$S$69,0)),"")</f>
        <v/>
      </c>
      <c r="F67" s="4" t="str">
        <f>IFERROR(INDEX(Scoring!$Q$6:$Q$69,MATCH(LARGE(Scoring!$S$6:$S$69,A67),Scoring!$S$6:$S$69,0)),"")</f>
        <v/>
      </c>
      <c r="G67" s="17" t="str">
        <f>IFERROR(INDEX(Scoring!$R$6:$R$69,MATCH(LARGE(Scoring!$S$6:$S$69,A67),Scoring!$S$6:$S$69,0)),"")</f>
        <v/>
      </c>
    </row>
    <row r="68" spans="1:7" ht="15" customHeight="1" x14ac:dyDescent="0.25">
      <c r="A68" s="4">
        <v>63</v>
      </c>
      <c r="B68" s="4" t="str">
        <f>IFERROR(INDEX(Scoring!$A$6:$A$69,MATCH(LARGE(Scoring!$S$6:$S$69,A68),Scoring!$S$6:$S$69,0)),"")</f>
        <v/>
      </c>
      <c r="C68" s="4" t="str">
        <f>IFERROR(INDEX(Scoring!$O$6:$O$69,MATCH(LARGE(Scoring!$S$6:$S$69,A68),Scoring!$S$6:$S$69,0)),"")</f>
        <v/>
      </c>
      <c r="D68" s="17" t="str">
        <f>IFERROR(INDEX(Scoring!$U$6:$U$69,MATCH(LARGE(Scoring!$S$6:$S$69,A68),Scoring!$S$6:$S$69,0)),"")</f>
        <v/>
      </c>
      <c r="E68" s="4" t="str">
        <f>IFERROR(INDEX(Scoring!$P$6:$P$69,MATCH(LARGE(Scoring!$S$6:$S$69,A68),Scoring!$S$6:$S$69,0)),"")</f>
        <v/>
      </c>
      <c r="F68" s="4" t="str">
        <f>IFERROR(INDEX(Scoring!$Q$6:$Q$69,MATCH(LARGE(Scoring!$S$6:$S$69,A68),Scoring!$S$6:$S$69,0)),"")</f>
        <v/>
      </c>
      <c r="G68" s="17" t="str">
        <f>IFERROR(INDEX(Scoring!$R$6:$R$69,MATCH(LARGE(Scoring!$S$6:$S$69,A68),Scoring!$S$6:$S$69,0)),"")</f>
        <v/>
      </c>
    </row>
    <row r="69" spans="1:7" ht="15" customHeight="1" x14ac:dyDescent="0.25">
      <c r="A69" s="4">
        <v>64</v>
      </c>
      <c r="B69" s="4" t="str">
        <f>IFERROR(INDEX(Scoring!$A$6:$A$69,MATCH(LARGE(Scoring!$S$6:$S$69,A69),Scoring!$S$6:$S$69,0)),"")</f>
        <v/>
      </c>
      <c r="C69" s="4" t="str">
        <f>IFERROR(INDEX(Scoring!$O$6:$O$69,MATCH(LARGE(Scoring!$S$6:$S$69,A69),Scoring!$S$6:$S$69,0)),"")</f>
        <v/>
      </c>
      <c r="D69" s="17" t="str">
        <f>IFERROR(INDEX(Scoring!$U$6:$U$69,MATCH(LARGE(Scoring!$S$6:$S$69,A69),Scoring!$S$6:$S$69,0)),"")</f>
        <v/>
      </c>
      <c r="E69" s="4" t="str">
        <f>IFERROR(INDEX(Scoring!$P$6:$P$69,MATCH(LARGE(Scoring!$S$6:$S$69,A69),Scoring!$S$6:$S$69,0)),"")</f>
        <v/>
      </c>
      <c r="F69" s="4" t="str">
        <f>IFERROR(INDEX(Scoring!$Q$6:$Q$69,MATCH(LARGE(Scoring!$S$6:$S$69,A69),Scoring!$S$6:$S$69,0)),"")</f>
        <v/>
      </c>
      <c r="G69" s="17" t="str">
        <f>IFERROR(INDEX(Scoring!$R$6:$R$69,MATCH(LARGE(Scoring!$S$6:$S$69,A69),Scoring!$S$6:$S$69,0)),"")</f>
        <v/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Players</vt:lpstr>
      <vt:lpstr>Games</vt:lpstr>
      <vt:lpstr>Picks_W1</vt:lpstr>
      <vt:lpstr>Picks_W2</vt:lpstr>
      <vt:lpstr>Picks_W3</vt:lpstr>
      <vt:lpstr>Picks_W4</vt:lpstr>
      <vt:lpstr>Picks_W5</vt:lpstr>
      <vt:lpstr>Picks_W6</vt:lpstr>
      <vt:lpstr>Picks_W7</vt:lpstr>
      <vt:lpstr>Picks_W8</vt:lpstr>
      <vt:lpstr>Picks_W9</vt:lpstr>
      <vt:lpstr>Picks_W10</vt:lpstr>
      <vt:lpstr>Picks_W11</vt:lpstr>
      <vt:lpstr>Picks_W12</vt:lpstr>
      <vt:lpstr>Picks_W13</vt:lpstr>
      <vt:lpstr>Results</vt:lpstr>
      <vt:lpstr>Scoring</vt:lpstr>
      <vt:lpstr>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Nick Picaut</cp:lastModifiedBy>
  <cp:revision>0</cp:revision>
  <dcterms:created xsi:type="dcterms:W3CDTF">2026-08-25T17:05:35Z</dcterms:created>
  <dcterms:modified xsi:type="dcterms:W3CDTF">2026-09-17T19:08:50Z</dcterms:modified>
  <dc:language>en-US</dc:language>
</cp:coreProperties>
</file>